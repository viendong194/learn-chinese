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K 1" sheetId="1" r:id="rId5"/>
    <sheet state="visible" name="HSK 2" sheetId="2" r:id="rId6"/>
    <sheet state="visible" name="HSK 3" sheetId="3" r:id="rId7"/>
    <sheet state="visible" name="HSK 4" sheetId="4" r:id="rId8"/>
    <sheet state="visible" name="HSK 5" sheetId="5" r:id="rId9"/>
    <sheet state="visible" name="Thành ngữ" sheetId="6" r:id="rId10"/>
    <sheet state="visible" name="HSk 6" sheetId="7" r:id="rId11"/>
  </sheets>
  <definedNames/>
  <calcPr/>
</workbook>
</file>

<file path=xl/sharedStrings.xml><?xml version="1.0" encoding="utf-8"?>
<sst xmlns="http://schemas.openxmlformats.org/spreadsheetml/2006/main" count="20968" uniqueCount="14754">
  <si>
    <t>STT</t>
  </si>
  <si>
    <t>Từ vựng</t>
  </si>
  <si>
    <t>Nghe mẫu</t>
  </si>
  <si>
    <t>Pinyin</t>
  </si>
  <si>
    <t>Loại</t>
  </si>
  <si>
    <t>Nghĩa</t>
  </si>
  <si>
    <t>Mẹo nhớ từ</t>
  </si>
  <si>
    <t>Ôn tập từ vựng</t>
  </si>
  <si>
    <t>Check</t>
  </si>
  <si>
    <t>Ôn tập nghĩa</t>
  </si>
  <si>
    <t>Check 2</t>
  </si>
  <si>
    <t>爱</t>
  </si>
  <si>
    <t>ài</t>
  </si>
  <si>
    <t>动</t>
  </si>
  <si>
    <t>Yêu</t>
  </si>
  <si>
    <t>Dùng bàn tay (爫) dắt người bạn (友) của mình về một mái nhà (冖), đó chính là Yêu (爱)</t>
  </si>
  <si>
    <t>吧</t>
  </si>
  <si>
    <t>ba</t>
  </si>
  <si>
    <t>助</t>
  </si>
  <si>
    <t>Nhé</t>
  </si>
  <si>
    <t>Bộ Khẩu (口) + Ba (巴). Dùng miệng để gợi ý, rủ rê.</t>
  </si>
  <si>
    <t>八</t>
  </si>
  <si>
    <t>bā</t>
  </si>
  <si>
    <t>数</t>
  </si>
  <si>
    <t>Hình ảnh hai nét loe ra như số 8 viết ngược hoặc cái bát úp.</t>
  </si>
  <si>
    <t>爸爸</t>
  </si>
  <si>
    <t>bàba</t>
  </si>
  <si>
    <t>名</t>
  </si>
  <si>
    <t>Chữ Phụ (父) là cha. Chữ Ba (巴): mượn âm đọc</t>
  </si>
  <si>
    <t>百</t>
  </si>
  <si>
    <t>bǎi</t>
  </si>
  <si>
    <t>Thêm một (一) nét trên chữ trắng (白) là tròn một trăm (百)."</t>
  </si>
  <si>
    <t>白天</t>
  </si>
  <si>
    <t>báitiān</t>
  </si>
  <si>
    <t>Bạch (白 - sáng) + Thiên (天 - trời). Trời sáng là ban ngày.</t>
  </si>
  <si>
    <t>半</t>
  </si>
  <si>
    <t>bàn</t>
  </si>
  <si>
    <t>数、（副）</t>
  </si>
  <si>
    <t>Có một vật bị nhát dao (丨) bổ thẳng xuống, khiến nó vỡ ra làm hai bên (丷), chia vật đó thành một nửa (半)</t>
  </si>
  <si>
    <t>包子</t>
  </si>
  <si>
    <t>bāozi</t>
  </si>
  <si>
    <t>Bộ Bao (勹) bao bọc bên ngoài nhân bánh (巳). "Tử" là cái bánh nhỏ.</t>
  </si>
  <si>
    <t>杯子</t>
  </si>
  <si>
    <t>bēizi</t>
  </si>
  <si>
    <t>Cái cốc (杯) ngày xưa làm bằng gỗ (木), nhìn đơn giản không (不) cầu kỳ, là vật nhỏ (子) cầm trên tay.</t>
  </si>
  <si>
    <t>本</t>
  </si>
  <si>
    <t>běn</t>
  </si>
  <si>
    <t>量</t>
  </si>
  <si>
    <t>Cuốn (sách)/gốc</t>
  </si>
  <si>
    <t>Chữ Mộc (木) thêm gạch ngang ở dưới chỉ gốc rễ, cội nguồn (cuốn sách).</t>
  </si>
  <si>
    <t>边</t>
  </si>
  <si>
    <t>biān</t>
  </si>
  <si>
    <t>名、后缀</t>
  </si>
  <si>
    <t>Cạnh/Bên/Biên giới</t>
  </si>
  <si>
    <t>Bộ Quai Sước (辶 - đi) + Lực (力). Phải tốn lực để đi đến biên giới/cạnh.</t>
  </si>
  <si>
    <t>病</t>
  </si>
  <si>
    <t>bìng</t>
  </si>
  <si>
    <t>名、动</t>
  </si>
  <si>
    <t>Bộ Nạch (疒) liên quan đến bệnh tật + chữ Bính (丙) chỉ âm.</t>
  </si>
  <si>
    <t>不</t>
  </si>
  <si>
    <t>bù</t>
  </si>
  <si>
    <t>副</t>
  </si>
  <si>
    <t>Hình ảnh con chim bay lên trời không quay lại (phủ định).</t>
  </si>
  <si>
    <t>不客气</t>
  </si>
  <si>
    <t>bú kèqi</t>
  </si>
  <si>
    <t>Đừng khách sáo.</t>
  </si>
  <si>
    <t>Không (不) + Khách (客) + Khí (气). Đừng khách sáo.</t>
  </si>
  <si>
    <t>不要</t>
  </si>
  <si>
    <t>búyào</t>
  </si>
  <si>
    <t>Không muốn/không cần</t>
  </si>
  <si>
    <t>Không (不) + Muốn (要). Phụ nữ (女) luôn Muốn (要) được che chở (覀)</t>
  </si>
  <si>
    <t>菜</t>
  </si>
  <si>
    <t>cài</t>
  </si>
  <si>
    <t>Bộ Thảo (艹 - rau) + chữ Thái (采) chỉ âm. Rau cỏ là thức ăn.</t>
  </si>
  <si>
    <t>茶</t>
  </si>
  <si>
    <t>chá</t>
  </si>
  <si>
    <t>Bộ Thảo (艹) + Nhân (人) + Mộc (木). Cây cỏ mà con người hái về uống.</t>
  </si>
  <si>
    <t>唱</t>
  </si>
  <si>
    <t>chàng</t>
  </si>
  <si>
    <t>Bộ Khẩu (口) để hát + chữ Xương (昌 - hai mặt trời) vang dội.</t>
  </si>
  <si>
    <t>超市</t>
  </si>
  <si>
    <t>chāoshì</t>
  </si>
  <si>
    <t>Một cái Chợ (市) mà quy mô của nó Siêu (超) lớn,</t>
  </si>
  <si>
    <t>车</t>
  </si>
  <si>
    <t>chē</t>
  </si>
  <si>
    <t>Xe</t>
  </si>
  <si>
    <t>Hình ảnh chiếc xe nhìn từ trên xuống.</t>
  </si>
  <si>
    <t>吃</t>
  </si>
  <si>
    <t>chī</t>
  </si>
  <si>
    <t>Bộ Khẩu (口) để ăn + chữ Ngất (乞) chỉ việc xin ăn.</t>
  </si>
  <si>
    <t>穿</t>
  </si>
  <si>
    <t>chuān</t>
  </si>
  <si>
    <t>mặc/xuyên qua</t>
  </si>
  <si>
    <t>Bộ Huyệt (穴 - hang) + Nha (牙 - răng). Con vật dùng răng (牙) để đục một cái lỗ (穴) rồi chui xuyên qua đó</t>
  </si>
  <si>
    <t>出租车</t>
  </si>
  <si>
    <t>chūzūchē</t>
  </si>
  <si>
    <t>Xuất (出) + Thuê (租) + Xe (车). Xe cho thuê.</t>
  </si>
  <si>
    <t>大</t>
  </si>
  <si>
    <t>dà</t>
  </si>
  <si>
    <t>形</t>
  </si>
  <si>
    <t>Hình người dang rộng tay chân thể hiện sự to lớn.</t>
  </si>
  <si>
    <t>打电话</t>
  </si>
  <si>
    <t>dǎ diànhuà</t>
  </si>
  <si>
    <t>Đả (打 - tay) + Điện (电) + Thoại (话). Dùng tay bấm điện thoại nói chuyện.</t>
  </si>
  <si>
    <t>大家</t>
  </si>
  <si>
    <t>dàjiā</t>
  </si>
  <si>
    <t>代</t>
  </si>
  <si>
    <t>Đại (大) + Gia (家 - nhà). Mọi người trong một gia đình lớn.</t>
  </si>
  <si>
    <t>到</t>
  </si>
  <si>
    <t>dào</t>
  </si>
  <si>
    <t>Chữ Chí (至 - đến) + bộ Đao (刂). Đến nơi hạ đao nghỉ.</t>
  </si>
  <si>
    <t>大学</t>
  </si>
  <si>
    <t>dàxué</t>
  </si>
  <si>
    <t>Đại (大) + Học (学). Trường học lớn.</t>
  </si>
  <si>
    <t>大学生</t>
  </si>
  <si>
    <t>dàxuéshēng</t>
  </si>
  <si>
    <t>Đại học (大学) + Sinh (生). Sinh viên đại học.</t>
  </si>
  <si>
    <t>的</t>
  </si>
  <si>
    <t>de</t>
  </si>
  <si>
    <t>Chữ Bạch (白) + bộ Bao (勺). Cái đích đánh dấu sở hữu.</t>
  </si>
  <si>
    <t>第</t>
  </si>
  <si>
    <t>dì</t>
  </si>
  <si>
    <t>前缀</t>
  </si>
  <si>
    <t>thứ/số thứ tự</t>
  </si>
  <si>
    <t>Bộ Trúc (竹) + chữ Đệ (弟). Dùng thẻ tre ghi thứ tự anh em.</t>
  </si>
  <si>
    <t>店</t>
  </si>
  <si>
    <t>diàn</t>
  </si>
  <si>
    <t>Bộ Nghiễm (广 - mái nhà) + Chiêm (占). Nơi chiếm một góc nhà để bán hàng.</t>
  </si>
  <si>
    <t>点</t>
  </si>
  <si>
    <t>diǎn</t>
  </si>
  <si>
    <t>量、（名）</t>
  </si>
  <si>
    <t>Chữ Chiêm (占) + bộ Hỏa (灬). Đốt lửa xem giờ/điểm tâm.</t>
  </si>
  <si>
    <t>电话</t>
  </si>
  <si>
    <t>diànhuà</t>
  </si>
  <si>
    <t>Điện (电) + Thoại (话). Lời nói truyền đi bằng điện.</t>
  </si>
  <si>
    <t>电脑</t>
  </si>
  <si>
    <t>diànnǎo</t>
  </si>
  <si>
    <t>Điện (电) + Não (脑). Bộ não chạy bằng điện.</t>
  </si>
  <si>
    <t>电视</t>
  </si>
  <si>
    <t>diànshì</t>
  </si>
  <si>
    <t>Điện (电) + Thị (视 - nhìn, xem). Xem vào cái máy chạy bằng điện.</t>
  </si>
  <si>
    <t>电影</t>
  </si>
  <si>
    <t>diànyǐng</t>
  </si>
  <si>
    <t>Điện (电) + Ảnh (影). Hình ảnh chuyển động nhờ điện.</t>
  </si>
  <si>
    <t>电影院</t>
  </si>
  <si>
    <t>diànyǐngyuàn</t>
  </si>
  <si>
    <t>Điện ảnh (电影) + Viện (院). Tòa nhà xem phim.</t>
  </si>
  <si>
    <t>弟弟</t>
  </si>
  <si>
    <t>dìdi</t>
  </si>
  <si>
    <t>Hình ảnh sợi dây quấn quanh cái trục (thứ tự em trai).</t>
  </si>
  <si>
    <t>东西</t>
  </si>
  <si>
    <t>dōngxi</t>
  </si>
  <si>
    <t>đồ, đồ vật, đồ đạc</t>
  </si>
  <si>
    <t>Đông (东) + Tây (西). Đồ đạc mua từ Đông sang Tây.</t>
  </si>
  <si>
    <t>都</t>
  </si>
  <si>
    <t>dōu</t>
  </si>
  <si>
    <t>đều / tất cả / hết</t>
  </si>
  <si>
    <t>Bộ Giả (者-người) + bộ Ấp (阝-khu vực). Người ở khắp mọi nơi</t>
  </si>
  <si>
    <t>读</t>
  </si>
  <si>
    <t>dú</t>
  </si>
  <si>
    <t>Bộ Ngôn (讠) + chữ Mại (卖). Bán lời nói ra là đọc.</t>
  </si>
  <si>
    <t>对</t>
  </si>
  <si>
    <t>duì</t>
  </si>
  <si>
    <t>形、介、（动、量）</t>
  </si>
  <si>
    <t>đúng/phải</t>
  </si>
  <si>
    <t>Bộ Hựu (又 - tay) + bộ Thốn (寸-tấc). Tay đo chính xác từng tấc  là đúng.</t>
  </si>
  <si>
    <t>对不起</t>
  </si>
  <si>
    <t>duìbuqǐ</t>
  </si>
  <si>
    <t xml:space="preserve">Không đối mặt nổi vì cảm thấy có lỗi. </t>
  </si>
  <si>
    <t>多</t>
  </si>
  <si>
    <t>duō</t>
  </si>
  <si>
    <t>形、代、（动、数、</t>
  </si>
  <si>
    <t>Hai chữ Tịch (夕 - tối) chồng lên nhau. Nhiều tối trôi qua.</t>
  </si>
  <si>
    <t>多少</t>
  </si>
  <si>
    <t>duōshao</t>
  </si>
  <si>
    <t>Đa (多 - nhiều) + Thiểu (少 - ít).</t>
  </si>
  <si>
    <t>读书</t>
  </si>
  <si>
    <t>dúshū</t>
  </si>
  <si>
    <t>đọc sách</t>
  </si>
  <si>
    <t>Đọc (读) + Thư (书 - hình cái bút viết lên giấy).</t>
  </si>
  <si>
    <t>二</t>
  </si>
  <si>
    <t>èr</t>
  </si>
  <si>
    <t>Hai vạch ngang tượng trưng cho số 2.</t>
  </si>
  <si>
    <t>儿子</t>
  </si>
  <si>
    <t>érzi</t>
  </si>
  <si>
    <t>Nhi (儿 - trẻ con) + Tử (子 - con).</t>
  </si>
  <si>
    <t>饭</t>
  </si>
  <si>
    <t>fàn</t>
  </si>
  <si>
    <t>cơm/bữa ăn</t>
  </si>
  <si>
    <t>Bộ Thực (饣- ăn) + chữ Phản (反). Đồ ăn để phản hồi cơn đói.</t>
  </si>
  <si>
    <t>饭店</t>
  </si>
  <si>
    <t>fàndiàn</t>
  </si>
  <si>
    <t>Phạn (饭-cơm) + Điếm (店-cửa hàng). Nơi dừng chân để ăn cơm.</t>
  </si>
  <si>
    <t>房间</t>
  </si>
  <si>
    <t>fángjiān</t>
  </si>
  <si>
    <t>Phòng (房-nhà) + Gian (间-cửa 门 mở ra thấy mặt trời 日 là một khoảng trống).</t>
  </si>
  <si>
    <t>非常</t>
  </si>
  <si>
    <t>fēicháng</t>
  </si>
  <si>
    <t>Phi (非-hai cái lược quay lưng, nghĩa là không) + Thường (常). Không tầm thường.</t>
  </si>
  <si>
    <t>飞机</t>
  </si>
  <si>
    <t>fēijī</t>
  </si>
  <si>
    <t>Phi (飞-hình con chim đang bay) + Cơ (机-máy móc, có bộ Mộc 木). cái máy mà bay như chim</t>
  </si>
  <si>
    <t>分</t>
  </si>
  <si>
    <t>fēn</t>
  </si>
  <si>
    <t>量、（动、名）</t>
  </si>
  <si>
    <t>phút/chia/điểm/phân biệt</t>
  </si>
  <si>
    <t>Bộ Bát (八) chia đôi chữ Đao (刀). Dùng dao chia nhỏ.</t>
  </si>
  <si>
    <t>分钟</t>
  </si>
  <si>
    <t>fēnzhōng</t>
  </si>
  <si>
    <t>Phân (分) + Chung (钟-bộ Kim 金 vì đồng hồ làm bằng kim loại).</t>
  </si>
  <si>
    <t>高兴</t>
  </si>
  <si>
    <t>gāoxìng</t>
  </si>
  <si>
    <t>Cao (高-cái tháp cao) + Hứng (兴-nhiều tay cùng nâng vật). Cùng nhau chung vui.</t>
  </si>
  <si>
    <t>个</t>
  </si>
  <si>
    <t>gè</t>
  </si>
  <si>
    <t>cái/người</t>
  </si>
  <si>
    <t>Hình ảnh một người (人) đứng thẳng, lượng từ phổ biến nhất.</t>
  </si>
  <si>
    <t>歌</t>
  </si>
  <si>
    <t>gē</t>
  </si>
  <si>
    <t>Chữ Ca (哥-anh trai) + bộ Khiếm (欠-há miệng). Anh trai há miệng hát.</t>
  </si>
  <si>
    <t>哥哥</t>
  </si>
  <si>
    <t>gēge</t>
  </si>
  <si>
    <t>Hai chữ Khả (可) chồng lên nhau. Người có khả năng gánh vác việc nặng  là anh trai</t>
  </si>
  <si>
    <t>给</t>
  </si>
  <si>
    <t>gěi</t>
  </si>
  <si>
    <t>动、（介）</t>
  </si>
  <si>
    <t>Bộ Mịch (纟-sợi chỉ) + chữ Hợp (合). Kết nối và trao đi.</t>
  </si>
  <si>
    <t>公司</t>
  </si>
  <si>
    <t>gōngsī</t>
  </si>
  <si>
    <t>Công (公-của chung) + Ty (司-người cầm gậy chỉ huy 口). Nơi quản lý chung.</t>
  </si>
  <si>
    <t>工作</t>
  </si>
  <si>
    <t>gōngzuò</t>
  </si>
  <si>
    <t>动、名</t>
  </si>
  <si>
    <t>Công (工-thợ xây) + Tác (作-người 亻 làm việc). Người thợ đang làm việc.</t>
  </si>
  <si>
    <t>狗</t>
  </si>
  <si>
    <t>gǒu</t>
  </si>
  <si>
    <t>Bộ Khuyển (犭-con chó) + chữ Câu (句) chỉ âm đọc.</t>
  </si>
  <si>
    <t>贵</t>
  </si>
  <si>
    <t>guì</t>
  </si>
  <si>
    <t>Bên trên là chữ Trung (中), bên dưới là bộ Bối (贝-tiền cổ). Đồ quý giá.</t>
  </si>
  <si>
    <t>国</t>
  </si>
  <si>
    <t>guó</t>
  </si>
  <si>
    <t xml:space="preserve">Bộ Vi (囗-bao quanh) + chữ Ngọc (玉). quốc gia là viên ngọc cần được bao quanh bảo vệ </t>
  </si>
  <si>
    <t>还</t>
  </si>
  <si>
    <t>hái</t>
  </si>
  <si>
    <t>vẫn còn</t>
  </si>
  <si>
    <t>Bộ Quai sước (辶-đi) + chữ Bất (不). Đi rồi lại quay lại (vẫn còn đó).</t>
  </si>
  <si>
    <t>孩子</t>
  </si>
  <si>
    <t>háizi</t>
  </si>
  <si>
    <t>Hài (孩-trẻ em) + Tử (子-con).</t>
  </si>
  <si>
    <t>汉语</t>
  </si>
  <si>
    <t>Hànyǔ</t>
  </si>
  <si>
    <t>Tiếng Hán</t>
  </si>
  <si>
    <t>Hán (汉-sông Thủy 氵) + Ngữ (语-ngôn ngữ 言). Tiếng của người Hán.</t>
  </si>
  <si>
    <t>汉字</t>
  </si>
  <si>
    <t>Hànzì</t>
  </si>
  <si>
    <t>Hán (汉) + Tự (字-đứa trẻ 子 dưới mái nhà 宀 đang học chữ).</t>
  </si>
  <si>
    <t>号</t>
  </si>
  <si>
    <t>hào</t>
  </si>
  <si>
    <t>名、量</t>
  </si>
  <si>
    <t>Bộ Khẩu (口) và nét vẽ. Cái miệng đang hô to số hiệu.</t>
  </si>
  <si>
    <t>好</t>
  </si>
  <si>
    <t>hǎo</t>
  </si>
  <si>
    <t>形、（副）、（动）</t>
  </si>
  <si>
    <t>Bộ Nữ (女) + bộ Tử (子). Gia đình có cả con gái và con trai là điều tốt.</t>
  </si>
  <si>
    <t>好吃</t>
  </si>
  <si>
    <t>hǎochī</t>
  </si>
  <si>
    <t>Tốt (好) + Ăn (吃). Ăn thấy tốt là ngon.</t>
  </si>
  <si>
    <t>好看</t>
  </si>
  <si>
    <t>hǎokàn</t>
  </si>
  <si>
    <t>Tốt (好) + Nhìn (看-tay che trên mắt để nhìn). Nhìn thấy tốt là đẹp.</t>
  </si>
  <si>
    <t>好听</t>
  </si>
  <si>
    <t>hǎotīng</t>
  </si>
  <si>
    <t>Nghe hay</t>
  </si>
  <si>
    <t>Tốt (好) + Nghe (听-dùng tai để nghe). Nghe thấy tốt là hay.</t>
  </si>
  <si>
    <t>好玩儿</t>
  </si>
  <si>
    <t>hǎowánr</t>
  </si>
  <si>
    <t>vui/thú vị/chơi rất thích</t>
  </si>
  <si>
    <t>Tốt (好) + Chơi (玩-bộ Vương 王). Chơi với ngọc quý rất vui.</t>
  </si>
  <si>
    <t>和</t>
  </si>
  <si>
    <t>hé</t>
  </si>
  <si>
    <t>介、连</t>
  </si>
  <si>
    <t>Bộ Hòa (禾-cây lúa) + bộ Khẩu (口). Có lúa cho miệng ăn là hòa bình.</t>
  </si>
  <si>
    <t>喝</t>
  </si>
  <si>
    <t>hē</t>
  </si>
  <si>
    <t>Bộ Khẩu (口) để uống + phần bên cạnh chỉ người đang khom lưng.</t>
  </si>
  <si>
    <t>很</t>
  </si>
  <si>
    <t>hěn</t>
  </si>
  <si>
    <t>Bộ Xích (彳-bước chân) + chữ Cấn (艮-bền bỉ). Bước đi rất cố gắng.</t>
  </si>
  <si>
    <t>后</t>
  </si>
  <si>
    <t>hòu</t>
  </si>
  <si>
    <t>Hình ảnh người ra lệnh (口) từ phía sau tấm màn che.</t>
  </si>
  <si>
    <t>回</t>
  </si>
  <si>
    <t>huí</t>
  </si>
  <si>
    <t>动、（量）</t>
  </si>
  <si>
    <t>Vòng tròn nhỏ bên trong vòng tròn lớn. Quay trở lại điểm xuất phát.</t>
  </si>
  <si>
    <t>会</t>
  </si>
  <si>
    <t>huì</t>
  </si>
  <si>
    <t>biết / có khả năng</t>
  </si>
  <si>
    <t>Bộ Nhân (人) trên bộ Vân (云-mây). Người hiểu biết nhiều như mây trời.</t>
  </si>
  <si>
    <t>火车</t>
  </si>
  <si>
    <t>huǒchē</t>
  </si>
  <si>
    <t>Hỏa (火-lửa) + Xe (车). Xe chạy bằng lửa (đầu máy hơi nước).</t>
  </si>
  <si>
    <t>几</t>
  </si>
  <si>
    <t>jǐ</t>
  </si>
  <si>
    <t>代、数</t>
  </si>
  <si>
    <t>Hình ảnh chiếc bàn nhỏ hoặc cái ghế (đếm số lượng ít).</t>
  </si>
  <si>
    <t>家</t>
  </si>
  <si>
    <t>jiā</t>
  </si>
  <si>
    <t>名、量、（后缀）</t>
  </si>
  <si>
    <t>Nhà/lượng từ (cho cửa hàng, công ty)</t>
  </si>
  <si>
    <t>Bộ Miên (宀-mái nhà) + bộ Thỉ (豕-con lợn). Dưới mái nhà có lợn là có gia đình.</t>
  </si>
  <si>
    <t>见</t>
  </si>
  <si>
    <t>jiàn</t>
  </si>
  <si>
    <t>Bộ Mục (目-mắt) trên đôi chân. Đi bộ đến để nhìn mặt nhau.</t>
  </si>
  <si>
    <t>件</t>
  </si>
  <si>
    <t>Kiện/bộ (quần áo)</t>
  </si>
  <si>
    <t>Bộ Nhân (亻) + bộ Ngưu (牛). Một người dắt con trâu là một kiện sự việc.</t>
  </si>
  <si>
    <t>叫</t>
  </si>
  <si>
    <t>jiào</t>
  </si>
  <si>
    <t>Bộ Khẩu (口) để gọi + nét móc như cái loa kêu.</t>
  </si>
  <si>
    <t>饺子</t>
  </si>
  <si>
    <t>jiǎozi</t>
  </si>
  <si>
    <t>bánh chẻo</t>
  </si>
  <si>
    <t>Bộ Thực (饣-ăn) + chữ Giao (交). Loại bánh ăn vào lúc giao thừa.</t>
  </si>
  <si>
    <t>家人</t>
  </si>
  <si>
    <t>jiārén</t>
  </si>
  <si>
    <t>Người nhà</t>
  </si>
  <si>
    <t>Gia (家) + Nhân (人). Người trong một gia đình.</t>
  </si>
  <si>
    <t>鸡蛋</t>
  </si>
  <si>
    <t>jīdàn</t>
  </si>
  <si>
    <t>Kê (鸡-con gà có bộ Điểu 鸟) + Đán (蛋-quả trứng).</t>
  </si>
  <si>
    <t>姐姐</t>
  </si>
  <si>
    <t>jiějie</t>
  </si>
  <si>
    <t>Bộ Nữ (女) + chữ Thả (且-cái tháp). Người phụ nữ cao lớn (chị).</t>
  </si>
  <si>
    <t>今年</t>
  </si>
  <si>
    <t>jīnnián</t>
  </si>
  <si>
    <t>Kim (今-hiện tại) + Niên (年-vụ lúa). Năm nay lúa đã chín.</t>
  </si>
  <si>
    <t>今天</t>
  </si>
  <si>
    <t>jīntiān</t>
  </si>
  <si>
    <t>Kim (今-hiện tại) + Thiên (天-bầu trời/ngày).</t>
  </si>
  <si>
    <t>九</t>
  </si>
  <si>
    <t>jiǔ</t>
  </si>
  <si>
    <t>Hình ảnh một cánh tay đang gập lại (biểu thị số 9).</t>
  </si>
  <si>
    <t>觉得</t>
  </si>
  <si>
    <t>juéde</t>
  </si>
  <si>
    <t>Giác (觉-nhìn thấy) + Đắc (得-đạt được). Cảm nhận thấy điều gì.</t>
  </si>
  <si>
    <t>开</t>
  </si>
  <si>
    <t>kāi</t>
  </si>
  <si>
    <t>Hình ảnh hai bàn tay đang mở cánh cửa ra.</t>
  </si>
  <si>
    <t>开车</t>
  </si>
  <si>
    <t>kāichē</t>
  </si>
  <si>
    <t>Mở (开) + Xe (车). Vận hành chiếc xe.</t>
  </si>
  <si>
    <t>看</t>
  </si>
  <si>
    <t>kàn</t>
  </si>
  <si>
    <t>Bộ Thủ (手-tay) đặt trên bộ Mục (目-mắt) để che nắng nhìn cho rõ.</t>
  </si>
  <si>
    <t>看病</t>
  </si>
  <si>
    <t>kànbìng</t>
  </si>
  <si>
    <t>Nhìn (看) + Bệnh (病). Bác sĩ nhìn ra bệnh.</t>
  </si>
  <si>
    <t>看见</t>
  </si>
  <si>
    <t>kànjiàn</t>
  </si>
  <si>
    <t>Nhìn (看) + Thấy (见). Dùng tay che mắt (看) đi đến để gặp (见).</t>
  </si>
  <si>
    <t>课</t>
  </si>
  <si>
    <t>kè</t>
  </si>
  <si>
    <t>tiết học</t>
  </si>
  <si>
    <t>Bộ Ngôn (讠-lời nói) + chữ Quả (果-kết quả). Lời nói ra kết quả là bài học.</t>
  </si>
  <si>
    <t>可以</t>
  </si>
  <si>
    <t>kěyǐ</t>
  </si>
  <si>
    <t>动、形</t>
  </si>
  <si>
    <t>Chữ Khả (可-có thể) + chữ Dĩ (以-bằng cách).</t>
  </si>
  <si>
    <t>口</t>
  </si>
  <si>
    <t>kǒu</t>
  </si>
  <si>
    <t>Hình cái miệng đang mở to.</t>
  </si>
  <si>
    <t>块</t>
  </si>
  <si>
    <t>kuài</t>
  </si>
  <si>
    <t>miếng, cục/đơn vị tiền tệ</t>
  </si>
  <si>
    <t>Bộ Thổ (土-đất) + chữ Quyết (夬). Đất bị tách ra thành từng cục → một khối / một miếng</t>
  </si>
  <si>
    <t>来</t>
  </si>
  <si>
    <t>lái</t>
  </si>
  <si>
    <t>Hình ảnh bông lúa mì đang rủ xuống (nghĩa gốc là lúa từ xa tới).</t>
  </si>
  <si>
    <t>老师</t>
  </si>
  <si>
    <t>lǎoshī</t>
  </si>
  <si>
    <t>Lão (老-người già chống gậy) + Sư (师-quân đội/thầy). Người thầy đáng kính.</t>
  </si>
  <si>
    <t>了</t>
  </si>
  <si>
    <t>le</t>
  </si>
  <si>
    <t>Hình ảnh một đứa trẻ đã rụng mất đôi tay (đã xong một giai đoạn).</t>
  </si>
  <si>
    <t>冷</t>
  </si>
  <si>
    <t>lěng</t>
  </si>
  <si>
    <t>Bộ Băng (冫-nước đá) + chữ Lệnh (令). Khi có lệnh đóng băng thì rất lạnh.</t>
  </si>
  <si>
    <t>里</t>
  </si>
  <si>
    <t>lǐ</t>
  </si>
  <si>
    <t>Bên trên là Điền (田-ruộng), bên dưới là Thổ (土-đất). Trong lòng đất ruộng.</t>
  </si>
  <si>
    <t>两</t>
  </si>
  <si>
    <t>liǎng</t>
  </si>
  <si>
    <t>Hình ảnh hai người (人) đứng trong một cái khung (lượng từ số 2).</t>
  </si>
  <si>
    <t>零</t>
  </si>
  <si>
    <t>líng</t>
  </si>
  <si>
    <t>Bộ Vũ (雨-mưa) + chữ Lệnh (令). Mưa lất phất nhỏ như không có gì.</t>
  </si>
  <si>
    <t>六</t>
  </si>
  <si>
    <t>liù</t>
  </si>
  <si>
    <t>Hình ảnh một cái nắp có hai chân (người xưa dùng ký hiệu để đếm).</t>
  </si>
  <si>
    <t>吗</t>
  </si>
  <si>
    <t>ma</t>
  </si>
  <si>
    <t>trợ từ nghi vấn</t>
  </si>
  <si>
    <t>Bộ Khẩu (口) dùng để hỏi + chữ Mã (马-ngựa) chỉ âm đọc.</t>
  </si>
  <si>
    <t>卖</t>
  </si>
  <si>
    <t>mài</t>
  </si>
  <si>
    <t>Chữ Thập (十) ở trên chữ Mại (买-mua). Mua vào 10 thì bán ra để có lời.</t>
  </si>
  <si>
    <t>买</t>
  </si>
  <si>
    <t>mǎi</t>
  </si>
  <si>
    <t>Phía trên là bộ Mịch (冖-cái lưới), dưới là bộ Bối (贝-tiền). Dùng tiền mua đồ bỏ vào lưới.</t>
  </si>
  <si>
    <t>妈妈</t>
  </si>
  <si>
    <t>māma</t>
  </si>
  <si>
    <t>Bộ Nữ (女-phụ nữ) + chữ Mã (马-ngựa) chỉ âm. Mẹ làm việc vất vả như con ngựa.</t>
  </si>
  <si>
    <t>忙</t>
  </si>
  <si>
    <t>máng</t>
  </si>
  <si>
    <t>形、动</t>
  </si>
  <si>
    <t>Bộ Tâm đứng (忄-tim) + chữ Vong (亡-mất mát). Bận đến mức tim như muốn mất đi.</t>
  </si>
  <si>
    <t>猫</t>
  </si>
  <si>
    <t>māo</t>
  </si>
  <si>
    <t>Bộ Trãi (豸-loài thú có chân) + chữ Miêu (苗-mầm cây) chỉ âm.</t>
  </si>
  <si>
    <t>没关系</t>
  </si>
  <si>
    <t>méi guānxi</t>
  </si>
  <si>
    <t>Một (没-không có) + Quan hệ (关系). Không có liên quan/ảnh hưởng gì.</t>
  </si>
  <si>
    <t>妹妹</t>
  </si>
  <si>
    <t>mèimei</t>
  </si>
  <si>
    <t>Bộ Nữ (女) + chữ Mùi (未-chưa). Người phụ nữ chưa trưởng thành (em gái).</t>
  </si>
  <si>
    <t>没事</t>
  </si>
  <si>
    <t>méishì</t>
  </si>
  <si>
    <t>không sao</t>
  </si>
  <si>
    <t>Không có (没) + sự,chuyện (事-công việc). Không có chuyện → không sao</t>
  </si>
  <si>
    <t>没</t>
  </si>
  <si>
    <t>méi(yǒu)</t>
  </si>
  <si>
    <t>动、副</t>
  </si>
  <si>
    <t>Một (没-bộ Thủy 氵)Nướclàm trôi sạch -&gt; Không còn gì.</t>
  </si>
  <si>
    <t>们</t>
  </si>
  <si>
    <t>men</t>
  </si>
  <si>
    <t>后缀</t>
  </si>
  <si>
    <t>Bộ Nhân (亻) + chữ Môn (门-cánh cửa). Nhiều người đứng trước cửa.</t>
  </si>
  <si>
    <t>面包</t>
  </si>
  <si>
    <t>miànbāo</t>
  </si>
  <si>
    <t>Diện (面-mặt/bột mì) + Bao (包-bao bọc). Bột mì được bao bọc lại.</t>
  </si>
  <si>
    <t>面条儿</t>
  </si>
  <si>
    <t>miàntiáor</t>
  </si>
  <si>
    <t>mì sợi</t>
  </si>
  <si>
    <t>Diện (面-bề mặt.) + Điều (条-cành cây/vật dài). Sợi bột mì dài như cành cây.</t>
  </si>
  <si>
    <t>米饭</t>
  </si>
  <si>
    <t>mǐfàn</t>
  </si>
  <si>
    <t>Mễ (米-hạt gạo) + Phạn (饭-cơm). Gạo nấu thành cơm.</t>
  </si>
  <si>
    <t>明年</t>
  </si>
  <si>
    <t>míngnián</t>
  </si>
  <si>
    <t>Minh (明-mặt trời 日 + mặt trăng 月) + Niên (年). Năm tới đầy ánh sáng.</t>
  </si>
  <si>
    <t>明天</t>
  </si>
  <si>
    <t>míngtiān</t>
  </si>
  <si>
    <t>Minh (明-sáng sủa) + Thiên (天-ngày). Ngày tươi sáng là ngày mai.</t>
  </si>
  <si>
    <t>名字</t>
  </si>
  <si>
    <t>míngzi</t>
  </si>
  <si>
    <t>Danh (名-buổi tối 夕 há miệng 口 gọi tên) + Tự (字-chữ).</t>
  </si>
  <si>
    <t>那</t>
  </si>
  <si>
    <t>nà</t>
  </si>
  <si>
    <t>代、（连）</t>
  </si>
  <si>
    <t>kia / đó (chỉ xa người nói)</t>
  </si>
  <si>
    <t>Bộ Đô (阝-vùng đất) + chữ Nhị (二) + chữ Nhân (人). Người ở vùng đất kia.</t>
  </si>
  <si>
    <t>哪</t>
  </si>
  <si>
    <t>nǎ</t>
  </si>
  <si>
    <t>ở đâu? (để hỏi)</t>
  </si>
  <si>
    <t>Chữ 那 thêm bộ Khẩu (口) để hỏi.</t>
  </si>
  <si>
    <t>那边</t>
  </si>
  <si>
    <t>nàbiān</t>
  </si>
  <si>
    <t>bên đó</t>
  </si>
  <si>
    <t>Kia (那) + Cạnh (边).</t>
  </si>
  <si>
    <t>那个</t>
  </si>
  <si>
    <t>nàge</t>
  </si>
  <si>
    <t>Kia (那) + Lượng từ (个).</t>
  </si>
  <si>
    <t>哪个</t>
  </si>
  <si>
    <t>nǎge</t>
  </si>
  <si>
    <t>cái nào? (để hỏi)</t>
  </si>
  <si>
    <t>Nào (哪) + Lượng từ (个).</t>
  </si>
  <si>
    <t>那里</t>
  </si>
  <si>
    <t>nàlǐ</t>
  </si>
  <si>
    <t>Ở kia (chỉ địa điểm).</t>
  </si>
  <si>
    <t>Kia (那) + Trong (里).</t>
  </si>
  <si>
    <t>哪里</t>
  </si>
  <si>
    <t>nǎlǐ</t>
  </si>
  <si>
    <t>Ở đâu? (Dùng để hỏi).</t>
  </si>
  <si>
    <t>Nào (哪) + Trong (里).</t>
  </si>
  <si>
    <t>男</t>
  </si>
  <si>
    <t>nán</t>
  </si>
  <si>
    <t>Bộ Điền (田-ruộng) + bộ Lực (力). Người dùng sức lực làm ruộng là đàn ông.</t>
  </si>
  <si>
    <t>男朋友</t>
  </si>
  <si>
    <t>nánpéngyou</t>
  </si>
  <si>
    <t>Nam (男) + Bằng hữu (朋友).</t>
  </si>
  <si>
    <t>那儿</t>
  </si>
  <si>
    <t>nàr</t>
  </si>
  <si>
    <t>Chỗ kia, ở kia (Dùng để chỉ vị trí ở xa).</t>
  </si>
  <si>
    <t>Kia (那) + Nhi (儿). Biến âm chỉ nơi chốn.</t>
  </si>
  <si>
    <t>哪儿</t>
  </si>
  <si>
    <t>nǎr</t>
  </si>
  <si>
    <t>Nào (哪) + Nhi (儿). Dùng để hỏi vị trí.</t>
  </si>
  <si>
    <t>那些</t>
  </si>
  <si>
    <t>nàxiē</t>
  </si>
  <si>
    <t>Kia (那) + Tá (些-một vài).</t>
  </si>
  <si>
    <t>哪些</t>
  </si>
  <si>
    <t>nǎxiē</t>
  </si>
  <si>
    <t>những cái nào / những người nào</t>
  </si>
  <si>
    <t>Nào (哪) + Tá (些-một vài).</t>
  </si>
  <si>
    <t>呢</t>
  </si>
  <si>
    <t>ne</t>
  </si>
  <si>
    <t>trợ từ</t>
  </si>
  <si>
    <t>Bộ Khẩu (口) + chữ Ni (尼). Dùng miệng để hỏi ngược lại.</t>
  </si>
  <si>
    <t>能</t>
  </si>
  <si>
    <t>néng</t>
  </si>
  <si>
    <t>Hình ảnh con gấu (khỏe mạnh, có năng lực).</t>
  </si>
  <si>
    <t>你</t>
  </si>
  <si>
    <t>nǐ</t>
  </si>
  <si>
    <t>Bộ Nhân (亻-người) + chữ Nhĩ (尔). Người đối diện mình.</t>
  </si>
  <si>
    <t>你好</t>
  </si>
  <si>
    <t>nǐ hǎo</t>
  </si>
  <si>
    <t>Bạn (你) + Tốt (好). Chúc bạn mọi điều tốt lành.</t>
  </si>
  <si>
    <t>年</t>
  </si>
  <si>
    <t>nián</t>
  </si>
  <si>
    <t>Hình ảnh người gánh bó lúa (vụ mùa kết thúc sau một năm).</t>
  </si>
  <si>
    <t>你们</t>
  </si>
  <si>
    <t>nǐmen</t>
  </si>
  <si>
    <t>các bạn</t>
  </si>
  <si>
    <t>Bạn (你) + Số nhiều (们).</t>
  </si>
  <si>
    <t>您</t>
  </si>
  <si>
    <t>nín</t>
  </si>
  <si>
    <t>ngài (lịch sự)</t>
  </si>
  <si>
    <t>Chữ 你 thêm bộ Tâm (心) ở dưới. Đặt bạn ở trong tim là sự tôn trọng.</t>
  </si>
  <si>
    <t>牛奶</t>
  </si>
  <si>
    <t>niúnǎi</t>
  </si>
  <si>
    <t>Ngưu (牛-con bò) + Nãi (奶-bộ Nữ 女 chỉ người vú nuôi). Sữa từ con bò.</t>
  </si>
  <si>
    <t>女</t>
  </si>
  <si>
    <t>nǚ</t>
  </si>
  <si>
    <t>Hình ảnh người phụ nữ đang quỳ gối kính cẩn thời xưa.</t>
  </si>
  <si>
    <t>女儿</t>
  </si>
  <si>
    <t>nǚ'ér</t>
  </si>
  <si>
    <t>Nữ (女) + Nhi (儿-đứa trẻ). Đứa trẻ là nữ.</t>
  </si>
  <si>
    <t>女朋友</t>
  </si>
  <si>
    <t>nǚpéngyou</t>
  </si>
  <si>
    <t>Nữ (女) + Bằng hữu (朋友).</t>
  </si>
  <si>
    <t>女士</t>
  </si>
  <si>
    <t>nǚshì</t>
  </si>
  <si>
    <t>quý cô / phụ nữ (lịch sự,）</t>
  </si>
  <si>
    <t>Nữ (女) + Sĩ (士-kẻ sĩ). Người phụ nữ có học thức/trang trọng.</t>
  </si>
  <si>
    <t>朋友</t>
  </si>
  <si>
    <t>péngyou</t>
  </si>
  <si>
    <t>Bằng (朋-2 vầng trăng/2 miếng thịt đi đôi) + Hữu (友-2 bàn tay nắm lấy nhau).</t>
  </si>
  <si>
    <t>便宜</t>
  </si>
  <si>
    <t>piányi</t>
  </si>
  <si>
    <t>Tiện (便-người 亻 thuận tiện) + Nghi (宜-đồ đạc xếp gọn dưới mái nhà 宀).</t>
  </si>
  <si>
    <t>漂亮</t>
  </si>
  <si>
    <t>piàoliang</t>
  </si>
  <si>
    <t>Phiêu (漂-nước 氵 trong veo) + Lượng (亮-ánh sáng 亠 trên nhà cao).</t>
  </si>
  <si>
    <t>苹果</t>
  </si>
  <si>
    <t>píngguǒ</t>
  </si>
  <si>
    <t>Bình (苹-loại cỏ 艹) + Quả (果-trái cây mọc trên cây 木).</t>
  </si>
  <si>
    <t>七</t>
  </si>
  <si>
    <t>qī</t>
  </si>
  <si>
    <t>Hình ảnh chữ "t" ngược hoặc một nhát cắt ngang.</t>
  </si>
  <si>
    <t>前</t>
  </si>
  <si>
    <t>qián</t>
  </si>
  <si>
    <t>Phía trên là bộ Đao, dưới là con thuyền. Con thuyền luôn tiến về phía trước.</t>
  </si>
  <si>
    <t>钱</t>
  </si>
  <si>
    <t>Bộ Kim (钅-kim loại) + chữ Thương (戋-binh khí). Tiền làm bằng kim loại.</t>
  </si>
  <si>
    <t>千</t>
  </si>
  <si>
    <t>qiān</t>
  </si>
  <si>
    <t>Chữ Thập (十) thêm một nét phẩy ở trên.</t>
  </si>
  <si>
    <t>起床</t>
  </si>
  <si>
    <t>qǐchuáng</t>
  </si>
  <si>
    <t>Khởi (起-chạy 走 đi) + Sàng (床-cái giường dưới mái nhà 广). Rời giường.</t>
  </si>
  <si>
    <t>请</t>
  </si>
  <si>
    <t>qǐng</t>
  </si>
  <si>
    <t>Bộ Ngôn (讠-lời nói) + chữ Thanh (青-xanh/sạch). Lời nói trong sạch là lời mời.</t>
  </si>
  <si>
    <t>请问</t>
  </si>
  <si>
    <t>qǐngwèn</t>
  </si>
  <si>
    <t>xin hỏi</t>
  </si>
  <si>
    <t>Mời (请) + Hỏi (问-đứng ở cửa 门 để hỏi bằng miệng 口).</t>
  </si>
  <si>
    <t>去</t>
  </si>
  <si>
    <t>qù</t>
  </si>
  <si>
    <t>Hình ảnh một người rời khỏi vùng đất cũ (土).</t>
  </si>
  <si>
    <t>去年</t>
  </si>
  <si>
    <t>qùnián</t>
  </si>
  <si>
    <t>Khứ (去-đã qua) + Niên (年-năm). Năm đã qua.</t>
  </si>
  <si>
    <t>热</t>
  </si>
  <si>
    <t>rè</t>
  </si>
  <si>
    <t>Phía trên là chữ Chấp (cầm nắm), dưới là bộ Hỏa (灬-lửa). Nóng như cầm lửa.</t>
  </si>
  <si>
    <t>人</t>
  </si>
  <si>
    <t>rén</t>
  </si>
  <si>
    <t>con người</t>
  </si>
  <si>
    <t>Hình ảnh một người đang đứng dang hai chân.</t>
  </si>
  <si>
    <t>认识</t>
  </si>
  <si>
    <t>rènshi</t>
  </si>
  <si>
    <t>quen biết</t>
  </si>
  <si>
    <t>Nhận (认) + Thức (识). Đều có bộ Ngôn (讠), dùng lời nói để tìm hiểu nhau.</t>
  </si>
  <si>
    <t>日</t>
  </si>
  <si>
    <t>rì</t>
  </si>
  <si>
    <t>Hình tròn có gạch giữa tượng trưng cho thái dương.</t>
  </si>
  <si>
    <t>三</t>
  </si>
  <si>
    <t>sān</t>
  </si>
  <si>
    <t>số 3</t>
  </si>
  <si>
    <t>Ba vạch ngang tượng trưng cho Thiên - Địa - Nhân.</t>
  </si>
  <si>
    <t>上</t>
  </si>
  <si>
    <t>shàng</t>
  </si>
  <si>
    <t>Nét ngang dài ở dưới, nét gạch hướng lên phía trên.</t>
  </si>
  <si>
    <t>上班</t>
  </si>
  <si>
    <t>shàngbān</t>
  </si>
  <si>
    <t>đi làm</t>
  </si>
  <si>
    <t>Thượng (上) + Ban (班-hai viên ngọc 王 bị chia đôi bởi con dao 刂).</t>
  </si>
  <si>
    <t>商店</t>
  </si>
  <si>
    <t>shāngdiàn</t>
  </si>
  <si>
    <t>Thương (商-buôn bán) + Điếm (店-cửa hàng).</t>
  </si>
  <si>
    <t>上课</t>
  </si>
  <si>
    <t>shàngkè</t>
  </si>
  <si>
    <t>vào học</t>
  </si>
  <si>
    <t>Thượng (上) + Khóa (课-bài học).</t>
  </si>
  <si>
    <t>上午</t>
  </si>
  <si>
    <t>shàngwǔ</t>
  </si>
  <si>
    <t>Thượng (上) + Ngọ (午-12 giờ trưa). Thời điểm trước 12h trưa.</t>
  </si>
  <si>
    <t>上学</t>
  </si>
  <si>
    <t>shàngxué</t>
  </si>
  <si>
    <t>Thượng (上) + Học (学-đứa trẻ dưới mái trường).</t>
  </si>
  <si>
    <t>少</t>
  </si>
  <si>
    <t>shǎo</t>
  </si>
  <si>
    <t>ít/thiếu</t>
  </si>
  <si>
    <t>Chữ Tiểu (小-nhỏ) thêm một nét phẩy ở dưới. Đã nhỏ còn bị bớt đi là ít.</t>
  </si>
  <si>
    <t>谁</t>
  </si>
  <si>
    <t>shéi/shuí</t>
  </si>
  <si>
    <t>Bộ Ngôn (讠) + chữ Truy (隹-con chim đuôi ngắn). Ai đang nói chuyện chim chóc?</t>
  </si>
  <si>
    <t>生病</t>
  </si>
  <si>
    <t>shēngbìng</t>
  </si>
  <si>
    <t>Sinh (生) + Bệnh (病-bộ Nạch 疒 chỉ bệnh tật).</t>
  </si>
  <si>
    <t>什么</t>
  </si>
  <si>
    <t>shénme</t>
  </si>
  <si>
    <t>Thập (什-người cầm gậy) + Ma (么).</t>
  </si>
  <si>
    <t>十</t>
  </si>
  <si>
    <t>shí</t>
  </si>
  <si>
    <t>số 10</t>
  </si>
  <si>
    <t>Hình ảnh chiếc chữ thập, đong đầy cả ngang và dọc.</t>
  </si>
  <si>
    <t>事</t>
  </si>
  <si>
    <t>shì</t>
  </si>
  <si>
    <t>điều/việc</t>
  </si>
  <si>
    <t>Hình ảnh một bàn tay cầm chiếc bút ghi chép lại sự việc.</t>
  </si>
  <si>
    <t>是</t>
  </si>
  <si>
    <t>Nhật (日) trên chữ Chính (正). Mặt trời là chân lý, là đúng đắn.</t>
  </si>
  <si>
    <t>时候</t>
  </si>
  <si>
    <t>shíhou</t>
  </si>
  <si>
    <t>Thời (时-mặt trời 日 đo thời gian) + Hậu (候-người 亻 chờ đợi).</t>
  </si>
  <si>
    <t>时间</t>
  </si>
  <si>
    <t>shíjiān</t>
  </si>
  <si>
    <t>Thời (时) + Gian (间-khoảng trống).</t>
  </si>
  <si>
    <t>手机</t>
  </si>
  <si>
    <t>shǒujī</t>
  </si>
  <si>
    <t>Thủ (手-bàn tay) + Cơ (机-máy móc). Máy cầm trên tay.</t>
  </si>
  <si>
    <t>书</t>
  </si>
  <si>
    <t>shū</t>
  </si>
  <si>
    <t>Hình ảnh những cuốn sách xếp chồng lên nhau hoặc nét bút viết.</t>
  </si>
  <si>
    <t>书店</t>
  </si>
  <si>
    <t>shūdiàn</t>
  </si>
  <si>
    <t>Thư (书) + Điếm (店).</t>
  </si>
  <si>
    <t>睡</t>
  </si>
  <si>
    <t>shuì</t>
  </si>
  <si>
    <t>Thụy (睡-mắt 目 rủ xuống) + Giác (觉-cảm thấy).</t>
  </si>
  <si>
    <t>水</t>
  </si>
  <si>
    <t>shuǐ</t>
  </si>
  <si>
    <t>Hình ảnh dòng nước chảy với bọt nước hai bên.</t>
  </si>
  <si>
    <t>水果</t>
  </si>
  <si>
    <t>shuǐguǒ</t>
  </si>
  <si>
    <t>Thủy (水-nước) + Quả (果-trái cây). Trái cây chứa nhiều nước.</t>
  </si>
  <si>
    <t>睡觉</t>
  </si>
  <si>
    <t>shuìjiào</t>
  </si>
  <si>
    <t>睡 (Ngủ): Có bộ Mục (目) là con mắt. Bên cạnh là chữ Thụy (垂) nghĩa là rủ xuống. "Mắt rủ xuống" chính là đang đi ngủ.
觉 (Cảm thấy/Tỉnh): Dưới mái nhà có đứa trẻ đang cảm nhận mọi thứ.</t>
  </si>
  <si>
    <t>说</t>
  </si>
  <si>
    <t>shuō</t>
  </si>
  <si>
    <t>nói</t>
  </si>
  <si>
    <t>Gồm bộ Ngôn (讠) chỉ lời nói + chữ Đoài (兑) nghĩa là vui vẻ/trao đổi.
Mẹo: Dùng lời nói (讠) để trao đổi (兑) giúp mọi người hiểu nhau và cảm thấy vui vẻ</t>
  </si>
  <si>
    <t>说话</t>
  </si>
  <si>
    <t>shuōhuà</t>
  </si>
  <si>
    <t>nói chuyện</t>
  </si>
  <si>
    <t>Thuyết (说) + Thoại (话). Đều có bộ Ngôn (讠) vì dùng lời nói.</t>
  </si>
  <si>
    <t>四</t>
  </si>
  <si>
    <t>sì</t>
  </si>
  <si>
    <t>Hình cái miệng (囗) thấy răng bên trong khi phát âm số 4.</t>
  </si>
  <si>
    <t>岁</t>
  </si>
  <si>
    <t>suì</t>
  </si>
  <si>
    <t>Bộ Sơn (山) trên chữ Tịch (夕). Trải qua bao nhiêu mùa trên núi là bấy nhiêu tuổi.</t>
  </si>
  <si>
    <t>他</t>
  </si>
  <si>
    <t>tā</t>
  </si>
  <si>
    <t>他 (người 亻), 她 (phụ nữ 女), 它 (mái nhà 宀-đồ vật).</t>
  </si>
  <si>
    <t>它</t>
  </si>
  <si>
    <t>Bộ Miên (宀) là mái nhà. Chỉ đồ vật dưới mái nhà (không phải người hay con vật).</t>
  </si>
  <si>
    <t>她</t>
  </si>
  <si>
    <t>Bộ Nữ (女) là phụ nữ. Dùng để chỉ phái đẹp.</t>
  </si>
  <si>
    <t>太</t>
  </si>
  <si>
    <t>tài</t>
  </si>
  <si>
    <t>quá</t>
  </si>
  <si>
    <t>Chữ Đại (大) thêm một dấu chấm ở dưới. Đã lớn còn thêm dấu chấm thành "quá lớn".</t>
  </si>
  <si>
    <t>他们</t>
  </si>
  <si>
    <t>tāmen</t>
  </si>
  <si>
    <t>họ (chỉ nam)</t>
  </si>
  <si>
    <t>Người (他) + số nhiều (们). Dùng cho nhóm có nam hoặc cả nam lẫn nữ.</t>
  </si>
  <si>
    <t>它们</t>
  </si>
  <si>
    <t>họ (chỉ đồ vật)</t>
  </si>
  <si>
    <t>Vật (它) + số nhiều (们). Dùng cho đồ vật hoặc con vật.</t>
  </si>
  <si>
    <t>她们</t>
  </si>
  <si>
    <t>họ (chỉ nữ)</t>
  </si>
  <si>
    <t>Nữ (她) + số nhiều (们). Dùng cho nhóm chỉ toàn nữ.</t>
  </si>
  <si>
    <t>天</t>
  </si>
  <si>
    <t>tiān</t>
  </si>
  <si>
    <t>Trên đầu người (大) có một gạch ngang chính là bầu trời.</t>
  </si>
  <si>
    <t>天气</t>
  </si>
  <si>
    <t>tiānqì</t>
  </si>
  <si>
    <t>Trời (天) + Khí (气-hình làn khói). Không khí của trời là thời tiết.</t>
  </si>
  <si>
    <t>听</t>
  </si>
  <si>
    <t>tīng</t>
  </si>
  <si>
    <t>Bộ Khẩu (口) để nghe miệng người khác nói và bộ Cân (斤) là cái rìu (nghe rõ như tiếng rìu chặt).</t>
  </si>
  <si>
    <t>听见</t>
  </si>
  <si>
    <t>tīngjiàn</t>
  </si>
  <si>
    <t>nghe thấy</t>
  </si>
  <si>
    <t>Nghe (听) + Thấy (见). Âm thanh đi vào tai và nhận ra được.</t>
  </si>
  <si>
    <t>同学</t>
  </si>
  <si>
    <t>tóngxué</t>
  </si>
  <si>
    <t>Đồng (同-cùng nhau) + Học (学). Những người học cùng nhau.</t>
  </si>
  <si>
    <t>外</t>
  </si>
  <si>
    <t>wài</t>
  </si>
  <si>
    <t>Buổi tối (夕) đi xem bói (卜) ở bên ngoài nhà.</t>
  </si>
  <si>
    <t>外边</t>
  </si>
  <si>
    <t>wàibian</t>
  </si>
  <si>
    <t>bên ngoài</t>
  </si>
  <si>
    <t>Ngoài (外) + Cạnh (边).</t>
  </si>
  <si>
    <t>玩</t>
  </si>
  <si>
    <t>wán</t>
  </si>
  <si>
    <t>Bộ Vương (王) là ngọc. Cầm viên ngọc quý trên tay để chơi đùa.</t>
  </si>
  <si>
    <t>晚</t>
  </si>
  <si>
    <t>wǎn</t>
  </si>
  <si>
    <t>muộn</t>
  </si>
  <si>
    <t>Mặt trời (日) đã miễn cưỡng (免) lặn xuống, trời đã tối muộn.</t>
  </si>
  <si>
    <t>晚饭</t>
  </si>
  <si>
    <t>wǎnfàn</t>
  </si>
  <si>
    <t>Tối (晚) + Cơm (饭).</t>
  </si>
  <si>
    <t>晚上</t>
  </si>
  <si>
    <t>wǎnshang</t>
  </si>
  <si>
    <t>buổi tối</t>
  </si>
  <si>
    <t>Tối (晚) + Trên (上). Thời điểm khi trời đã bắt đầu tối.</t>
  </si>
  <si>
    <t>喂</t>
  </si>
  <si>
    <t>wèi</t>
  </si>
  <si>
    <t>叹</t>
  </si>
  <si>
    <t>A lô</t>
  </si>
  <si>
    <t>Bộ Khẩu (口) cái miệng dùng để gọi điện thoại hoặc gọi ai đó.</t>
  </si>
  <si>
    <t>问</t>
  </si>
  <si>
    <t>wèn</t>
  </si>
  <si>
    <t>Đứng ở cửa (门) mở miệng (口) ra để hỏi đường.</t>
  </si>
  <si>
    <t>问题</t>
  </si>
  <si>
    <t>wèntí</t>
  </si>
  <si>
    <t>Hỏi (问) + Đề (题-liên quan đến cái đầu 页). Những thứ phải dùng đầu suy nghĩ để hỏi.</t>
  </si>
  <si>
    <t>我</t>
  </si>
  <si>
    <t>wǒ</t>
  </si>
  <si>
    <t>Hình ảnh người cầm vũ khí (bộ Qua 戈) để bảo vệ cái tôi của mình.</t>
  </si>
  <si>
    <t>我们</t>
  </si>
  <si>
    <t>wǒmen</t>
  </si>
  <si>
    <t>Tôi (我) + số nhiều (们).</t>
  </si>
  <si>
    <t>五</t>
  </si>
  <si>
    <t>wǔ</t>
  </si>
  <si>
    <t>số 5</t>
  </si>
  <si>
    <t>Hình ảnh cái khung gỗ đan chéo nhau để đếm đến 5.</t>
  </si>
  <si>
    <t>午饭</t>
  </si>
  <si>
    <t>wǔfàn</t>
  </si>
  <si>
    <t>Ngọ (午-12h trưa) + Cơm (饭).</t>
  </si>
  <si>
    <t>下</t>
  </si>
  <si>
    <t>xià</t>
  </si>
  <si>
    <t>名、动、量</t>
  </si>
  <si>
    <t>Nét gạch ngang ở trên, dấu gạch hướng xuống phía dưới.</t>
  </si>
  <si>
    <t>下雨</t>
  </si>
  <si>
    <t>xià yǔ</t>
  </si>
  <si>
    <t>Dưới (下) + Mưa (雨-hình những giọt nước rơi).</t>
  </si>
  <si>
    <t>下班</t>
  </si>
  <si>
    <t>xiàbān</t>
  </si>
  <si>
    <t>Xuống (下) + Ca làm (班). Rời khỏi vị trí làm việc.</t>
  </si>
  <si>
    <t>下课</t>
  </si>
  <si>
    <t>xiàkè</t>
  </si>
  <si>
    <t>tan học</t>
  </si>
  <si>
    <t>Xuống (下) + Bài học (课). Kết thúc giờ học.</t>
  </si>
  <si>
    <t>想</t>
  </si>
  <si>
    <t>xiǎng</t>
  </si>
  <si>
    <t>Nhìn cây (相) bằng cả trái tim (心) nên thấy nhớ và muốn gặp.</t>
  </si>
  <si>
    <t>先生</t>
  </si>
  <si>
    <t>xiānsheng</t>
  </si>
  <si>
    <t>tiên sinh</t>
  </si>
  <si>
    <t>Người sinh ra (生) trước (先) thì gọi là bậc tiền bối/ngài.</t>
  </si>
  <si>
    <t>现在</t>
  </si>
  <si>
    <t>xiànzài</t>
  </si>
  <si>
    <t>Hiện (现-lộ ra trước mắt) + Tại (在-đang ở trên đất). Lúc này đây.</t>
  </si>
  <si>
    <t>小</t>
  </si>
  <si>
    <t>xiǎo</t>
  </si>
  <si>
    <t>形、前缀</t>
  </si>
  <si>
    <t>nhỏ/bé</t>
  </si>
  <si>
    <t>Hình ảnh một vật nhỏ bị chia ra làm 3 mảnh nhỏ xíu.</t>
  </si>
  <si>
    <t>小朋友</t>
  </si>
  <si>
    <t>xiǎopéngyǒu</t>
  </si>
  <si>
    <t>trẻ em</t>
  </si>
  <si>
    <t>Nhỏ (小) + Bạn bè (朋友). Cách gọi trẻ em thân mật.</t>
  </si>
  <si>
    <t>小时</t>
  </si>
  <si>
    <t>xiǎoshí</t>
  </si>
  <si>
    <t>giờ (thời gian)</t>
  </si>
  <si>
    <t>Nhỏ (小) + Thời gian (时). Đơn vị thời gian nhỏ.</t>
  </si>
  <si>
    <t>小学</t>
  </si>
  <si>
    <t>xiǎoxué</t>
  </si>
  <si>
    <t>Nhỏ (小) + Học (学). Trường cho trẻ nhỏ.</t>
  </si>
  <si>
    <t>小学生</t>
  </si>
  <si>
    <t>xiǎoxuéshēng</t>
  </si>
  <si>
    <t>Trường tiểu học (小学) + Sinh viên (生).</t>
  </si>
  <si>
    <t>下午</t>
  </si>
  <si>
    <t>xiàwǔ</t>
  </si>
  <si>
    <t>Dưới (下) + Ngọ (午-12h trưa). Thời gian sau 12h trưa.</t>
  </si>
  <si>
    <t>写</t>
  </si>
  <si>
    <t>xiě</t>
  </si>
  <si>
    <t>Dưới mái che (冖) dùng bút viết chữ lên giấy.</t>
  </si>
  <si>
    <t>些</t>
  </si>
  <si>
    <t>xiē</t>
  </si>
  <si>
    <t>Chữ Chỉ (止-dừng lại) + bộ Nhị (二). Một vài thứ dừng ở đây.</t>
  </si>
  <si>
    <t>谢谢</t>
  </si>
  <si>
    <t>xièxie</t>
  </si>
  <si>
    <t>Dùng lời nói (讠) bắn ra (射) để bày tỏ lòng biết ơn.</t>
  </si>
  <si>
    <t>喜欢</t>
  </si>
  <si>
    <t>xǐhuan</t>
  </si>
  <si>
    <t>thích</t>
  </si>
  <si>
    <t>Hỷ (喜-miệng cười khi có tiệc) + Hoan (欢-há miệng vui sướng).</t>
  </si>
  <si>
    <t>新</t>
  </si>
  <si>
    <t>xīn</t>
  </si>
  <si>
    <t>Dùng rìu (斤) chặt cây (木) lấy gỗ mới để xây dựng.</t>
  </si>
  <si>
    <t>星期</t>
  </si>
  <si>
    <t>xīngqī</t>
  </si>
  <si>
    <t>Sao (星) + Chu kỳ (期). Chu kỳ của các vì sao (7 ngày).</t>
  </si>
  <si>
    <t>星期日</t>
  </si>
  <si>
    <t>xīngqīrì</t>
  </si>
  <si>
    <t>Tuần (星期) + Ngày (日/天).</t>
  </si>
  <si>
    <t>星期天</t>
  </si>
  <si>
    <t>xīngqītiān</t>
  </si>
  <si>
    <t>Tuần (星期) + Thiên (天-trời). Ngày dành cho ông trời nghỉ ngơi, không phải đi học/làm.</t>
  </si>
  <si>
    <t>休息</t>
  </si>
  <si>
    <t>xiūxi</t>
  </si>
  <si>
    <t>Hưu (休): Người (亻) dựa vào gốc cây (木). Tức (息): Tự mình (自) thở bằng tim (心). Tựa gốc cây thở đều là đang nghỉ.</t>
  </si>
  <si>
    <t>学</t>
  </si>
  <si>
    <t>xué</t>
  </si>
  <si>
    <t>Ba dấu phẩy trên đầu là "ánh sáng tri thức", đứa trẻ (子) dưới mái nhà đang học.</t>
  </si>
  <si>
    <t>雪</t>
  </si>
  <si>
    <t>xuě</t>
  </si>
  <si>
    <t>Phía trên có bộ Vũ (雨-mưa). Tuyết thực chất là mưa đông cứng lại mà thành.</t>
  </si>
  <si>
    <t>学生</t>
  </si>
  <si>
    <t>xuéshēng</t>
  </si>
  <si>
    <t>Người (生) thực hiện việc học (学).</t>
  </si>
  <si>
    <t>学习</t>
  </si>
  <si>
    <t>xuéxí</t>
  </si>
  <si>
    <t>học tập</t>
  </si>
  <si>
    <t>Học (学) đi đôi với Tập (习-hình cánh chim tập bay). Học rồi phải luyện tập như chim tập bay.</t>
  </si>
  <si>
    <t>学校</t>
  </si>
  <si>
    <t>xuéxiào</t>
  </si>
  <si>
    <t>Nơi học (学) có nhiều cây xanh (木) và sự giao lưu (交).</t>
  </si>
  <si>
    <t>要</t>
  </si>
  <si>
    <t>yào</t>
  </si>
  <si>
    <t>Phụ nữ (女) đang cân nhắc lựa chọn những thứ quan trọng ở trên (覀).</t>
  </si>
  <si>
    <t>也</t>
  </si>
  <si>
    <t>yě</t>
  </si>
  <si>
    <t>cũng/mà còn</t>
  </si>
  <si>
    <t>Hình ảnh con rắn đất bò theo sau, cái này cũng giống cái kia.</t>
  </si>
  <si>
    <t>一</t>
  </si>
  <si>
    <t>yī</t>
  </si>
  <si>
    <t>một/nhất</t>
  </si>
  <si>
    <t>一半</t>
  </si>
  <si>
    <t>yíbàn</t>
  </si>
  <si>
    <t>Số 1 (一) + Bán (半-hình vật bị cắt làm đôi).</t>
  </si>
  <si>
    <t>一点儿</t>
  </si>
  <si>
    <t>yìdiǎnr</t>
  </si>
  <si>
    <t>数量</t>
  </si>
  <si>
    <t>Một (一) + Điểm (点-chiếm 占 một góc nhỏ trên lửa 灬).</t>
  </si>
  <si>
    <t>衣服</t>
  </si>
  <si>
    <t>yīfu</t>
  </si>
  <si>
    <t>Y (衣-hình cái áo có cổ và tay). Phục (服-đồ mặc che cơ thể 月).</t>
  </si>
  <si>
    <t>医生</t>
  </si>
  <si>
    <t>yīshēng</t>
  </si>
  <si>
    <t>Y (医-mũi tên giấu trong hộp). Bác sĩ là người lấy mũi tên ra cứu người (生).</t>
  </si>
  <si>
    <t>一下</t>
  </si>
  <si>
    <t>yíxià</t>
  </si>
  <si>
    <t>数量、（副）</t>
  </si>
  <si>
    <t>một chút / một lát</t>
  </si>
  <si>
    <t>Làm gì đó một (一) lần đi xuống (下) rất nhanh chóng.</t>
  </si>
  <si>
    <t>一些</t>
  </si>
  <si>
    <t>yìxiē</t>
  </si>
  <si>
    <t>Một (一) + Vài (些-dừng lại 止 ở số hai 二).</t>
  </si>
  <si>
    <t>医院</t>
  </si>
  <si>
    <t>yīyuàn</t>
  </si>
  <si>
    <t>Tòa nhà (院) dành cho y tế (医).</t>
  </si>
  <si>
    <t>椅子</t>
  </si>
  <si>
    <t>yǐzi</t>
  </si>
  <si>
    <t>cái ghế</t>
  </si>
  <si>
    <t>Ghế làm bằng gỗ (木) bên cạnh chữ Kỳ (奇) tạo âm đọc.</t>
  </si>
  <si>
    <t>有</t>
  </si>
  <si>
    <t>yǒu</t>
  </si>
  <si>
    <t>Tay (ナ) đang cầm một miếng thịt (月). Có thịt trong tay là có tài sản.</t>
  </si>
  <si>
    <t>有的</t>
  </si>
  <si>
    <t>yǒude</t>
  </si>
  <si>
    <t>có… có… / một số thì…</t>
  </si>
  <si>
    <t>Sự sở hữu (有) của một cái gì đó (的).</t>
  </si>
  <si>
    <t>有些</t>
  </si>
  <si>
    <t>yǒuxiē</t>
  </si>
  <si>
    <t>代、（副）</t>
  </si>
  <si>
    <t>Có (有) một vài (些) thứ.</t>
  </si>
  <si>
    <t>有（一）点儿</t>
  </si>
  <si>
    <t>yǒu(yì)diǎnr</t>
  </si>
  <si>
    <t>Có (有) một chấm nhỏ (点) như lửa.</t>
  </si>
  <si>
    <t>雨</t>
  </si>
  <si>
    <t>yǔ</t>
  </si>
  <si>
    <t>Hình ảnh các giọt nước đang rơi xuống từ đám mây.</t>
  </si>
  <si>
    <t>元</t>
  </si>
  <si>
    <t>yuán</t>
  </si>
  <si>
    <t>Hình người đứng thẳng trên đất. Là đơn vị tiền tệ cơ bản.</t>
  </si>
  <si>
    <t>月</t>
  </si>
  <si>
    <t>yuè</t>
  </si>
  <si>
    <t>Hình mặt trăng khuyết, chu kỳ trăng khuyết là một tháng.</t>
  </si>
  <si>
    <t>再</t>
  </si>
  <si>
    <t>zài</t>
  </si>
  <si>
    <t>Hình ảnh bao bọc lại để làm lại một lần nữa.</t>
  </si>
  <si>
    <t>在</t>
  </si>
  <si>
    <t>动、介、副</t>
  </si>
  <si>
    <t>Hình cái cây mọc trên đất (土). Cây đang "ở" đó.</t>
  </si>
  <si>
    <t>再见</t>
  </si>
  <si>
    <t>zàijiàn</t>
  </si>
  <si>
    <t>Lại lần nữa (再) + Gặp mặt (见). Hẹn lần nữa gặp lại.</t>
  </si>
  <si>
    <t>早</t>
  </si>
  <si>
    <t>zǎo</t>
  </si>
  <si>
    <t>sớm / chào buổi sáng</t>
  </si>
  <si>
    <t>Mặt trời (日) mới mọc lên trên đỉnh cây (十).</t>
  </si>
  <si>
    <t>早饭</t>
  </si>
  <si>
    <t>zǎofàn</t>
  </si>
  <si>
    <t>Cơm (饭) ăn vào lúc sớm (早).</t>
  </si>
  <si>
    <t>早上</t>
  </si>
  <si>
    <t>zǎoshang</t>
  </si>
  <si>
    <t>Lúc mặt trời ở phía trên (上) lúc sáng sớm (早).</t>
  </si>
  <si>
    <t>怎么</t>
  </si>
  <si>
    <t>zěnme</t>
  </si>
  <si>
    <t>Tim (心) đột nhiên (乍) nảy sinh thắc mắc làm sao, thế nào.</t>
  </si>
  <si>
    <t>怎么样</t>
  </si>
  <si>
    <t>zěnmeyàng</t>
  </si>
  <si>
    <t>Thế nào (怎么) + Dáng vẻ (样-hình dáng cây gỗ 木).</t>
  </si>
  <si>
    <t>找</t>
  </si>
  <si>
    <t>zhǎo</t>
  </si>
  <si>
    <t>tìm</t>
  </si>
  <si>
    <t>Dùng tay (扌) cầm vũ khí (戈) đi sục sạo để tìm đồ.</t>
  </si>
  <si>
    <t>这</t>
  </si>
  <si>
    <t>zhè</t>
  </si>
  <si>
    <t>Bộ Quai sước (辶 - đi) + chữ Văn (文 - văn chương). Đi đến chỗ có bảng hiệu (văn tự) này chính là "đây".</t>
  </si>
  <si>
    <t>这边</t>
  </si>
  <si>
    <t>zhèbiān</t>
  </si>
  <si>
    <t>bên này / phía này / chỗ này</t>
  </si>
  <si>
    <t>Đây (这) + Cạnh/Biên (边). Chỉ phương hướng gần người nói.</t>
  </si>
  <si>
    <t>这个</t>
  </si>
  <si>
    <t>zhège</t>
  </si>
  <si>
    <t>Đây (这) + Lượng từ (个). Chỉ đích danh vật ở đây.</t>
  </si>
  <si>
    <t>这里</t>
  </si>
  <si>
    <t>zhèlǐ</t>
  </si>
  <si>
    <t>Đây (这) + Trong (里). Trong khu vực này.</t>
  </si>
  <si>
    <t>真</t>
  </si>
  <si>
    <t>zhēn</t>
  </si>
  <si>
    <t>副、（形）</t>
  </si>
  <si>
    <t>thật / rất / đúng là</t>
  </si>
  <si>
    <t>Bên trên là số 10 (十), dưới là mắt (目). Mười con mắt cùng nhìn thấy thì chắc chắn là thật.</t>
  </si>
  <si>
    <t>正在</t>
  </si>
  <si>
    <t>zhèngzài</t>
  </si>
  <si>
    <t>Chính (正 - thẳng đứng/ngay ngắn) + Tại (在 - ở). Đang đứng yên tại chỗ để làm việc gì đó.</t>
  </si>
  <si>
    <t>这儿</t>
  </si>
  <si>
    <t>zhèr</t>
  </si>
  <si>
    <t>Đây (这) + đuôi Nhi (儿). Cách nói tắt của "ở đây".</t>
  </si>
  <si>
    <t>这些</t>
  </si>
  <si>
    <t>zhèxiē</t>
  </si>
  <si>
    <t>Đây (这) + Tá (些 - một vài). Số nhiều của "cái này".</t>
  </si>
  <si>
    <t>只</t>
  </si>
  <si>
    <t>zhī</t>
  </si>
  <si>
    <t>Bộ Khẩu (口) trên đôi chân (八). Nghĩa gốc là lượng từ cho con vật (con chim có miệng và chân).</t>
  </si>
  <si>
    <t>知道</t>
  </si>
  <si>
    <t>zhīdào</t>
  </si>
  <si>
    <t>Tri (知 - bộ Thỉ 矢 là mũi tên + Khẩu 口): lời nói nhanh như mũi tên. Đạo (道 - con đường). Biết rõ con đường.</t>
  </si>
  <si>
    <t>中国</t>
  </si>
  <si>
    <t>Zhōngguó</t>
  </si>
  <si>
    <t>Trung (中 - hình chữ nhật bị vạch ở giữa) + Quốc (国 - viên ngọc trong biên giới).</t>
  </si>
  <si>
    <t>中文</t>
  </si>
  <si>
    <t>Zhōngwén</t>
  </si>
  <si>
    <t>Hán Ngữ</t>
  </si>
  <si>
    <t>Trung (中) + Văn (文 - chữ viết).</t>
  </si>
  <si>
    <t>中午</t>
  </si>
  <si>
    <t>zhōngwǔ</t>
  </si>
  <si>
    <t>Trung (中) + Ngọ (午 - 12h trưa). Giữa giờ Ngọ.</t>
  </si>
  <si>
    <t>中学</t>
  </si>
  <si>
    <t>zhōngxué</t>
  </si>
  <si>
    <t>Trung (中) + Học (学). Trường học cấp giữa (trung học).</t>
  </si>
  <si>
    <t>中学生</t>
  </si>
  <si>
    <t>zhōngxuéshēng</t>
  </si>
  <si>
    <t>Trường trung học (中学) + Người (生).</t>
  </si>
  <si>
    <t>住</t>
  </si>
  <si>
    <t>zhù</t>
  </si>
  <si>
    <t>ở / sống / trú</t>
  </si>
  <si>
    <t>Bộ Nhân (亻 - người) + chữ Chủ (主 - ngọn đèn/chủ nhân). Người đứng cạnh ngọn đèn là đang ở nhà mình.</t>
  </si>
  <si>
    <t>桌子</t>
  </si>
  <si>
    <t>zhuōzi</t>
  </si>
  <si>
    <t>Phía trên là mặt trời (日), dưới là gỗ (木). Cái bàn bằng gỗ phơi dưới nắng.</t>
  </si>
  <si>
    <t>字</t>
  </si>
  <si>
    <t>zì</t>
  </si>
  <si>
    <t>chữ / ký tự</t>
  </si>
  <si>
    <t>Bộ Miên (宀 - mái nhà) + bộ Tử (子 - đứa trẻ). Đứa trẻ học chữ dưới mái nhà.</t>
  </si>
  <si>
    <t>坐</t>
  </si>
  <si>
    <t>zuò</t>
  </si>
  <si>
    <t>Hai người (人) ngồi đối diện nhau trên bãi đất (土).</t>
  </si>
  <si>
    <t>做</t>
  </si>
  <si>
    <t>Bộ Nhân (亻) + chữ Cố (故 - việc cũ/nguyên nhân). Con người tạo ra các sự việc.</t>
  </si>
  <si>
    <t>做饭</t>
  </si>
  <si>
    <t>zuò fàn</t>
  </si>
  <si>
    <t>Nấu ăn</t>
  </si>
  <si>
    <t>Làm (做) + Cơm (饭). Thực hiện việc nấu ăn.</t>
  </si>
  <si>
    <t>昨天</t>
  </si>
  <si>
    <t>zuótiān</t>
  </si>
  <si>
    <t>Nhật (日 - mặt trời) + chữ Tạc (乍 - vừa mới). Ngày vừa mới trôi qua chính là hôm qua.</t>
  </si>
  <si>
    <t>1-300 sheet HSK 1</t>
  </si>
  <si>
    <t>啊</t>
  </si>
  <si>
    <t>a</t>
  </si>
  <si>
    <t>Bộ Khẩu (口): Mở miệng ra để thốt lên kinh ngạc "A!".</t>
  </si>
  <si>
    <t>爱好</t>
  </si>
  <si>
    <t>àihào</t>
  </si>
  <si>
    <t>Ái (爱) là yêu + Hảo (好) là thích. Yêu và thích gọi là Sở thích.</t>
  </si>
  <si>
    <t>白色</t>
  </si>
  <si>
    <t>báisè</t>
  </si>
  <si>
    <t>màu trăng</t>
  </si>
  <si>
    <t>Bạch (白): Hình hạt gạo trắng. Sắc (色): Màu sắc.</t>
  </si>
  <si>
    <t>班</t>
  </si>
  <si>
    <t>bān</t>
  </si>
  <si>
    <t>名、（量）</t>
  </si>
  <si>
    <t>Lớp (học)</t>
  </si>
  <si>
    <t>Hai bên là hai khối ngọc (王), ở giữa là con dao (刂) chia ngọc cho từng nhóm lớp.</t>
  </si>
  <si>
    <t>帮</t>
  </si>
  <si>
    <t>bāng</t>
  </si>
  <si>
    <t>giúp</t>
  </si>
  <si>
    <t>Phía trên là lụa, dưới là bộ Lực (力): Dùng sức giúp người khác dệt vải.</t>
  </si>
  <si>
    <t>帮忙</t>
  </si>
  <si>
    <t>bāngmáng</t>
  </si>
  <si>
    <t>Bang (帮): Giúp + Mang (忙): Bận. Giúp lúc người ta đang bận.</t>
  </si>
  <si>
    <t>包</t>
  </si>
  <si>
    <t>bāo</t>
  </si>
  <si>
    <t>动、名、量</t>
  </si>
  <si>
    <t>Hình ảnh cánh tay đang Bao bọc, ôm lấy một vật bên trong.</t>
  </si>
  <si>
    <t>本子</t>
  </si>
  <si>
    <t>běnzi</t>
  </si>
  <si>
    <t>quyển vở / cuốn sổ</t>
  </si>
  <si>
    <t>Bản (本): Chữ Mộc (木) có gạch dưới gốc. Gốc cây làm ra giấy đóng thành vở.</t>
  </si>
  <si>
    <t>比</t>
  </si>
  <si>
    <t>bǐ</t>
  </si>
  <si>
    <t>动、介</t>
  </si>
  <si>
    <t>Hình ảnh hai người đứng cạnh nhau để So sánh xem ai cao hơn.</t>
  </si>
  <si>
    <t>笔</t>
  </si>
  <si>
    <t>Trên là Trúc (竹), dưới là Mao (毛-lông). Bút lông làm từ tre và lông thú.</t>
  </si>
  <si>
    <t>别</t>
  </si>
  <si>
    <t>bié</t>
  </si>
  <si>
    <t>Có bộ Đao (刂): Dùng dao cắt đứt để ngăn cản (Đừng) hoặc tách biệt (Khác).</t>
  </si>
  <si>
    <t>不好意思</t>
  </si>
  <si>
    <t>bù hǎoyìsi</t>
  </si>
  <si>
    <t>Không (不) thấy hay (好) cái ý (意) nghĩ (思) này (Ngại quá/Xin lỗi).</t>
  </si>
  <si>
    <t>不错</t>
  </si>
  <si>
    <t>búcuò</t>
  </si>
  <si>
    <t>Không (不) + Sai (错). Không sai nghĩa là "Tốt/Được".</t>
  </si>
  <si>
    <t>长</t>
  </si>
  <si>
    <t>cháng</t>
  </si>
  <si>
    <t>Hình ảnh người có mái tóc Dài đang bay trong gió.</t>
  </si>
  <si>
    <t>车站</t>
  </si>
  <si>
    <t>chēzhàn</t>
  </si>
  <si>
    <t>trạm xe / bến xe / nhà ga</t>
  </si>
  <si>
    <t>Xe (车) + Trạm (站): Nơi người ta đứng (立) trên một mảnh đất (占).</t>
  </si>
  <si>
    <t>火车站</t>
  </si>
  <si>
    <t>出</t>
  </si>
  <si>
    <t>chū</t>
  </si>
  <si>
    <t>ra / đi ra / xuất ra</t>
  </si>
  <si>
    <t>Hai ngọn núi (山) chồng lên nhau. Muốn thoát ra khỏi núi thì phải đi Ra.</t>
  </si>
  <si>
    <t>床</t>
  </si>
  <si>
    <t>chuáng</t>
  </si>
  <si>
    <t>Bộ Quảng (广) là mái nhà + Mộc (木) là gỗ. Đồ gỗ dưới mái nhà để ngủ.</t>
  </si>
  <si>
    <t>出国</t>
  </si>
  <si>
    <t>chūguó</t>
  </si>
  <si>
    <t>Ra ngoài (出) + Đất nước (国) = Đi nước ngoài.</t>
  </si>
  <si>
    <t>出来</t>
  </si>
  <si>
    <t>chūlái</t>
  </si>
  <si>
    <t>Đi ra ngoài (hướng về phía người nói)</t>
  </si>
  <si>
    <t>Ra (出) + Đến (来). Đi ra hướng về phía người nói.</t>
  </si>
  <si>
    <t>出去</t>
  </si>
  <si>
    <t>出门</t>
  </si>
  <si>
    <t>chūmén</t>
  </si>
  <si>
    <t>Ra (出) + Cửa (门). Bước ra khỏi cửa.</t>
  </si>
  <si>
    <t>chūqù</t>
  </si>
  <si>
    <t>đi ra ngoài (ra xa người nói)</t>
  </si>
  <si>
    <t>Ra (出) + Đi (去). Đi ra xa khỏi người nói.</t>
  </si>
  <si>
    <t>词</t>
  </si>
  <si>
    <t>cí</t>
  </si>
  <si>
    <t>Bộ Ngôn (讠) là lời nói + chữ Ty (司) quản lý. Quản lý lời nói bằng Từ vựng.</t>
  </si>
  <si>
    <t>次</t>
  </si>
  <si>
    <t>cì</t>
  </si>
  <si>
    <t>量、（形）</t>
  </si>
  <si>
    <t>lần (lượng từ cho số lần)</t>
  </si>
  <si>
    <t>Bộ Băng (冫) + chữ Khiếm (欠): Người thiếu thốn đang run rẩy từng Lần.</t>
  </si>
  <si>
    <t>从</t>
  </si>
  <si>
    <t>cóng</t>
  </si>
  <si>
    <t>介、（副）</t>
  </si>
  <si>
    <t>Hai người (人) đứng nối đuôi nhau: Một người đi Từ phía sau người kia.</t>
  </si>
  <si>
    <t>从小</t>
  </si>
  <si>
    <t>cóngxiǎo</t>
  </si>
  <si>
    <t>Từ (从) + Nhỏ (小) = Từ khi còn nhỏ.</t>
  </si>
  <si>
    <t>错</t>
  </si>
  <si>
    <t>cuò</t>
  </si>
  <si>
    <t>Bộ Kim (钅) + chữ Tích (昔) quá khứ. Đúc tiền kim loại sai một ly là hỏng.</t>
  </si>
  <si>
    <t>打</t>
  </si>
  <si>
    <t>dǎ</t>
  </si>
  <si>
    <t>Đánh / chơi (thể thao)</t>
  </si>
  <si>
    <t>Bộ Thủ (扌) là tay + chữ Đinh (丁). Dùng tay đóng đinh là hành động Đánh/Làm.</t>
  </si>
  <si>
    <t>打车</t>
  </si>
  <si>
    <t>dǎchē</t>
  </si>
  <si>
    <t>bắt taxi / gọi taxi</t>
  </si>
  <si>
    <t>Dùng tay vẫy xe (Bắt taxi).</t>
  </si>
  <si>
    <t>打开</t>
  </si>
  <si>
    <t>dǎkāi</t>
  </si>
  <si>
    <t>mở ra</t>
  </si>
  <si>
    <t>Dùng tay (打) đẩy cánh cổng (开) ra cho rộng.</t>
  </si>
  <si>
    <t>但</t>
  </si>
  <si>
    <t>dàn</t>
  </si>
  <si>
    <t>连、（副）</t>
  </si>
  <si>
    <t>Người (亻) đứng dưới ánh nắng mặt trời (旦) nói: "Nhưng mà..."</t>
  </si>
  <si>
    <t>但是</t>
  </si>
  <si>
    <t>dànshì</t>
  </si>
  <si>
    <t>连</t>
  </si>
  <si>
    <t>nhưng mà</t>
  </si>
  <si>
    <t>Nhưng (但) + Là (是). Từ nối để chuyển ý.</t>
  </si>
  <si>
    <t>得</t>
  </si>
  <si>
    <t>bổ nghĩa cho danh từ</t>
  </si>
  <si>
    <t>Bước chân (彳) đi trên đường để Đạt được kết quả.</t>
  </si>
  <si>
    <t>地</t>
  </si>
  <si>
    <t>bổ nghĩa cho động từ</t>
  </si>
  <si>
    <t>Bộ Thổ (土) là đất. Địa mặt đất hoặc dùng để nối trạng từ.</t>
  </si>
  <si>
    <t>等</t>
  </si>
  <si>
    <t>děng</t>
  </si>
  <si>
    <t>Đợi nhau dưới rặng tre (竹) bên cạnh ngôi chùa (寺).</t>
  </si>
  <si>
    <t>动、（名、量）</t>
  </si>
  <si>
    <t>Chiếm (占) một chỗ bên cạnh đống lửa (灬) chỉ là một Điểm/Chút.</t>
  </si>
  <si>
    <t>地铁</t>
  </si>
  <si>
    <t>dìtiě</t>
  </si>
  <si>
    <t>Đất (地) + Sắt (铁). Con tàu bằng sắt chạy trong lòng đất.</t>
  </si>
  <si>
    <t>dòng</t>
  </si>
  <si>
    <t>động / di chuyển</t>
  </si>
  <si>
    <t>Chữ Vân (云-mây) + bộ Lực (力). Phải có lực mới làm mây chuyển Động.</t>
  </si>
  <si>
    <t>懂</t>
  </si>
  <si>
    <t>dǒng</t>
  </si>
  <si>
    <t>Có bộ Tâm (忄). Muốn Hiểu điều gì phải dùng trái tim để cảm nhận.</t>
  </si>
  <si>
    <t>饭馆</t>
  </si>
  <si>
    <t>fànguǎn</t>
  </si>
  <si>
    <t>nhà hàng / quán ăn</t>
  </si>
  <si>
    <t>Cơm (饭) + Quán (馆). Tòa nhà (饣) nơi phục vụ cơm.</t>
  </si>
  <si>
    <t>飞</t>
  </si>
  <si>
    <t>fēi</t>
  </si>
  <si>
    <t>Hình ảnh một chú chim đang dang đôi cánh để Bay.</t>
  </si>
  <si>
    <t>高</t>
  </si>
  <si>
    <t>gāo</t>
  </si>
  <si>
    <t>形、名</t>
  </si>
  <si>
    <t>Tượng hình một tòa lâu đài Cao có mái che và cửa sổ.</t>
  </si>
  <si>
    <t>告诉</t>
  </si>
  <si>
    <t>gàosu</t>
  </si>
  <si>
    <t>nói cho / nói với</t>
  </si>
  <si>
    <t>Cái miệng (口) báo cáo (告) lời nói (讠) tâm sự (诉).</t>
  </si>
  <si>
    <t>高中</t>
  </si>
  <si>
    <t>gāozhōng</t>
  </si>
  <si>
    <t>trung học phổ thông</t>
  </si>
  <si>
    <t>Trường trung học (中) bậc Cao (高) = Cấp 3.</t>
  </si>
  <si>
    <t>跟</t>
  </si>
  <si>
    <t>gēn</t>
  </si>
  <si>
    <t>介、连、（名、动）</t>
  </si>
  <si>
    <t xml:space="preserve">Với / cùng /Theo </t>
  </si>
  <si>
    <t>Dùng chân (足) đi theo sát gót chân (艮) của ai đó.</t>
  </si>
  <si>
    <t>个子</t>
  </si>
  <si>
    <t>gèzi</t>
  </si>
  <si>
    <t>Chữ Cá (个) chỉ người. Nói về vóc dáng con người.</t>
  </si>
  <si>
    <t>公交车</t>
  </si>
  <si>
    <t>gōngjiāochē</t>
  </si>
  <si>
    <t>Xe (车) phục vụ giao thông (交) công cộng (公).</t>
  </si>
  <si>
    <t>gong jiao che</t>
  </si>
  <si>
    <t>过</t>
  </si>
  <si>
    <t>guo</t>
  </si>
  <si>
    <t>đã từng (trải nghiệm)</t>
  </si>
  <si>
    <t>Bước đi (辶) từng tấc (寸) một để Vượt qua con đường.</t>
  </si>
  <si>
    <t>guò</t>
  </si>
  <si>
    <t>đi qua / vượt qua</t>
  </si>
  <si>
    <t>过来</t>
  </si>
  <si>
    <t>guòlái</t>
  </si>
  <si>
    <t>Bước Qua (过) đây Đến (来) với tôi.</t>
  </si>
  <si>
    <t>过年</t>
  </si>
  <si>
    <t>guònián</t>
  </si>
  <si>
    <t>Vượt qua năm cũ để đón Tết.</t>
  </si>
  <si>
    <t>过去</t>
  </si>
  <si>
    <t>guòqù</t>
  </si>
  <si>
    <t>Bước qua (过) và đi mất (去) = Quá khứ / Đi qua đó.</t>
  </si>
  <si>
    <t>还是</t>
  </si>
  <si>
    <t>háishi</t>
  </si>
  <si>
    <t>副、连</t>
  </si>
  <si>
    <t>vẫn/hay là</t>
  </si>
  <si>
    <t>Bộ Quai sước (辶) + Thị (是): Đi lòng vòng vẫn chọn cái này Hay là cái kia.</t>
  </si>
  <si>
    <t>黑色</t>
  </si>
  <si>
    <t>hēisè</t>
  </si>
  <si>
    <t xml:space="preserve">màu đen </t>
  </si>
  <si>
    <t>Chữ Hắc (黑): Trên là khói, dưới là lửa (灬). Thứ gì bị đốt cháy cũng thành màu đen.</t>
  </si>
  <si>
    <t>红茶</t>
  </si>
  <si>
    <t>hóngchá</t>
  </si>
  <si>
    <t>trà đen</t>
  </si>
  <si>
    <t>Hồng (红): Màu đỏ (bộ Tơ 纑) + Trà (茶).</t>
  </si>
  <si>
    <t>红色</t>
  </si>
  <si>
    <t>hóngsè</t>
  </si>
  <si>
    <t>Bộ Mịch (纟) chỉ sợi tơ nhuộm màu đỏ.</t>
  </si>
  <si>
    <t>后面</t>
  </si>
  <si>
    <t>hòumiàn</t>
  </si>
  <si>
    <t>phía sau</t>
  </si>
  <si>
    <t>Chữ Hậu (后): Người đứng sau cửa hô to miệng (口).</t>
  </si>
  <si>
    <t>画</t>
  </si>
  <si>
    <t>huà</t>
  </si>
  <si>
    <t>Hình ảnh khung tranh treo trên tường, bên trong có nét vẽ.</t>
  </si>
  <si>
    <t>花</t>
  </si>
  <si>
    <t>huā</t>
  </si>
  <si>
    <t>tiêu tiền</t>
  </si>
  <si>
    <t>Bộ Thảo (艹): Cây cỏ nở ra Hoa.</t>
  </si>
  <si>
    <t>名、（形）</t>
  </si>
  <si>
    <t>bông hoa</t>
  </si>
  <si>
    <t>坏</t>
  </si>
  <si>
    <t>huài</t>
  </si>
  <si>
    <t>Bộ Thổ (土) + chữ Bất (不): Đất mà "không" tốt thì là đất Hỏng/Xấu.</t>
  </si>
  <si>
    <t>回来</t>
  </si>
  <si>
    <t>huílái</t>
  </si>
  <si>
    <t>quay về đây (về phía người nói)</t>
  </si>
  <si>
    <t>Về (回 - hình xoáy nước/đi vòng về) + Đến (来).</t>
  </si>
  <si>
    <t>回去</t>
  </si>
  <si>
    <t>huíqù</t>
  </si>
  <si>
    <t>quay về đó (xa người nói)</t>
  </si>
  <si>
    <t>Về (回) + Đi (去). Quay về nơi cũ.</t>
  </si>
  <si>
    <t>间</t>
  </si>
  <si>
    <t>jiān</t>
  </si>
  <si>
    <t>Phòng (lượng từ cho phòng)</t>
  </si>
  <si>
    <t>Ánh mặt trời (日) chiếu qua khe cửa (门). Khoảng trống giữa cửa là Gian (phòng).</t>
  </si>
  <si>
    <t>教</t>
  </si>
  <si>
    <t>jiāo</t>
  </si>
  <si>
    <t>Có bộ Phụ (父) và đứa trẻ (子). Cha dạy bảo con cái.</t>
  </si>
  <si>
    <t>教室</t>
  </si>
  <si>
    <t>jiàoshì</t>
  </si>
  <si>
    <t>Phòng (室) dùng để dạy học (教).</t>
  </si>
  <si>
    <t>机场</t>
  </si>
  <si>
    <t>jīchǎng</t>
  </si>
  <si>
    <t>Máy (机 - cái máy bằng gỗ 木) + Bãi đất trống (场 - bộ Thổ 土).</t>
  </si>
  <si>
    <t>记得</t>
  </si>
  <si>
    <t>jìde</t>
  </si>
  <si>
    <t>Dùng lời nói (讠) ghi khắc vào tim để Nhớ.</t>
  </si>
  <si>
    <t>介绍</t>
  </si>
  <si>
    <t>jièshào</t>
  </si>
  <si>
    <t>Người (人) ở giữa kết nối các sợi tơ (纟) lại để Giới thiệu.</t>
  </si>
  <si>
    <t>进</t>
  </si>
  <si>
    <t>jìn</t>
  </si>
  <si>
    <t>Bước đi (辶) vào trong cái giếng (井) = Vào.</t>
  </si>
  <si>
    <t>近</t>
  </si>
  <si>
    <t>Gần (khoảng cách)</t>
  </si>
  <si>
    <t>Bước đi (辶) một quãng bằng cái rìu (斤) nhỏ nên rất Gần.</t>
  </si>
  <si>
    <t>经常</t>
  </si>
  <si>
    <t>jīngcháng</t>
  </si>
  <si>
    <t>Sợi tơ (纟) xuyên suốt trải qua (经) thời gian thường xuyên.</t>
  </si>
  <si>
    <t>进来</t>
  </si>
  <si>
    <t>jìnlái</t>
  </si>
  <si>
    <t>đi vào đây / vào trong (về phía người nói)</t>
  </si>
  <si>
    <t>Vào (进) + Đến (来) / Đi (去).</t>
  </si>
  <si>
    <t>进去</t>
  </si>
  <si>
    <t>jìnqù</t>
  </si>
  <si>
    <t>đi vào trong (xa người nói)</t>
  </si>
  <si>
    <t>机票</t>
  </si>
  <si>
    <t>jīpiào</t>
  </si>
  <si>
    <t>Máy (机) + Vé (票). Chữ 票 có bộ Thị (示) như tờ sớ dâng lên ngày xưa.</t>
  </si>
  <si>
    <t>就</t>
  </si>
  <si>
    <t>jiù</t>
  </si>
  <si>
    <t>副、（介）</t>
  </si>
  <si>
    <t>Thì / liền</t>
  </si>
  <si>
    <t>Ở kinh đô (京) gặp người tài (尤) thì Chính là/Ngay lập tức được trọng dụng.</t>
  </si>
  <si>
    <t>酒店</t>
  </si>
  <si>
    <t>jiǔdiàn</t>
  </si>
  <si>
    <t>Tiệm (店) bán rượu (酒 - có bộ Thủy 氵). Nơi uống rượu và ngủ lại.</t>
  </si>
  <si>
    <t>咖啡</t>
  </si>
  <si>
    <t>kāfēi</t>
  </si>
  <si>
    <t>Hai chữ đều có bộ Khẩu (口): Mở miệng uống cà phê.</t>
  </si>
  <si>
    <t>开始</t>
  </si>
  <si>
    <t>kāishǐ</t>
  </si>
  <si>
    <t>Mở (开) + Bắt đầu (始 - người phụ nữ 女 mang thai là bắt đầu sự sống).</t>
  </si>
  <si>
    <t>开学</t>
  </si>
  <si>
    <t>kāixué</t>
  </si>
  <si>
    <t>Mở cửa (开) trường học (学) để khai giảng.</t>
  </si>
  <si>
    <t>考</t>
  </si>
  <si>
    <t>kǎo</t>
  </si>
  <si>
    <t>Chữ 考 giống người già chống gậy đi kiểm tra. Chữ 试 là dùng lời nói (讠) để thi cử.</t>
  </si>
  <si>
    <t>考试</t>
  </si>
  <si>
    <t>kǎoshì</t>
  </si>
  <si>
    <t xml:space="preserve"> Chữ 试 là dùng lời nói (讠) để thi cử.</t>
  </si>
  <si>
    <t>可能</t>
  </si>
  <si>
    <t>kěnéng</t>
  </si>
  <si>
    <t>形、名、动</t>
  </si>
  <si>
    <t xml:space="preserve">khả năng </t>
  </si>
  <si>
    <t>Khả năng. Chữ 能 giống con gấu có sức mạnh, có thể làm mọi việc.</t>
  </si>
  <si>
    <t>快</t>
  </si>
  <si>
    <t>形、副</t>
  </si>
  <si>
    <t>Có bộ Tâm (忄). Khi vui sướng (quyết định nhanh) thì tim đập Nhanh.</t>
  </si>
  <si>
    <t>快乐</t>
  </si>
  <si>
    <t>kuàilè</t>
  </si>
  <si>
    <t>vui vẽ</t>
  </si>
  <si>
    <t>Nhanh (快) + Nhạc (乐). Vui vẻ như đang nghe nhạc hay.</t>
  </si>
  <si>
    <t>快要</t>
  </si>
  <si>
    <t>kuàiyào</t>
  </si>
  <si>
    <t>sắp / sắp sửa</t>
  </si>
  <si>
    <t>Sắp sửa xảy ra (thời gian trôi Nhanh và đang Cần đến).</t>
  </si>
  <si>
    <t>裤子</t>
  </si>
  <si>
    <t>kùzi</t>
  </si>
  <si>
    <t>Bộ Y (衤) + Cái kho (库). Cái quần là "cái kho" chứa hai chân.</t>
  </si>
  <si>
    <t>篮球</t>
  </si>
  <si>
    <t>lánqiú</t>
  </si>
  <si>
    <t>Cái rổ bằng tre (竹) + Quả bóng (球).</t>
  </si>
  <si>
    <t>累</t>
  </si>
  <si>
    <t>lèi</t>
  </si>
  <si>
    <t>Trên là ruộng (田), dưới là sợi tơ (糸). Làm ruộng mệt đứt cả chỉ.</t>
  </si>
  <si>
    <t>离</t>
  </si>
  <si>
    <t>lí</t>
  </si>
  <si>
    <t>Hình ảnh con chim rời tổ. Dùng để chỉ khoảng cách Rời/Cách.</t>
  </si>
  <si>
    <t>里面</t>
  </si>
  <si>
    <t>lǐmiàn</t>
  </si>
  <si>
    <t>bên trong</t>
  </si>
  <si>
    <t>Trong (里 - làng quê/trong đất) + Mặt (面).</t>
  </si>
  <si>
    <t>楼</t>
  </si>
  <si>
    <t>lóu</t>
  </si>
  <si>
    <t>tòa nhà / tầng lầu</t>
  </si>
  <si>
    <t>Nhà gỗ (木) có phụ nữ (女) đang nấu gạo (米) ở tầng trên.</t>
  </si>
  <si>
    <t>路</t>
  </si>
  <si>
    <t>lù</t>
  </si>
  <si>
    <t>Bộ Túc (足-chân) + chữ Các (各-mỗi người). Mỗi người một chân bước trên Đường.</t>
  </si>
  <si>
    <t>绿茶</t>
  </si>
  <si>
    <t>lǜchá</t>
  </si>
  <si>
    <t>Trà (茶) màu xanh lá (绿 - tơ nhuộm từ cỏ cây).</t>
  </si>
  <si>
    <t>绿色</t>
  </si>
  <si>
    <t>lǜsè</t>
  </si>
  <si>
    <t>Màu xanh lá cây.</t>
  </si>
  <si>
    <t>路上</t>
  </si>
  <si>
    <t>lùshang</t>
  </si>
  <si>
    <t>Trên (上) con đường (路).</t>
  </si>
  <si>
    <t>旅游</t>
  </si>
  <si>
    <t>lǚyóu</t>
  </si>
  <si>
    <t>Chữ Du (游) có bộ Thủy (氵). Đi chơi miền sông nước.</t>
  </si>
  <si>
    <t>慢</t>
  </si>
  <si>
    <t>màn</t>
  </si>
  <si>
    <t>Có bộ Tâm (忄). Tâm thong thả thì làm gì cũng Chậm.</t>
  </si>
  <si>
    <t>每</t>
  </si>
  <si>
    <t>měi</t>
  </si>
  <si>
    <t>Người phụ nữ (女) cài trâm. Mỗi người một chiếc trâm khác nhau.</t>
  </si>
  <si>
    <t>没意思</t>
  </si>
  <si>
    <t>méi yìsi</t>
  </si>
  <si>
    <t>chán / không thú vị / không có ý nghĩa</t>
  </si>
  <si>
    <t>Không có (没) ý nghĩa (意思) = Chán ngắt.</t>
  </si>
  <si>
    <t>门</t>
  </si>
  <si>
    <t>mén</t>
  </si>
  <si>
    <t xml:space="preserve">Môn (门) là cánh cửa. </t>
  </si>
  <si>
    <t>门口</t>
  </si>
  <si>
    <t>ménkǒu</t>
  </si>
  <si>
    <t>Môn (门) là cánh cửa. Khẩu (口) là cái miệng/lối vào.</t>
  </si>
  <si>
    <t>门票</t>
  </si>
  <si>
    <t>ménpiào</t>
  </si>
  <si>
    <t>vé vào cửa</t>
  </si>
  <si>
    <t>Vé (票) để qua cổng (门).</t>
  </si>
  <si>
    <t>面</t>
  </si>
  <si>
    <t>miàn</t>
  </si>
  <si>
    <t>后缀、（动、名、量）</t>
  </si>
  <si>
    <t>mì/bề mặt</t>
  </si>
  <si>
    <t>Hình cái mặt hoặc sợi mì (nhìn giống các sợi mì trong bát).</t>
  </si>
  <si>
    <t>míng</t>
  </si>
  <si>
    <t>Đêm tối (夕) dùng miệng (口) gọi Tên để nhận ra nhau.</t>
  </si>
  <si>
    <t>拿</t>
  </si>
  <si>
    <t>ná</t>
  </si>
  <si>
    <t>cầm / lấy / mang / giữ</t>
  </si>
  <si>
    <t>Chữ Hợp (合) trên chữ Thủ (手-tay). Chắp tay lại để Cầm/Nắm vật gì đó.</t>
  </si>
  <si>
    <t>奶茶</t>
  </si>
  <si>
    <t>nǎichá</t>
  </si>
  <si>
    <t>Sữa (奶) + Trà (茶) = Trà sữa.</t>
  </si>
  <si>
    <t>奶奶</t>
  </si>
  <si>
    <t>nǎinai</t>
  </si>
  <si>
    <t>Người phụ nữ (女) có bầu ngực cho con bú là bà/mẹ.</t>
  </si>
  <si>
    <t>那么</t>
  </si>
  <si>
    <t>nàme</t>
  </si>
  <si>
    <t>代、连</t>
  </si>
  <si>
    <t>Vậy thì</t>
  </si>
  <si>
    <t>Như thế/Vậy thì (Dùng để cảm thán hoặc nối câu).</t>
  </si>
  <si>
    <t>男孩儿</t>
  </si>
  <si>
    <t>nánháir</t>
  </si>
  <si>
    <t>bé trai / con trai</t>
  </si>
  <si>
    <t>Nam (男 - dùng sức lực 力 làm ruộng 田) + Đứa trẻ (孩).</t>
  </si>
  <si>
    <t>那样</t>
  </si>
  <si>
    <t>nàyàng</t>
  </si>
  <si>
    <t>như vậy / như thế đó</t>
  </si>
  <si>
    <t>Loại đó/Như vậy. Chữ 样 có bộ Mộc và chữ Dương (con dê).</t>
  </si>
  <si>
    <t>鸟</t>
  </si>
  <si>
    <t>niǎo</t>
  </si>
  <si>
    <t>Hình con chim có mắt, mỏ và cái đuôi.</t>
  </si>
  <si>
    <t>女孩儿</t>
  </si>
  <si>
    <t>nǚháir</t>
  </si>
  <si>
    <t>Nữ (女) + Đứa trẻ (孩).</t>
  </si>
  <si>
    <t>女孩</t>
  </si>
  <si>
    <t>旁边</t>
  </si>
  <si>
    <t>pángbiān</t>
  </si>
  <si>
    <t>Bên cạnh. Chữ 旁 giống một ngôi nhà có mái che bên đường.</t>
  </si>
  <si>
    <t>跑</t>
  </si>
  <si>
    <t>pǎo</t>
  </si>
  <si>
    <t>Bộ Túc (足-chân) + chữ Bao (包). Chân bước nhanh như gió cuốn bao bọc lấy mặt đất.</t>
  </si>
  <si>
    <t>跑步</t>
  </si>
  <si>
    <t>pǎobù</t>
  </si>
  <si>
    <t>跑 (Chạy) + 步 (Bước) = Thực hiện những bước chạy.</t>
  </si>
  <si>
    <t>票</t>
  </si>
  <si>
    <t>piào</t>
  </si>
  <si>
    <t>Tờ vé/tờ phiếu. Nhìn giống hình tờ giấy có hoa văn chỉ dẫn.</t>
  </si>
  <si>
    <t>前面</t>
  </si>
  <si>
    <t>qiánmiàn</t>
  </si>
  <si>
    <t>phía trước / đằng trước</t>
  </si>
  <si>
    <t>Phía trước. Chữ 前 có bộ Đao và đôi chân đứng phía trước.</t>
  </si>
  <si>
    <t>前边</t>
  </si>
  <si>
    <t>起来</t>
  </si>
  <si>
    <t>qǐlái</t>
  </si>
  <si>
    <t>Chữ Tẩu (走-đi) + Kỷ (己-bản thân): Bản thân tự bước đi/đứng dậy.</t>
  </si>
  <si>
    <t>晴</t>
  </si>
  <si>
    <t>qíng</t>
  </si>
  <si>
    <t>trời nắng / trời quang</t>
  </si>
  <si>
    <t>Mặt trời (日) chiếu sáng làm cỏ cây xanh (青) tươi. Trời Nắng.</t>
  </si>
  <si>
    <t>球</t>
  </si>
  <si>
    <t>qiú</t>
  </si>
  <si>
    <t>Bộ Vương (王 - ngọc) + chữ Cầu. Quả bóng quý như viên ngọc tròn.</t>
  </si>
  <si>
    <t>妻子</t>
  </si>
  <si>
    <t>qīzi</t>
  </si>
  <si>
    <t>Người phụ nữ (女) lo việc may vá (chữ trên bộ Nữ giống cái chổi).</t>
  </si>
  <si>
    <t>让</t>
  </si>
  <si>
    <t>ràng</t>
  </si>
  <si>
    <t>để / cho phép / bảo / nhường</t>
  </si>
  <si>
    <t>Dùng lời nói (讠) để Cho phép/Nhường ai đó.</t>
  </si>
  <si>
    <t>肉</t>
  </si>
  <si>
    <t>ròu</t>
  </si>
  <si>
    <t>Hình ảnh miếng thịt có các thớ mỡ nạc đan xen.</t>
  </si>
  <si>
    <t>商场</t>
  </si>
  <si>
    <t>shāngchǎng</t>
  </si>
  <si>
    <t>Nơi (场) để giao thương (商 - người đứng dưới mái nhà nói về tiền bạc).</t>
  </si>
  <si>
    <t>上来</t>
  </si>
  <si>
    <t>shànglái</t>
  </si>
  <si>
    <t>Lên về phía người nói</t>
  </si>
  <si>
    <t>Phía trên (上) + Đến (来) / Mặt (面) / Đi (去).</t>
  </si>
  <si>
    <t>上面</t>
  </si>
  <si>
    <t>shàngmiàn</t>
  </si>
  <si>
    <t>上去</t>
  </si>
  <si>
    <t>shàngqù</t>
  </si>
  <si>
    <t>Lên ra xa người nói</t>
  </si>
  <si>
    <t>上网</t>
  </si>
  <si>
    <t>shàngwǎng</t>
  </si>
  <si>
    <t xml:space="preserve">lên mạng </t>
  </si>
  <si>
    <t>Lên (上) Mạng (网 - hình cái lưới đánh cá).</t>
  </si>
  <si>
    <t>生日</t>
  </si>
  <si>
    <t>shēngrì</t>
  </si>
  <si>
    <t>Sinh ra (生) vào ngày (日).</t>
  </si>
  <si>
    <t>身体</t>
  </si>
  <si>
    <t>shēntǐ</t>
  </si>
  <si>
    <t>cơ thể / sức khỏe</t>
  </si>
  <si>
    <t>Thân thể. Chữ 体 gồm người (亻) và gốc rễ (本).</t>
  </si>
  <si>
    <t>时</t>
  </si>
  <si>
    <t>thời / lúc / giờ</t>
  </si>
  <si>
    <t>Mặt trời (日) đi qua ngôi chùa (寺) để đo Thời gian.</t>
  </si>
  <si>
    <t>事情</t>
  </si>
  <si>
    <t>shìqing</t>
  </si>
  <si>
    <t>sự việc / chuyện / việc</t>
  </si>
  <si>
    <t>Sự việc. Chữ 情 có bộ Tâm (忄): Việc gì cũng cần dụng tâm.</t>
  </si>
  <si>
    <t>手</t>
  </si>
  <si>
    <t>shǒu</t>
  </si>
  <si>
    <t>Hình bàn tay với các ngón tay.</t>
  </si>
  <si>
    <t>手表</t>
  </si>
  <si>
    <t>shǒubiǎo</t>
  </si>
  <si>
    <t>Cái đồng hồ đeo trên tay (手).</t>
  </si>
  <si>
    <t>书包</t>
  </si>
  <si>
    <t>shūbāo</t>
  </si>
  <si>
    <t>cặp sách</t>
  </si>
  <si>
    <t>Cái túi (包) đựng sách (书).</t>
  </si>
  <si>
    <t>舒服</t>
  </si>
  <si>
    <t>shūfu</t>
  </si>
  <si>
    <t>Thư giãn. Chữ 舒 là xả bỏ (舍) cái tôi (予) nên thấy thoải mái.</t>
  </si>
  <si>
    <t>送</t>
  </si>
  <si>
    <t>sòng</t>
  </si>
  <si>
    <t xml:space="preserve">tặng / tiễn </t>
  </si>
  <si>
    <t>Bước đi (辶) để tiễn hoặc Tặng quà.</t>
  </si>
  <si>
    <t>虽然</t>
  </si>
  <si>
    <t>suīrán</t>
  </si>
  <si>
    <t>Tuy rằng. Chữ 虽 có miệng (口) nói nhưng lòng còn lo như con sâu.</t>
  </si>
  <si>
    <t>所以</t>
  </si>
  <si>
    <t>suǒyǐ</t>
  </si>
  <si>
    <t>Cho nên. Kết quả của một hành động.</t>
  </si>
  <si>
    <t>疼</t>
  </si>
  <si>
    <t>téng</t>
  </si>
  <si>
    <t>形、（动）</t>
  </si>
  <si>
    <t>đau</t>
  </si>
  <si>
    <t>Bộ Nạch (疒 - bệnh) + chữ Đông (冬-mùa đông). Đau buốt như mùa đông.</t>
  </si>
  <si>
    <t>题</t>
  </si>
  <si>
    <t>tí</t>
  </si>
  <si>
    <t>đề / câu hỏi / bài tập</t>
  </si>
  <si>
    <t>Chữ Thị (是) + bộ Hiệt (页-đầu). Cái đầu đang suy nghĩ xem cái gì là đúng.</t>
  </si>
  <si>
    <t>踢</t>
  </si>
  <si>
    <t>tī</t>
  </si>
  <si>
    <t>đá (dùng chân)</t>
  </si>
  <si>
    <t>Dùng chân (足) để Đá.</t>
  </si>
  <si>
    <t>条</t>
  </si>
  <si>
    <t>tiáo</t>
  </si>
  <si>
    <t>Lượng từ cho vật dài. Giống hình cái cây có cành rủ xuống.</t>
  </si>
  <si>
    <t>跳舞</t>
  </si>
  <si>
    <t>tiàowǔ</t>
  </si>
  <si>
    <t>khiêu vũ</t>
  </si>
  <si>
    <t>Nhảy (跳 - dùng chân 足) múa (舞 - hình người cầm lông chim múa).</t>
  </si>
  <si>
    <t>头</t>
  </si>
  <si>
    <t>tóu</t>
  </si>
  <si>
    <t>名、（量）、（形）</t>
  </si>
  <si>
    <t>Cái đầu. Có hai chấm ở trên giống như mắt/tai.</t>
  </si>
  <si>
    <t>外国</t>
  </si>
  <si>
    <t>wàiguó</t>
  </si>
  <si>
    <t>Bên ngoài. Chữ 外 gồm buổi tối (夕) và quẻ bói (卜).</t>
  </si>
  <si>
    <t>外面</t>
  </si>
  <si>
    <t>wàimiàn</t>
  </si>
  <si>
    <t>Buổi tối (夕) cầm quẻ bói (卜) đi ra phía (面) bên ngoài nhà</t>
  </si>
  <si>
    <t>完</t>
  </si>
  <si>
    <t>xong / hoàn thành</t>
  </si>
  <si>
    <t>Dưới mái nhà (宀) mọi việc đã xong xuôi (元 - nguyên vẹn).</t>
  </si>
  <si>
    <t>万</t>
  </si>
  <si>
    <t>wàn</t>
  </si>
  <si>
    <t>Số 10.000 (Vạn).</t>
  </si>
  <si>
    <t>忘</t>
  </si>
  <si>
    <t>wàng</t>
  </si>
  <si>
    <t>Chữ Vong (亡-mất) trên chữ Tâm (心). Trái tim bị mất đi ký ức = Quên.</t>
  </si>
  <si>
    <t>往</t>
  </si>
  <si>
    <t>wǎng</t>
  </si>
  <si>
    <t>về phía / hướng về / đến</t>
  </si>
  <si>
    <t>Bộ Xích (彳-bước chân) + chữ Chủ (主): Bước chân đi theo hướng của người Chủ chốt (Hướng về/Đi về).</t>
  </si>
  <si>
    <t>网上</t>
  </si>
  <si>
    <t>wǎngshang</t>
  </si>
  <si>
    <t xml:space="preserve">trên mạng </t>
  </si>
  <si>
    <t>Lên (上) Mạng (网): Hình cái lưới đánh cá, các sợi dây đan chéo nhau như Internet.</t>
  </si>
  <si>
    <t>位</t>
  </si>
  <si>
    <t>vị/vị trí</t>
  </si>
  <si>
    <t>Người (亻) đứng (立) đúng vị trí của mình (Vị trí/Lượng từ chỉ người lịch sự).</t>
  </si>
  <si>
    <t>为什么</t>
  </si>
  <si>
    <t>wèi shénme</t>
  </si>
  <si>
    <t>Vì (为) cái gì (什么). Chữ 为 giống hình một bàn tay đang làm việc.</t>
  </si>
  <si>
    <t>洗</t>
  </si>
  <si>
    <t>xǐ</t>
  </si>
  <si>
    <t>Dùng nước (氵) gội rửa cho đôi chân (先 - nghĩa gốc là đôi chân đi phía trước).</t>
  </si>
  <si>
    <t>下来</t>
  </si>
  <si>
    <t>xiàlái</t>
  </si>
  <si>
    <t>xuống đây (về phía người nói)</t>
  </si>
  <si>
    <t>Phía dưới (下) + Đến (来) / Mặt (面) / Đi (去).</t>
  </si>
  <si>
    <t>下面</t>
  </si>
  <si>
    <t>xiàmiàn</t>
  </si>
  <si>
    <t>笑</t>
  </si>
  <si>
    <t>xiào</t>
  </si>
  <si>
    <t>Dưới bụi tre (竹), con người (夭) uốn éo thân mình để Cười.</t>
  </si>
  <si>
    <t>小孩儿</t>
  </si>
  <si>
    <t>xiǎoháir</t>
  </si>
  <si>
    <t>Nhỏ (小) + Đứa trẻ (孩 - bộ Tử 子 và đứa bé đang cười 亥).</t>
  </si>
  <si>
    <t>小孩</t>
  </si>
  <si>
    <t>小时候</t>
  </si>
  <si>
    <t>xiǎoshíhou</t>
  </si>
  <si>
    <t>Lúc (时候) còn nhỏ (小).</t>
  </si>
  <si>
    <t>下去</t>
  </si>
  <si>
    <t>xiàqù</t>
  </si>
  <si>
    <t>Đi xuống (hướng rời xa người nói)</t>
  </si>
  <si>
    <t>Người phụ nữ (女) sinh ra (生) đứa con mang Họ của gia đình.</t>
  </si>
  <si>
    <t>姓</t>
  </si>
  <si>
    <t>xìng</t>
  </si>
  <si>
    <t>Họ theo mẹ sinh ra → 姓</t>
  </si>
  <si>
    <t>xing</t>
  </si>
  <si>
    <t>姓名</t>
  </si>
  <si>
    <t>xìngmíng</t>
  </si>
  <si>
    <t>họ và tên</t>
  </si>
  <si>
    <t>Họ (姓) và Tên (名).</t>
  </si>
  <si>
    <t>洗手间</t>
  </si>
  <si>
    <t>xǐshǒujiān</t>
  </si>
  <si>
    <t>Gian phòng (间) để rửa (洗) tay (手) = Nhà vệ sinh.</t>
  </si>
  <si>
    <t>希望</t>
  </si>
  <si>
    <t>xīwàng</t>
  </si>
  <si>
    <t>Hy (希): mảnh vải dệt thưa. Vọng (望): người đứng trên đất ngắm trăng. Mong đợi điều tốt đẹp.</t>
  </si>
  <si>
    <t>眼睛</t>
  </si>
  <si>
    <t>yǎnjing</t>
  </si>
  <si>
    <t>Cả hai chữ đều có bộ Mục (目) vì chúng đều là cái Mắt.</t>
  </si>
  <si>
    <t>颜色</t>
  </si>
  <si>
    <t>yánsè</t>
  </si>
  <si>
    <t>Nhan (颜): khuôn mặt. Sắc (色): màu sắc. Màu sắc hiện trên khuôn mặt.</t>
  </si>
  <si>
    <t>药</t>
  </si>
  <si>
    <t>Bộ Thảo (艹): Cây cỏ làm thuốc + chữ Nhạc (乐): Thuốc uống vào cho vui sướng/khỏi bệnh.</t>
  </si>
  <si>
    <t>药店</t>
  </si>
  <si>
    <t>yàodiàn</t>
  </si>
  <si>
    <t>Tiệm (店) bán thuốc (药).</t>
  </si>
  <si>
    <t>爷爷</t>
  </si>
  <si>
    <t>yéye</t>
  </si>
  <si>
    <t>Có bộ Phụ (父) ở trên: Người cha của cha mình (Ông nội).</t>
  </si>
  <si>
    <t>一会儿</t>
  </si>
  <si>
    <t>yíhuìr</t>
  </si>
  <si>
    <t>Một (一) lát/chút. Chữ 会 là hình ảnh nắp đậy trên cái bát (hội tụ).</t>
  </si>
  <si>
    <t>已经</t>
  </si>
  <si>
    <t>yǐjīng</t>
  </si>
  <si>
    <t>Dĩ (已): hình người mang thai đã hoàn thành. Kinh (经): sợi tơ trải qua thời gian. Đã rồi.</t>
  </si>
  <si>
    <t>阴</t>
  </si>
  <si>
    <t>yīn</t>
  </si>
  <si>
    <t>Âm (trong âm – dương)</t>
  </si>
  <si>
    <t>Bộ Phụ (阝-gò đất) che khuất mặt trời. Phía bóng râm là Âm/Trời u ám.</t>
  </si>
  <si>
    <t>因为</t>
  </si>
  <si>
    <t>yīnwèi</t>
  </si>
  <si>
    <t>Nhân (因): cái cây bị nhốt trong khung (nguyên nhân) + Vị (为): vì.</t>
  </si>
  <si>
    <t>一起</t>
  </si>
  <si>
    <t>yìqǐ</t>
  </si>
  <si>
    <t>Cùng nhau. Chữ 起 là cùng chạy (走) với bản thân (己).</t>
  </si>
  <si>
    <t>意思</t>
  </si>
  <si>
    <t>yìsi</t>
  </si>
  <si>
    <t>Ý nghĩa. Cả hai chữ đều có bộ Tâm (心) ở dưới: Ý nghĩ xuất phát từ trái tim.</t>
  </si>
  <si>
    <t>游</t>
  </si>
  <si>
    <t>yóu</t>
  </si>
  <si>
    <t>Bộ Thủy (氵) + đứa trẻ (子) đang bơi dưới nước.</t>
  </si>
  <si>
    <t>右</t>
  </si>
  <si>
    <t>yòu</t>
  </si>
  <si>
    <t>phía phải</t>
  </si>
  <si>
    <t>Dùng tay (ナ) đưa thức ăn vào miệng (口) là tay Phải (tay cầm đũa).</t>
  </si>
  <si>
    <t>应该</t>
  </si>
  <si>
    <t>有意思</t>
  </si>
  <si>
    <t>yǒu yìsi</t>
  </si>
  <si>
    <t>thú vị / hay / có ý nghĩa</t>
  </si>
  <si>
    <t>Có (有) ý nghĩa (意思) = Thú vị.</t>
  </si>
  <si>
    <t>右边</t>
  </si>
  <si>
    <t>yòubian</t>
  </si>
  <si>
    <t>bên phải</t>
  </si>
  <si>
    <t>右 (yòu) giống tay phải đang cầm đồ</t>
  </si>
  <si>
    <t>有时（候）</t>
  </si>
  <si>
    <t>yǒushí(hou)</t>
  </si>
  <si>
    <t>đôi khi / có lúc</t>
  </si>
  <si>
    <t>Có (有) những lúc/thời gian (时候).</t>
  </si>
  <si>
    <t>游泳</t>
  </si>
  <si>
    <t>yóuyǒng</t>
  </si>
  <si>
    <t>Cả hai chữ đều có bộ Thủy (氵): Hành động bơi dưới nước.</t>
  </si>
  <si>
    <t>鱼</t>
  </si>
  <si>
    <t>yú</t>
  </si>
  <si>
    <t>Hình tượng con cá: Đầu cá, thân cá có vảy (田) và đuôi cá (nét gạch dưới).</t>
  </si>
  <si>
    <t>远</t>
  </si>
  <si>
    <t>yuǎn</t>
  </si>
  <si>
    <t>Bước đi (辶) một quãng đường dài bằng hai cái áo (元 - nghĩa cổ) nên thấy Xa.</t>
  </si>
  <si>
    <t>运动</t>
  </si>
  <si>
    <t>yùndòng</t>
  </si>
  <si>
    <t>Di chuyển (运) bằng sức lực (力) làm mây chuyển động (动) = Vận động.</t>
  </si>
  <si>
    <t>站</t>
  </si>
  <si>
    <t>zhàn</t>
  </si>
  <si>
    <t>Người đứng (立) trên một mảnh đất (占) để đợi xe ở Trạm.</t>
  </si>
  <si>
    <t>丈夫</t>
  </si>
  <si>
    <t>zhàngfu</t>
  </si>
  <si>
    <t>Người đàn ông (夫) cao một trượng (丈) là người Chồng trụ cột.</t>
  </si>
  <si>
    <t>着</t>
  </si>
  <si>
    <t>zhe</t>
  </si>
  <si>
    <t>…đang / …ở trạng thái đó</t>
  </si>
  <si>
    <t>Hình ảnh con mắt (目) nhìn chăm chú vào con dê (羊 - biến thể) đang đứng yên.</t>
  </si>
  <si>
    <t>转</t>
  </si>
  <si>
    <t>这么</t>
  </si>
  <si>
    <t>zhème</t>
  </si>
  <si>
    <t>Như thế này / đến mức này / như vậy</t>
  </si>
  <si>
    <t>Này. Cách thức/Như thế này.</t>
  </si>
  <si>
    <t>这样</t>
  </si>
  <si>
    <t>正</t>
  </si>
  <si>
    <t>zhèng</t>
  </si>
  <si>
    <t>Một nét ngang chặn trên chữ Chỉ (止-dừng): Dừng lại đúng chỗ là Chính trực/Đúng.</t>
  </si>
  <si>
    <t>zhèyàng</t>
  </si>
  <si>
    <t>như thế này / như vậy</t>
  </si>
  <si>
    <t>周</t>
  </si>
  <si>
    <t>zhōu</t>
  </si>
  <si>
    <t>Một vùng đất được bao bọc, bên trong có ruộng đất trồng trọt (Chu kỳ/Tuần).</t>
  </si>
  <si>
    <t>准备</t>
  </si>
  <si>
    <t>zhǔnbèi</t>
  </si>
  <si>
    <t>Chuẩn (准): nước đóng băng phẳng lặng. Bị (备): mũi tên trong bao. Sẵn sàng.</t>
  </si>
  <si>
    <t>转背</t>
  </si>
  <si>
    <t>自己</t>
  </si>
  <si>
    <t>zìjǐ</t>
  </si>
  <si>
    <t>bản thân mình / tự mình</t>
  </si>
  <si>
    <t>Tự (自): hình cái mũi (tự chỉ vào mũi mình). Kỷ (己): bản thân mình.</t>
  </si>
  <si>
    <t>走</t>
  </si>
  <si>
    <t>zǒu</t>
  </si>
  <si>
    <t>Hình ảnh người đang dang tay bước đi trên mặt đất.</t>
  </si>
  <si>
    <t>走路</t>
  </si>
  <si>
    <t>zǒulù</t>
  </si>
  <si>
    <t>Đi bộ (走) trên đường (路).</t>
  </si>
  <si>
    <t>最</t>
  </si>
  <si>
    <t>zuì</t>
  </si>
  <si>
    <t>nhất (mức độ cao nhất)</t>
  </si>
  <si>
    <t>Phía trên là mặt trời (日), dưới là lấy tay che mắt. Cái gì vượt trên mặt trời là Nhất.</t>
  </si>
  <si>
    <t>左</t>
  </si>
  <si>
    <t>zuǒ</t>
  </si>
  <si>
    <t>phía trái</t>
  </si>
  <si>
    <t>Dùng tay (ナ) cầm cái thước (工) thợ mộc là tay Trái (tay phụ).</t>
  </si>
  <si>
    <t>左边</t>
  </si>
  <si>
    <t>zuǒbian</t>
  </si>
  <si>
    <t>足球</t>
  </si>
  <si>
    <t>zúqiú</t>
  </si>
  <si>
    <t>Chân (足) + Quả bóng (球) = Bóng đá.</t>
  </si>
  <si>
    <t>1-500 sheet HSK1,2</t>
  </si>
  <si>
    <t>矮</t>
  </si>
  <si>
    <t>ǎi</t>
  </si>
  <si>
    <t>Bộ Thị (矢 - mũi tên) và chữ Ủy (委 - cây lúa). Mũi tên ngắn hơn cây lúa nên là Thấp/Lùn.</t>
  </si>
  <si>
    <t>爱人</t>
  </si>
  <si>
    <t>àiren</t>
  </si>
  <si>
    <t>người yêu</t>
  </si>
  <si>
    <t>Người (人) mà mình yêu (爱). Trong chữ 爱 có bộ Tâm (心) ở giữa.</t>
  </si>
  <si>
    <t>安静</t>
  </si>
  <si>
    <t>ānjìng</t>
  </si>
  <si>
    <t>yên tĩnh</t>
  </si>
  <si>
    <t>Dưới mái nhà (宀) người phụ nữ (女) giữ yên lặng (静 - chữ Thanh 青 chỉ sự tĩnh lặng).</t>
  </si>
  <si>
    <t>安全</t>
  </si>
  <si>
    <t>ānquán</t>
  </si>
  <si>
    <t>Người phụ nữ (女) ở dưới mái nhà (宀) thì sẽ An toàn.</t>
  </si>
  <si>
    <t>阿姨</t>
  </si>
  <si>
    <t>āyí</t>
  </si>
  <si>
    <t>Di (姨) gồm bộ Nữ (女) và chữ Di (夷 - cây cung). Người phụ nữ đeo cung để bảo vệ cháu.</t>
  </si>
  <si>
    <t>把</t>
  </si>
  <si>
    <t>bǎ</t>
  </si>
  <si>
    <t>量、介</t>
  </si>
  <si>
    <t>cầm, nắm, lượng từ cho vật có tay cầm.</t>
  </si>
  <si>
    <t>Bộ Thủ (扌- tay) và chữ Ba (巴). Dùng tay nắm lấy cái chuôi/cán của một vật.</t>
  </si>
  <si>
    <t>办</t>
  </si>
  <si>
    <t>làm, xử lý, giải quyết</t>
  </si>
  <si>
    <t>Dùng sức lực (力) làm việc giữa hai giọt mồ hôi (丷) để Giải quyết/Làm.</t>
  </si>
  <si>
    <t>搬</t>
  </si>
  <si>
    <t>khuân, mang, chuyển đồ</t>
  </si>
  <si>
    <t>Dùng tay (扌) di chuyển đồ vật vào trong thuyền (舟) để Bưng/Bê.</t>
  </si>
  <si>
    <t>办法</t>
  </si>
  <si>
    <t>bànfǎ</t>
  </si>
  <si>
    <t>biện pháp</t>
  </si>
  <si>
    <t>Cách làm (办) và Phương pháp (法 - nước 氵 chảy đi 去 là quy luật/pháp).</t>
  </si>
  <si>
    <t>办公室</t>
  </si>
  <si>
    <t>bàngōngshì</t>
  </si>
  <si>
    <t>Nơi công tác (办公) trong một căn phòng (室 - dưới mái nhà có người đến).</t>
  </si>
  <si>
    <t>帮助</t>
  </si>
  <si>
    <t>bāngzhù</t>
  </si>
  <si>
    <t>Dùng sức lực (力) hỗ trợ người khác dệt vải/may đồ (帮).</t>
  </si>
  <si>
    <t>班级</t>
  </si>
  <si>
    <t>bānjí</t>
  </si>
  <si>
    <t>Lớp học (班) xếp theo cấp bậc (级 - bộ Mịch 纟 kết nối các bậc).</t>
  </si>
  <si>
    <t>搬家</t>
  </si>
  <si>
    <t>bānjiā</t>
  </si>
  <si>
    <t>chuyển nhà</t>
  </si>
  <si>
    <t>Bê đồ (搬) để chuyển đến nhà (家) mới.</t>
  </si>
  <si>
    <t>半天</t>
  </si>
  <si>
    <t>bàntiān</t>
  </si>
  <si>
    <t>rất lâu</t>
  </si>
  <si>
    <t>Một nửa (半 - hình vật bị chia đôi) ngày (天). Chỉ thời gian rất lâu.</t>
  </si>
  <si>
    <t>饱</t>
  </si>
  <si>
    <t>bǎo</t>
  </si>
  <si>
    <t xml:space="preserve">đầy, no </t>
  </si>
  <si>
    <t>Bộ Thực (饣- đồ ăn) và chữ Bao (包). Cái bụng đầy thức ăn như một cái túi căng tròn.</t>
  </si>
  <si>
    <t>报纸</t>
  </si>
  <si>
    <t>bàozhǐ</t>
  </si>
  <si>
    <t>báo (báo giấy)</t>
  </si>
  <si>
    <t>Tin báo (报 - dùng tay hất đất) viết trên giấy (纸 - bộ Mịch chỉ sợi tơ làm giấy).</t>
  </si>
  <si>
    <t>被</t>
  </si>
  <si>
    <t>bèi</t>
  </si>
  <si>
    <t>介</t>
  </si>
  <si>
    <t>bị (câu bị động), cái chăn</t>
  </si>
  <si>
    <t>Bộ Y (衤- áo) và chữ Bì (皮 - da). Cái áo bao bọc lấy làn da (Bị/Được/Cái chăn).</t>
  </si>
  <si>
    <t>北</t>
  </si>
  <si>
    <t>běi</t>
  </si>
  <si>
    <t>Hình ảnh hai người ngồi quay lưng vào nhau để tránh gió Bắc lạnh buốt.</t>
  </si>
  <si>
    <t>北方</t>
  </si>
  <si>
    <t>běifāng</t>
  </si>
  <si>
    <t>phương bắc</t>
  </si>
  <si>
    <t>Hướng (方) Bắc (北).</t>
  </si>
  <si>
    <t>变</t>
  </si>
  <si>
    <t>biàn</t>
  </si>
  <si>
    <t>Dưới mái nhà có sợi tơ và bộ Phẫu (攵- tay cầm gậy) làm biến đổi mọi thứ.</t>
  </si>
  <si>
    <t>遍</t>
  </si>
  <si>
    <t>Bộ Quai sước (辶- bước đi) khắp mọi nơi (扁 - cái bảng tên). Đi qua mọi lượt.</t>
  </si>
  <si>
    <t>变成</t>
  </si>
  <si>
    <t>biànchéng</t>
  </si>
  <si>
    <t>biến thành</t>
  </si>
  <si>
    <t>Biến đổi (变) và trở thành (成 - dùng binh khí để hoàn thành công việc).</t>
  </si>
  <si>
    <t>变化</t>
  </si>
  <si>
    <t>biànhuà</t>
  </si>
  <si>
    <t>biến hoá</t>
  </si>
  <si>
    <t>Biến đổi (变) và Hóa thân (化 - người đứng và người ngã lộn ngược).</t>
  </si>
  <si>
    <t>表演</t>
  </si>
  <si>
    <t>biǎoyǎn</t>
  </si>
  <si>
    <t>biểu diễn</t>
  </si>
  <si>
    <t>Biểu diễn (表 - khoác áo dài) hành động dưới nước (演 - bộ Thủy).</t>
  </si>
  <si>
    <t>别的</t>
  </si>
  <si>
    <t>biéde</t>
  </si>
  <si>
    <t>khác / cái khác / người khác.</t>
  </si>
  <si>
    <t>Cái khác (别 - dùng dao 刂 chia ra).</t>
  </si>
  <si>
    <t>别人</t>
  </si>
  <si>
    <t>biérén</t>
  </si>
  <si>
    <t>Người (人) khác (别).</t>
  </si>
  <si>
    <t>笔记</t>
  </si>
  <si>
    <t>bǐjì</t>
  </si>
  <si>
    <t>ghi chép</t>
  </si>
  <si>
    <t>Dùng bút (笔) để ghi lại (记 - dùng lời nói 讠 để ghi vào bộ não 己).</t>
  </si>
  <si>
    <t>比较</t>
  </si>
  <si>
    <t>bǐjiào</t>
  </si>
  <si>
    <t>so sánh / khá</t>
  </si>
  <si>
    <t>So sánh (比) hai chiếc xe (车) đang chạy xem xe nào nhanh hơn.</t>
  </si>
  <si>
    <t>笔记本</t>
  </si>
  <si>
    <t>bǐjìběn</t>
  </si>
  <si>
    <t>Cuốn vở (本) dùng để ghi chép (笔记).</t>
  </si>
  <si>
    <t>冰</t>
  </si>
  <si>
    <t>bīng</t>
  </si>
  <si>
    <t>名、（动）</t>
  </si>
  <si>
    <t>Bộ Băng (冫): Những hạt nước đông cứng lại thành nước đá.</t>
  </si>
  <si>
    <t>冰激凌</t>
  </si>
  <si>
    <t>bīngjīlíng</t>
  </si>
  <si>
    <t>Nước đá (冰) tan ra mạnh mẽ (激) như những giọt nước nhỏ rơi xuống (凌).</t>
  </si>
  <si>
    <t>病人</t>
  </si>
  <si>
    <t>bìngrén</t>
  </si>
  <si>
    <t>bệnh nhân</t>
  </si>
  <si>
    <t>Người (人) đang bị ốm (病 - nằm dưới mái nhà bệnh viện).</t>
  </si>
  <si>
    <t>宾馆</t>
  </si>
  <si>
    <t>bīnguǎn</t>
  </si>
  <si>
    <t>Nhà (馆) đón khách quý (宾 - người mang tiền đến dưới mái nhà).</t>
  </si>
  <si>
    <t>冰箱</t>
  </si>
  <si>
    <t>bīngxiāng</t>
  </si>
  <si>
    <t>Cái thùng (箱 - làm bằng tre 竹) chứa nước đá (冰).</t>
  </si>
  <si>
    <t>比如</t>
  </si>
  <si>
    <t>bǐrú</t>
  </si>
  <si>
    <t>So sánh (比) như là (如 - phụ nữ 女 nói lời 口 nhẹ nhàng).</t>
  </si>
  <si>
    <t>so (so sánh trực tiếp)</t>
  </si>
  <si>
    <t>Hai người đứng cạnh nhau để So sánh.</t>
  </si>
  <si>
    <t>必须</t>
  </si>
  <si>
    <t>bìxū</t>
  </si>
  <si>
    <t>Trái tim (心) bị gạch chéo là "Tất" (phải) + bộ Hiệt (页- đầu): Đầu phải nghĩ đến.</t>
  </si>
  <si>
    <t>不同</t>
  </si>
  <si>
    <t>bù tóng</t>
  </si>
  <si>
    <t>Không (不) giống (同 - nhiều người chung một miệng nói).</t>
  </si>
  <si>
    <t>不但</t>
  </si>
  <si>
    <t>búdàn</t>
  </si>
  <si>
    <t>Không (不) chỉ ngày một ngày hai (旦 - mặt trời mọc trên đất).</t>
  </si>
  <si>
    <t>不见</t>
  </si>
  <si>
    <t>bújiàn</t>
  </si>
  <si>
    <t>Không (不) nhìn thấy (见 - đôi mắt đặt trên đôi chân).</t>
  </si>
  <si>
    <t>不久</t>
  </si>
  <si>
    <t>bùjiǔ</t>
  </si>
  <si>
    <t>không lâu</t>
  </si>
  <si>
    <t>Không (不) lâu (久 - người bước đi kéo lê bước chân).</t>
  </si>
  <si>
    <t>不行</t>
  </si>
  <si>
    <t>bùxíng</t>
  </si>
  <si>
    <t>không được</t>
  </si>
  <si>
    <t>Không (不) đi được (行 - hình ngã tư đường).</t>
  </si>
  <si>
    <t>不用</t>
  </si>
  <si>
    <t>búyòng</t>
  </si>
  <si>
    <t>Không (不) cần dùng (用 - hình cái hàng rào/dụng cụ).</t>
  </si>
  <si>
    <t>才</t>
  </si>
  <si>
    <t>cái</t>
  </si>
  <si>
    <t>mới, chỉ mới</t>
  </si>
  <si>
    <t>Hình ảnh mầm cây mới nhú lên khỏi mặt đất (Vừa mới/Tài năng).</t>
  </si>
  <si>
    <t>菜单</t>
  </si>
  <si>
    <t>càidān</t>
  </si>
  <si>
    <t>Danh sách (单) các món rau/thức ăn (菜 - có bộ Thảo 艹).</t>
  </si>
  <si>
    <t>参加</t>
  </si>
  <si>
    <t>cānjiā</t>
  </si>
  <si>
    <t>Tham gia (参 - người đứng dưới ba ngôi sao) và thêm vào (加 - dùng miệng cổ vũ).</t>
  </si>
  <si>
    <t>草</t>
  </si>
  <si>
    <t>cǎo</t>
  </si>
  <si>
    <t>Bộ Thảo (艹) trên đầu và chữ Tảo (早 - sớm). Cỏ thường đón nắng sớm.</t>
  </si>
  <si>
    <t>草地</t>
  </si>
  <si>
    <t>cǎodì</t>
  </si>
  <si>
    <t>Vùng đất (地) đầy cỏ (草).</t>
  </si>
  <si>
    <t>层</t>
  </si>
  <si>
    <t>céng</t>
  </si>
  <si>
    <t>tầng</t>
  </si>
  <si>
    <t>Bộ Thi (尸 - xác chết/mái nhà) che lên đám mây (云). Tầng mây.</t>
  </si>
  <si>
    <t>查</t>
  </si>
  <si>
    <t>Dưới gốc cây (木) có chữ Sát (旦 - mặt trời). Soi dưới ánh mặt trời để Kiểm tra.</t>
  </si>
  <si>
    <t>差</t>
  </si>
  <si>
    <t>chà</t>
  </si>
  <si>
    <t>kém, thiếu</t>
  </si>
  <si>
    <t>Hình con dê (羊) nhưng thiếu một chân nên chất lượng bị Kém/Sai sót.</t>
  </si>
  <si>
    <t>差不多</t>
  </si>
  <si>
    <t>chàbuduō</t>
  </si>
  <si>
    <t>Sai khác (差) không (不) nhiều (多) = Xấp xỉ/Gần giống.</t>
  </si>
  <si>
    <t>尝</t>
  </si>
  <si>
    <t>Bộ Thượng (尚) trên bộ Vân (云): Thưởng thức món ăn ngon như bay trên mây.</t>
  </si>
  <si>
    <t>常</t>
  </si>
  <si>
    <t>Treo tấm vải (巾) dưới mái nhà là việc làm Thường xuyên.</t>
  </si>
  <si>
    <t>常见</t>
  </si>
  <si>
    <t>cháng jiàn</t>
  </si>
  <si>
    <t>thường thấy / phổ biến</t>
  </si>
  <si>
    <t>Thường (常) xuyên nhìn Thấy (见).</t>
  </si>
  <si>
    <t>常用</t>
  </si>
  <si>
    <t>cháng yòng</t>
  </si>
  <si>
    <t>Thường (常) xuyên sử dụng (用).</t>
  </si>
  <si>
    <t>常常</t>
  </si>
  <si>
    <t>chángcháng</t>
  </si>
  <si>
    <t>Gấp đôi chữ Thường: Nhấn mạnh sự đều đặn.</t>
  </si>
  <si>
    <t>成绩</t>
  </si>
  <si>
    <t>chéngjì</t>
  </si>
  <si>
    <t>thành tích</t>
  </si>
  <si>
    <t>Hoàn thành (成) công việc và kết nối như sợi tơ (绩) = Thành tích.</t>
  </si>
  <si>
    <t>城市</t>
  </si>
  <si>
    <t>chéngshì</t>
  </si>
  <si>
    <t>Bức tường đất (城 - bộ Thổ) bảo vệ cái chợ (市) = Thành phố.</t>
  </si>
  <si>
    <t>衬衫</t>
  </si>
  <si>
    <t>chènshān</t>
  </si>
  <si>
    <t>Cả hai chữ đều có bộ Y (衤- áo): Loại áo mặc sát người (Áo sơ mi).</t>
  </si>
  <si>
    <t>迟到</t>
  </si>
  <si>
    <t>chídào</t>
  </si>
  <si>
    <t>Bước đi (辶) chậm chạp như con rùa nên Đến (到) bị Muộn.</t>
  </si>
  <si>
    <t>船</t>
  </si>
  <si>
    <t>chuán</t>
  </si>
  <si>
    <t>Bộ Chu (舟 - thuyền) chở người (miệng 口) trên sông nước.</t>
  </si>
  <si>
    <t>出发</t>
  </si>
  <si>
    <t>chūfā</t>
  </si>
  <si>
    <t>Đi ra ngoài (出) và phát lệnh (发) hành trình = Xuất phát.</t>
  </si>
  <si>
    <t>除了</t>
  </si>
  <si>
    <t>chúle</t>
  </si>
  <si>
    <t>Bộ Phụ (阝- gò đất) ngăn cách những thứ dư thừa (余) ra.</t>
  </si>
  <si>
    <t>春天</t>
  </si>
  <si>
    <t>chūntiān</t>
  </si>
  <si>
    <t>Ba người (三) ngắm mặt trời (日) dưới tán cỏ mùa Xuân.</t>
  </si>
  <si>
    <t>出生</t>
  </si>
  <si>
    <t>chūshēng</t>
  </si>
  <si>
    <t>Ra ngoài (出) và bắt đầu sự sống (生) = Chào đời.</t>
  </si>
  <si>
    <t>出院</t>
  </si>
  <si>
    <t>chūyuàn</t>
  </si>
  <si>
    <t>Ra khỏi (出) khuôn viên (院) bệnh viện = Xuất viện.</t>
  </si>
  <si>
    <t>初中</t>
  </si>
  <si>
    <t>chūzhōng</t>
  </si>
  <si>
    <t>Cấp học trung học (中) lúc ban đầu (初) = Cấp 2.</t>
  </si>
  <si>
    <t>词典</t>
  </si>
  <si>
    <t>cídiǎn</t>
  </si>
  <si>
    <t>Từ vựng (词) được xếp ngay ngắn như báu vật trên giá (典) = Từ điển.</t>
  </si>
  <si>
    <t>聪明</t>
  </si>
  <si>
    <t>cōngmíng</t>
  </si>
  <si>
    <t>Người có Tai (耳), Mắt, Miệng (口) và Tim (心) cùng nhạy bén = Thông minh.</t>
  </si>
  <si>
    <t>大概</t>
  </si>
  <si>
    <t>dàgài</t>
  </si>
  <si>
    <t>形、副、（名）</t>
  </si>
  <si>
    <t>khoảng chừng</t>
  </si>
  <si>
    <t>Bao quát cái cây gỗ (概) một cách tổng thể (大) = Khoảng chừng.</t>
  </si>
  <si>
    <t>带</t>
  </si>
  <si>
    <t>dài</t>
  </si>
  <si>
    <t>动、（名）</t>
  </si>
  <si>
    <t>Hình ảnh cái thắt lưng vải (巾) dùng để Mang/Đeo theo đồ.</t>
  </si>
  <si>
    <t>蛋糕</t>
  </si>
  <si>
    <t>dàngāo</t>
  </si>
  <si>
    <t>Trứng (蛋) làm cùng bột gạo (糕) mịn màng = Bánh ngọt.</t>
  </si>
  <si>
    <t>当然</t>
  </si>
  <si>
    <t>dāngrán</t>
  </si>
  <si>
    <t>đương nhiên / tất nhiên</t>
  </si>
  <si>
    <t>Đang lúc (当) như vậy (然) = Đương nhiên.</t>
  </si>
  <si>
    <t>担心</t>
  </si>
  <si>
    <t>dānxīn</t>
  </si>
  <si>
    <t>Tay (扌) gánh vác việc nhưng lòng (心) bồn chồn = Lo lắng.</t>
  </si>
  <si>
    <t>到处</t>
  </si>
  <si>
    <t>dàochù</t>
  </si>
  <si>
    <t>Đi đến (到) mọi nơi (处) = Khắp nơi.</t>
  </si>
  <si>
    <t>大人</t>
  </si>
  <si>
    <t>dàren</t>
  </si>
  <si>
    <t>Người (人) đã lớn (大) = Người lớn.</t>
  </si>
  <si>
    <t>打扫</t>
  </si>
  <si>
    <t>dǎsǎo</t>
  </si>
  <si>
    <t>Dùng tay (扌) cầm cái chổi cỏ (扫) để Dọn dẹp.</t>
  </si>
  <si>
    <t>打算</t>
  </si>
  <si>
    <t>dǎsuàn</t>
  </si>
  <si>
    <t>dự định</t>
  </si>
  <si>
    <t>Dùng tay (打) gảy bàn tính bằng tre (算) = Dự định.</t>
  </si>
  <si>
    <t>大小</t>
  </si>
  <si>
    <t>dàxiǎo</t>
  </si>
  <si>
    <t>To (大) và Nhỏ (小) = Kích cỡ.</t>
  </si>
  <si>
    <t>大熊猫</t>
  </si>
  <si>
    <t>dàxióngmāo</t>
  </si>
  <si>
    <t>Con gấu (熊) nhìn giống con mèo (猫) khổng lồ = Gấu trúc.</t>
  </si>
  <si>
    <t>大衣</t>
  </si>
  <si>
    <t>dàyī</t>
  </si>
  <si>
    <t>Cái áo (衣) khoác loại to (大) = Áo khoác dài.</t>
  </si>
  <si>
    <t>dé</t>
  </si>
  <si>
    <t>đạt được</t>
  </si>
  <si>
    <t>Bước chân (彳) đi đúng hướng để gặt hái (旦+寸) = Đạt được.</t>
  </si>
  <si>
    <t>得到</t>
  </si>
  <si>
    <t>dédào</t>
  </si>
  <si>
    <t xml:space="preserve">nhận được / đạt được </t>
  </si>
  <si>
    <t>Đạt được (得) và mang Đến (到) cho mình.</t>
  </si>
  <si>
    <t>得分</t>
  </si>
  <si>
    <t>défēn</t>
  </si>
  <si>
    <t>ghi điểm, số điểm đạt được</t>
  </si>
  <si>
    <t>Đạt được (得) điểm số phân chia (分).</t>
  </si>
  <si>
    <t>的话</t>
  </si>
  <si>
    <t>dehuà</t>
  </si>
  <si>
    <t>nếu…</t>
  </si>
  <si>
    <t>Thêm vào sau lời nói (话) để giả định tình huống.</t>
  </si>
  <si>
    <t>děi</t>
  </si>
  <si>
    <t>bắt buộc / cần phải.</t>
  </si>
  <si>
    <t>Trợ từ đứng sau hành động để đánh giá mức độ.</t>
  </si>
  <si>
    <t>灯</t>
  </si>
  <si>
    <t>dēng</t>
  </si>
  <si>
    <t>Ngọn lửa (火) nhỏ như cái đinh (丁) = Cái đèn.</t>
  </si>
  <si>
    <t>Phần mặt đất (土) có sự sống nảy mầm.</t>
  </si>
  <si>
    <t>电</t>
  </si>
  <si>
    <t>Hình tia sét đánh xuống ruộng (田) kéo dài đuôi = Điện.</t>
  </si>
  <si>
    <t>电梯</t>
  </si>
  <si>
    <t>diàntī</t>
  </si>
  <si>
    <t>Cái thang (梯) chạy bằng năng lượng điện (电) = Thang máy.</t>
  </si>
  <si>
    <t>电子书</t>
  </si>
  <si>
    <t>diànzǐshū</t>
  </si>
  <si>
    <t>Sách (书) công nghệ điện tử (电子).</t>
  </si>
  <si>
    <t>地点</t>
  </si>
  <si>
    <t>dìdiǎn</t>
  </si>
  <si>
    <t>Một điểm (点) cụ thể trên mặt đất (地) = Địa điểm.</t>
  </si>
  <si>
    <t>地方</t>
  </si>
  <si>
    <t>dìfang</t>
  </si>
  <si>
    <t>địa phương</t>
  </si>
  <si>
    <t>Vùng đất (地) ở một phương (方) nào đó = Nơi chốn.</t>
  </si>
  <si>
    <t>地图</t>
  </si>
  <si>
    <t>dìtú</t>
  </si>
  <si>
    <t>Hình vẽ (图) mô tả mặt đất (地) = Bản đồ.</t>
  </si>
  <si>
    <t>丢</t>
  </si>
  <si>
    <t>diū</t>
  </si>
  <si>
    <t>mất, biến mất</t>
  </si>
  <si>
    <t>Một người đi mất để rơi món đồ (nét phẩy trên cùng) = Mất/Quăng.</t>
  </si>
  <si>
    <t>东</t>
  </si>
  <si>
    <t>dōng</t>
  </si>
  <si>
    <t>phía Đông / hướng Đông.</t>
  </si>
  <si>
    <t>Mặt trời mọc xuyên qua cái cây (木) ở hướng Đông.</t>
  </si>
  <si>
    <t>东北</t>
  </si>
  <si>
    <t>dōngběi</t>
  </si>
  <si>
    <t>Hướng kết hợp Đông (东) và Bắc (北).</t>
  </si>
  <si>
    <t>懂得</t>
  </si>
  <si>
    <t>dǒngde</t>
  </si>
  <si>
    <t>hiểu, biết rồi</t>
  </si>
  <si>
    <t>Dùng tim (忄) để hiểu (懂) được (得) vấn đề.</t>
  </si>
  <si>
    <t>东方</t>
  </si>
  <si>
    <t>dōngfāng</t>
  </si>
  <si>
    <t>phương Đông / phía Đông.</t>
  </si>
  <si>
    <t>Phía/Phương (方) Đông (东).</t>
  </si>
  <si>
    <t>东南</t>
  </si>
  <si>
    <t>dōngnán</t>
  </si>
  <si>
    <t>Hướng Đông (东) và hướng Nam (南) (Chữ Nam giống hình cái chuông treo trong nhà phía Nam).</t>
  </si>
  <si>
    <t>冬天</t>
  </si>
  <si>
    <t>dōngtiān</t>
  </si>
  <si>
    <t>Hai nét chấm dưới chữ 冬 như hai giọt nước đóng băng trong mùa Đông.</t>
  </si>
  <si>
    <t>动物</t>
  </si>
  <si>
    <t>dòngwù</t>
  </si>
  <si>
    <t>Vật (物) có khả năng cử động (动 - dùng lực 力 để di chuyển đám mây 云).</t>
  </si>
  <si>
    <t>动物园</t>
  </si>
  <si>
    <t>dòngwùyuán</t>
  </si>
  <si>
    <t>Cái vườn (园) có rào quây (囗) nuôi các loài Động vật.</t>
  </si>
  <si>
    <t>段</t>
  </si>
  <si>
    <t>duàn</t>
  </si>
  <si>
    <t xml:space="preserve">đoạn / khúc / phần </t>
  </si>
  <si>
    <t>Tay cầm binh khí (殳) chia từng Đoạn cầu thang bên trái.</t>
  </si>
  <si>
    <t>短</t>
  </si>
  <si>
    <t>duǎn</t>
  </si>
  <si>
    <t>Mũi tên (矢) so với cây đậu (豆) đều là những vật có chiều dài Ngắn.</t>
  </si>
  <si>
    <t>短裤</t>
  </si>
  <si>
    <t>duǎnkù</t>
  </si>
  <si>
    <t>Cái quần (裤 - cái kho chứa đôi chân) có ống Ngắn (短).</t>
  </si>
  <si>
    <t>锻炼</t>
  </si>
  <si>
    <t>duànliàn</t>
  </si>
  <si>
    <t>tập luyện</t>
  </si>
  <si>
    <t>Dùng kim loại (钅) luyện trong lửa (火) cho săn chắc = Tập luyện.</t>
  </si>
  <si>
    <t>对话</t>
  </si>
  <si>
    <t>duìhuà</t>
  </si>
  <si>
    <t>Lời nói (话) giữa hai người đang đối (对) diện nhau.</t>
  </si>
  <si>
    <t>饿</t>
  </si>
  <si>
    <t>è</t>
  </si>
  <si>
    <t>Tôi (我) đang cần đồ ăn (饣) vì tôi đang Đói.</t>
  </si>
  <si>
    <t>耳朵</t>
  </si>
  <si>
    <t>ěrduo</t>
  </si>
  <si>
    <t>Nhĩ (耳) là cái tai (hình vành tai) + Đóa (朵) là đóa hoa (tai như đóa hoa).</t>
  </si>
  <si>
    <t>耳机</t>
  </si>
  <si>
    <t>ěrjī</t>
  </si>
  <si>
    <t>Cái máy (机) gắn vào tai (耳) = Tai nghe.</t>
  </si>
  <si>
    <t>而且</t>
  </si>
  <si>
    <t>érqiě</t>
  </si>
  <si>
    <t>hơn nữa / mà còn / và còn.</t>
  </si>
  <si>
    <t>Chữ Nhi (而-râu) và chữ Thả (且-cái tháp): Thêm vào đó/Hơn nữa.</t>
  </si>
  <si>
    <t>发</t>
  </si>
  <si>
    <t>fā</t>
  </si>
  <si>
    <t>gửi / phát ra</t>
  </si>
  <si>
    <t>Hình ảnh một người đang bắn mũi tên đi = Phát ra/Gửi đi.</t>
  </si>
  <si>
    <t>放</t>
  </si>
  <si>
    <t>fàng</t>
  </si>
  <si>
    <t>Thả/Đặt/Để</t>
  </si>
  <si>
    <t>Tay cầm gậy (攵) đuổi cho con thú chạy về một hướng (方) = Thả/Đặt/Để.</t>
  </si>
  <si>
    <t>方便</t>
  </si>
  <si>
    <t>fāngbiàn</t>
  </si>
  <si>
    <t>Phương hướng (方) thuận lợi cho người (亻) làm việc = Thuận tiện.</t>
  </si>
  <si>
    <t>方便面</t>
  </si>
  <si>
    <t>fāngbiànmiàn</t>
  </si>
  <si>
    <t>Món mì (面) ăn rất Thuận tiện (方便).</t>
  </si>
  <si>
    <t>方法</t>
  </si>
  <si>
    <t>fāngfǎ</t>
  </si>
  <si>
    <t>Phương hướng (方) và quy luật nước (氵) chảy (去) = Phương pháp.</t>
  </si>
  <si>
    <t>放假</t>
  </si>
  <si>
    <t>fàngjià</t>
  </si>
  <si>
    <t>Thả (放) cho người (亻) được mượn thời gian mượn sức (假) = Nghỉ lễ.</t>
  </si>
  <si>
    <t>方向</t>
  </si>
  <si>
    <t>fāngxiàng</t>
  </si>
  <si>
    <t>Hướng (方) mà cái miệng (口) đang hướng tới (向).</t>
  </si>
  <si>
    <t>放心</t>
  </si>
  <si>
    <t>fàngxīn</t>
  </si>
  <si>
    <t>Buông (放) trái tim (心) xuống cho nhẹ nhõm = Yên tâm.</t>
  </si>
  <si>
    <t>放学</t>
  </si>
  <si>
    <t>fàngxué</t>
  </si>
  <si>
    <t>Thả (放) cho học sinh (学) về nhà = Tan học.</t>
  </si>
  <si>
    <t>房子</t>
  </si>
  <si>
    <t>fángzi</t>
  </si>
  <si>
    <t>Dưới mái nhà (户) có phương hướng (方) rõ ràng = Ngôi nhà.</t>
  </si>
  <si>
    <t>发烧</t>
  </si>
  <si>
    <t>fāshāo</t>
  </si>
  <si>
    <t>Phát ra (发) hơi nóng như bị đốt lửa (烧 - có bộ Hỏa 火).</t>
  </si>
  <si>
    <t>发生</t>
  </si>
  <si>
    <t>fāshēng</t>
  </si>
  <si>
    <t>Phát sinh (发) ra sự sống/sự việc (生).</t>
  </si>
  <si>
    <t>发现</t>
  </si>
  <si>
    <t>fāxiàn</t>
  </si>
  <si>
    <t>Phát hiện ra cái đang hiện (现 - bộ Vương 玉 và Kiến 见) trước mắt.</t>
  </si>
  <si>
    <t>发展</t>
  </si>
  <si>
    <t>fāzhǎn</t>
  </si>
  <si>
    <t>Phát ra (发) và mở rộng xác thân (展 - bộ Thi 尸) = Phát triển.</t>
  </si>
  <si>
    <t>风</t>
  </si>
  <si>
    <t>fēng</t>
  </si>
  <si>
    <t>Trong khung cửa (几) có sâu bọ (虫) bay theo gió = Gió.</t>
  </si>
  <si>
    <t>封</t>
  </si>
  <si>
    <t>量、（动）</t>
  </si>
  <si>
    <t>Đóng gói/Phong tỏa.</t>
  </si>
  <si>
    <t>Hai miếng đất chồng lên nhau, dùng tay (寸) đắp lại để Đóng gói/Phong tỏa.</t>
  </si>
  <si>
    <t>分开</t>
  </si>
  <si>
    <t>fēnkāi</t>
  </si>
  <si>
    <t>tách ra / chia ra / rời nhau</t>
  </si>
  <si>
    <t>Dùng dao (刀) chia đôi (八) để mở (开) rộng ra = Phân chia.</t>
  </si>
  <si>
    <t>附近</t>
  </si>
  <si>
    <t>fùjìn</t>
  </si>
  <si>
    <t>Nơi có gò đất (阝) bước chân (辶) đi bằng cái rìu (斤) rất Gần.</t>
  </si>
  <si>
    <t>夫妻</t>
  </si>
  <si>
    <t>fūqī</t>
  </si>
  <si>
    <t>phu thê</t>
  </si>
  <si>
    <t>Người đàn ông (夫) và người vợ (妻) lo may vá nội trợ.</t>
  </si>
  <si>
    <t>服务</t>
  </si>
  <si>
    <t>fúwù</t>
  </si>
  <si>
    <t>Người (亻) làm việc (务 - dùng lực 力) để Phục vụ.</t>
  </si>
  <si>
    <t>复习</t>
  </si>
  <si>
    <t>fùxí</t>
  </si>
  <si>
    <t>Quay lại (复 - bộ Phẫu 攵) luyện tập (习 - đôi cánh chim) = Ôn tập.</t>
  </si>
  <si>
    <t>该</t>
  </si>
  <si>
    <t>gāi</t>
  </si>
  <si>
    <t xml:space="preserve">Nên / phải </t>
  </si>
  <si>
    <t>Dùng lời nói (讠) để chỉ ra cái cần phải (该 - hình đứa trẻ hợi 亥).</t>
  </si>
  <si>
    <t>干</t>
  </si>
  <si>
    <t>gàn</t>
  </si>
  <si>
    <t>Hình ảnh cái xẻng cắm xuống đất để Làm việc hoặc tượng trưng cho sự Khô ráo.</t>
  </si>
  <si>
    <t>感兴趣</t>
  </si>
  <si>
    <t>gǎn xìngqù</t>
  </si>
  <si>
    <t>Cảm thấy (感) có hứng thú (兴趣). Chữ 感 có bộ Tâm (心) ở dưới.</t>
  </si>
  <si>
    <t>感到</t>
  </si>
  <si>
    <t>gǎndào</t>
  </si>
  <si>
    <t>Trái tim (心) rung cảm (感) khi điều đó đến (到).</t>
  </si>
  <si>
    <t>刚</t>
  </si>
  <si>
    <t>gāng</t>
  </si>
  <si>
    <t>Vừa mới/Cứng</t>
  </si>
  <si>
    <t>Dùng dao (刂) cắt một tấm lưới (冈) Vừa mới/Cứng.</t>
  </si>
  <si>
    <t>刚才</t>
  </si>
  <si>
    <t>gāngcái</t>
  </si>
  <si>
    <t>Vừa mới (刚) vừa xong (才).</t>
  </si>
  <si>
    <t>刚刚</t>
  </si>
  <si>
    <t>gānggāng</t>
  </si>
  <si>
    <t>Vừa mới / khi nãy</t>
  </si>
  <si>
    <t>Nhấn mạnh việc Vừa mới xảy ra xong.</t>
  </si>
  <si>
    <t>干净</t>
  </si>
  <si>
    <t>gānjìng</t>
  </si>
  <si>
    <t>Sạch / sạch sẽ</t>
  </si>
  <si>
    <t>Khô ráo (干) và tinh khiết (净 - bộ Băng 冫 cho nước sạch).</t>
  </si>
  <si>
    <t>感冒</t>
  </si>
  <si>
    <t>gǎnmào</t>
  </si>
  <si>
    <t>cảm lạnh</t>
  </si>
  <si>
    <t>Cảm thấy (感) có gì đó che phủ mắt (冒 - bộ Vi 囗 trên bộ Mục 目) = Cảm lạnh.</t>
  </si>
  <si>
    <t>高铁</t>
  </si>
  <si>
    <t>gāotiě</t>
  </si>
  <si>
    <t>Tàu sắt (铁) chạy tốc độ cao (高) = Đường sắt cao tốc.</t>
  </si>
  <si>
    <t>更</t>
  </si>
  <si>
    <t>gèng</t>
  </si>
  <si>
    <t>hơn nữa</t>
  </si>
  <si>
    <t>Một người đứng trên mặt đất, tay cầm vật gì đó vươn lên để Hơn nữa.</t>
  </si>
  <si>
    <t>根据</t>
  </si>
  <si>
    <t>gēnjù</t>
  </si>
  <si>
    <t>动、介、（名）</t>
  </si>
  <si>
    <t>Dựa trên gốc rễ (根 - bộ Mộc 木) và chứng cứ (据 - bộ Thủ 扌).</t>
  </si>
  <si>
    <t>公斤</t>
  </si>
  <si>
    <t>gōngjīn</t>
  </si>
  <si>
    <t>Cân nặng công cộng (公) tính bằng đơn vị rìu (斤) = Kilôgam.</t>
  </si>
  <si>
    <t>公园</t>
  </si>
  <si>
    <t>gōngyuán</t>
  </si>
  <si>
    <t>công viên</t>
  </si>
  <si>
    <t>Cái vườn (园) dành cho công cộng (公).</t>
  </si>
  <si>
    <t>工作日</t>
  </si>
  <si>
    <t>gōngzuòrì</t>
  </si>
  <si>
    <t>Ngày làm việc.</t>
  </si>
  <si>
    <t>Ngày (日) làm (做) công việc (工) = Ngày làm việc.</t>
  </si>
  <si>
    <t>刮</t>
  </si>
  <si>
    <t>guā</t>
  </si>
  <si>
    <t>cạo/thổi</t>
  </si>
  <si>
    <t>Dùng lưỡi (舌) và dao (刂) để Cạo/Thổi (gió thổi như dao cắt).</t>
  </si>
  <si>
    <t>关</t>
  </si>
  <si>
    <t>guān</t>
  </si>
  <si>
    <t>Hình ảnh hai cánh cửa đang khép lại với cái chốt ở giữa để Đóng.</t>
  </si>
  <si>
    <t>关机</t>
  </si>
  <si>
    <t>guānjī</t>
  </si>
  <si>
    <t>Đóng (关) cái máy (机) = Tắt máy.</t>
  </si>
  <si>
    <t>关系</t>
  </si>
  <si>
    <t>guānxì</t>
  </si>
  <si>
    <t>Cái chốt cửa (关) kết nối các sợi tơ (系 - bộ Mịch) tạo thành Quan hệ.</t>
  </si>
  <si>
    <t>关心</t>
  </si>
  <si>
    <t>guānxīn</t>
  </si>
  <si>
    <t>quan tâm</t>
  </si>
  <si>
    <t>Đặt trái tim (心) vào nơi quan trọng (关) để Quan tâm.</t>
  </si>
  <si>
    <t>关于</t>
  </si>
  <si>
    <t>guānyú</t>
  </si>
  <si>
    <t>về/liên quan đến</t>
  </si>
  <si>
    <t>Cái chốt cửa (关) dẫn đến (于) một vấn đề nào đó = Về/Liên quan đến.</t>
  </si>
  <si>
    <t>关注</t>
  </si>
  <si>
    <t>guānzhù</t>
  </si>
  <si>
    <t>Tập trung cái nhìn (注 - nước 氵 rót vào chủ thể 主) vào điểm chốt (关).</t>
  </si>
  <si>
    <t>国家</t>
  </si>
  <si>
    <t>guójiā</t>
  </si>
  <si>
    <t>Ngọc quý (玉) được bao quanh bởi biên giới (囗) chính là Quốc gia/Nhà nước.</t>
  </si>
  <si>
    <t>过节</t>
  </si>
  <si>
    <t>guòjié</t>
  </si>
  <si>
    <t>Bước đi (辶) qua những đốt tre (节) đánh dấu thời gian = Ăn Tết/Lễ.</t>
  </si>
  <si>
    <t>Bước qua (过) và đi mất (去) = Quá khứ/Đi qua đó.</t>
  </si>
  <si>
    <t>故事</t>
  </si>
  <si>
    <t>gùshi</t>
  </si>
  <si>
    <t>Việc (事) cũ (故 - bộ Phẫu 攵 đánh vào việc xưa 古) = Câu chuyện.</t>
  </si>
  <si>
    <t>海</t>
  </si>
  <si>
    <t>hǎi</t>
  </si>
  <si>
    <t>Nước (氵) của mỗi (每) người trên thế giới đổ về chính là Biển.</t>
  </si>
  <si>
    <t>害怕</t>
  </si>
  <si>
    <t>hàipà</t>
  </si>
  <si>
    <t>lo sợ</t>
  </si>
  <si>
    <t>Trái tim (忄) trắng bệch (白) vì lo sợ (害 - dưới mái nhà 宀 có lời nói 口 làm hại).</t>
  </si>
  <si>
    <t>好多</t>
  </si>
  <si>
    <t>hǎoduō</t>
  </si>
  <si>
    <t>rất nhiều</t>
  </si>
  <si>
    <t>Tốt (好) và Nhiều (多) = Rất nhiều.</t>
  </si>
  <si>
    <t>好久</t>
  </si>
  <si>
    <t>hǎojiǔ</t>
  </si>
  <si>
    <t>Tốt (好) và Lâu (久) = Rất lâu.</t>
  </si>
  <si>
    <t>号码</t>
  </si>
  <si>
    <t>hàomǎ</t>
  </si>
  <si>
    <t>Cái miệng (口) hô vang (号) các viên đá đánh số (码 - bộ Thạch 石).</t>
  </si>
  <si>
    <t>好像</t>
  </si>
  <si>
    <t>hǎoxiàng</t>
  </si>
  <si>
    <t>trông giống</t>
  </si>
  <si>
    <t>Người (亻) đứng cạnh con voi (象) trông Giống như một bức tượng.</t>
  </si>
  <si>
    <t>河</t>
  </si>
  <si>
    <t>Dòng nước (氵) chảy qua khả năng (可) bồi đắp phù sa chính là Con sông.</t>
  </si>
  <si>
    <t>黑板</t>
  </si>
  <si>
    <t>hēibǎn</t>
  </si>
  <si>
    <t>Tấm ván gỗ (板 - bộ Mộc 木) có màu đen (黑) = Bảng đen.</t>
  </si>
  <si>
    <t>合适</t>
  </si>
  <si>
    <t>héshì</t>
  </si>
  <si>
    <t>Miệng (口) nói lời phù hợp (合) khi bước đi (辶) đúng hướng (舌) = Thích hợp.</t>
  </si>
  <si>
    <t>红绿灯</t>
  </si>
  <si>
    <t>hóng-lǜdēng</t>
  </si>
  <si>
    <t>Đèn (灯) màu Đỏ (红) và màu Xanh (绿).</t>
  </si>
  <si>
    <t>后来</t>
  </si>
  <si>
    <t>hòulái</t>
  </si>
  <si>
    <t>Phía sau (后) tìm đến (来) = Sau này.</t>
  </si>
  <si>
    <t>后年</t>
  </si>
  <si>
    <t>hòunián</t>
  </si>
  <si>
    <t>Năm (年) phía sau (后) của năm tới = Năm sau nữa.</t>
  </si>
  <si>
    <t>后天</t>
  </si>
  <si>
    <t>hòutiān</t>
  </si>
  <si>
    <t>Ngày (天) phía sau (后) của ngày mai = Ngày kia.</t>
  </si>
  <si>
    <t>画家</t>
  </si>
  <si>
    <t>huàjiā</t>
  </si>
  <si>
    <t>Chuyên gia (家) về các nét vẽ trong khung (画) = Họa sĩ.</t>
  </si>
  <si>
    <t>huán</t>
  </si>
  <si>
    <t>Trả lại/Vẫn còn</t>
  </si>
  <si>
    <t>Bước chân (辶) mang vật báu (不 - biến thể) quay lại để Trả lại/Vẫn còn.</t>
  </si>
  <si>
    <t>换</t>
  </si>
  <si>
    <t>huàn</t>
  </si>
  <si>
    <t>đổi</t>
  </si>
  <si>
    <t>Dùng tay (扌) đưa vật phẩm vào hang (奂) để Đổi.</t>
  </si>
  <si>
    <t>黄色</t>
  </si>
  <si>
    <t>huángsè</t>
  </si>
  <si>
    <t>Màu (色) của cánh đồng lúa chín vàng (黄).</t>
  </si>
  <si>
    <t>环境</t>
  </si>
  <si>
    <t>huánjìng</t>
  </si>
  <si>
    <t>Vòng tròn (环 - viên ngọc 王 tròn) bao quanh ranh giới đất (境 - bộ Thổ 土).</t>
  </si>
  <si>
    <t>欢迎</t>
  </si>
  <si>
    <t>huānyíng</t>
  </si>
  <si>
    <t>Miệng ngáp vì vui (欢 - bộ Khiếm 欠) khi bước chân (辶) đi đón (迎) khách.</t>
  </si>
  <si>
    <t>花园</t>
  </si>
  <si>
    <t>huāyuán</t>
  </si>
  <si>
    <t>vườn hoa</t>
  </si>
  <si>
    <t>Cái vườn (园) đầy hoa (花).</t>
  </si>
  <si>
    <t>họp/biết</t>
  </si>
  <si>
    <t>Con người (人) tụ họp lại dưới mái nhà (云 cách điệu) để Biết/Họp.</t>
  </si>
  <si>
    <t>回答</t>
  </si>
  <si>
    <t>huídá</t>
  </si>
  <si>
    <t>Quay về (回) nói lời dưới bụi tre (答 - bộ Trúc 竹) = Trả lời.</t>
  </si>
  <si>
    <t>会议</t>
  </si>
  <si>
    <t>huìyì</t>
  </si>
  <si>
    <t>hội nghị</t>
  </si>
  <si>
    <t>Cuộc họp (会) để nói ra (讠) những ý kiến công bằng (义) = Hội nghị.</t>
  </si>
  <si>
    <t>或</t>
  </si>
  <si>
    <t>huò</t>
  </si>
  <si>
    <t>Cầm binh khí (戈) canh giữ vùng đất có miệng ăn (口) = Hoặc là.</t>
  </si>
  <si>
    <t>或者</t>
  </si>
  <si>
    <t>huòzhě</t>
  </si>
  <si>
    <t>Hoặc là (或) người nào đó (者).</t>
  </si>
  <si>
    <t>护照</t>
  </si>
  <si>
    <t>hùzhào</t>
  </si>
  <si>
    <t>Dùng tay (扌) bảo hộ (护) tấm vé có ánh sáng mặt trời (照) = Hộ chiếu.</t>
  </si>
  <si>
    <t>极</t>
  </si>
  <si>
    <t>jí</t>
  </si>
  <si>
    <t>cực kỳ</t>
  </si>
  <si>
    <t>Cái cây (木) vươn tới giới hạn cuối cùng (及) = Cực kỳ.</t>
  </si>
  <si>
    <t>急</t>
  </si>
  <si>
    <t>Trái tim (心) đập nhanh vì có bàn tay (⺈) túm lấy từ trên = Vội vàng.</t>
  </si>
  <si>
    <t>记</t>
  </si>
  <si>
    <t>jì</t>
  </si>
  <si>
    <t>Dùng lời nói (讠) để ghi vào bản thân (己) = Ghi nhớ.</t>
  </si>
  <si>
    <t>季</t>
  </si>
  <si>
    <t>Đứa trẻ (子) đứng dưới bông lúa (禾) chờ đợi Mùa thu hoạch.</t>
  </si>
  <si>
    <t>鸡</t>
  </si>
  <si>
    <t>jī</t>
  </si>
  <si>
    <t>con gà</t>
  </si>
  <si>
    <t>Con chim (鸟) phát ra tiếng kêu "chi" (又 cách điệu) là con Gà.</t>
  </si>
  <si>
    <t>加</t>
  </si>
  <si>
    <t>Dùng sức lực (力) của cái miệng (口) để cổ vũ thêm vào = Cộng/Thêm.</t>
  </si>
  <si>
    <t>检查</t>
  </si>
  <si>
    <t>jiǎnchá</t>
  </si>
  <si>
    <t>kiếm tra</t>
  </si>
  <si>
    <t>Soi xét cái cây (木) và quan sát (查) kỹ để Kiểm tra.</t>
  </si>
  <si>
    <t>坚持</t>
  </si>
  <si>
    <t>jiānchí</t>
  </si>
  <si>
    <t>kiên trì</t>
  </si>
  <si>
    <t>Đất (土) cứng cỏi và tay (扌) giữ chặt ngôi chùa (寺) = Kiên trì.</t>
  </si>
  <si>
    <t>简单</t>
  </si>
  <si>
    <t>jiǎndān</t>
  </si>
  <si>
    <t>Dưới bụi tre (竹) cầm tấm bảng (单) đơn sơ = Đơn giản.</t>
  </si>
  <si>
    <t>讲</t>
  </si>
  <si>
    <t>jiǎng</t>
  </si>
  <si>
    <t>giảng/nói</t>
  </si>
  <si>
    <t>Lời nói (讠) được truyền đạt như giếng nước (井) tuôn trào = Giảng/Nói.</t>
  </si>
  <si>
    <t>健康</t>
  </si>
  <si>
    <t>jiànkāng</t>
  </si>
  <si>
    <t>Người (亻) xây dựng (建) sự an khang dưới mái nhà (康) = Sức khỏe.</t>
  </si>
  <si>
    <t>见面</t>
  </si>
  <si>
    <t>jiànmiàn</t>
  </si>
  <si>
    <t>gặp mặt</t>
  </si>
  <si>
    <t>Đôi mắt (见) nhìn thấy khuôn mặt (面) của nhau = Gặp mặt.</t>
  </si>
  <si>
    <t>检票</t>
  </si>
  <si>
    <t>jiǎnpiào</t>
  </si>
  <si>
    <t>Kiểm tra (检) tấm vé (票).</t>
  </si>
  <si>
    <t>角</t>
  </si>
  <si>
    <t>jiǎo</t>
  </si>
  <si>
    <t>Góc / góc cạnh</t>
  </si>
  <si>
    <t>Hình cái sừng động vật hoặc Góc/Đồng xu (chia nhỏ như mảnh sừng).</t>
  </si>
  <si>
    <t>脚</t>
  </si>
  <si>
    <t>Bộ Nguyệt (月 - thịt/thân thể), ở giữa là cái chân đi trên đất (土) và cái hố (卩). Bộ phận đi trên đất là cái Chân.</t>
  </si>
  <si>
    <t>假期</t>
  </si>
  <si>
    <t>jiàqī</t>
  </si>
  <si>
    <t>Người (亻) mượn (假) thời gian theo kỳ hạn (期 - gồm bộ Nguyệt 月 và Kỳ 其) để nghỉ ngơi.</t>
  </si>
  <si>
    <t>节</t>
  </si>
  <si>
    <t>jié</t>
  </si>
  <si>
    <t>量、名、（动）</t>
  </si>
  <si>
    <t>Hình ảnh đốt tre (竹). Mỗi đốt tre đánh dấu một ngày Lễ/Tiết.</t>
  </si>
  <si>
    <t>借</t>
  </si>
  <si>
    <t>jiè</t>
  </si>
  <si>
    <t>Một người (亻) mượn đồ từ người khác từ ngày xưa (昔) nên gọi là Mượn.</t>
  </si>
  <si>
    <t>接</t>
  </si>
  <si>
    <t>jiē</t>
  </si>
  <si>
    <t>Nhận / đón / nối / tiếp</t>
  </si>
  <si>
    <t>Dùng tay (扌) đón lấy người phụ nữ đứng dưới mái nhà (妾 - thiếp) để Đón/Tiếp.</t>
  </si>
  <si>
    <t>街</t>
  </si>
  <si>
    <t>Hai người đi trên đường (行) nói chuyện với cái phong đất (圭) ở giữa con Phố.</t>
  </si>
  <si>
    <t>结婚</t>
  </si>
  <si>
    <t>jiéhūn</t>
  </si>
  <si>
    <t>Dùng sợi tơ (纟) thắt nút kết (结) lại với người phụ nữ (女) trong buổi hoàng hôn (昏).</t>
  </si>
  <si>
    <t>解决</t>
  </si>
  <si>
    <t>jiějué</t>
  </si>
  <si>
    <t>Dùng dao (刀) tách cái sừng (角) trâu ra để Giải quyết vấn đề.</t>
  </si>
  <si>
    <t>姐妹</t>
  </si>
  <si>
    <t>jiěmèi</t>
  </si>
  <si>
    <t>Chị (姐) và em gái (妹). Đều là phụ nữ (女), người sinh trước, người sinh sau (未 - chưa trưởng thành).</t>
  </si>
  <si>
    <t>节目</t>
  </si>
  <si>
    <t>jiémù</t>
  </si>
  <si>
    <t>Các đốt tre (节) được ghi chép vào danh mục bằng mắt (目) nhìn = Tiết mục.</t>
  </si>
  <si>
    <t>节日</t>
  </si>
  <si>
    <t>jiérì</t>
  </si>
  <si>
    <t>ngày lễ</t>
  </si>
  <si>
    <t>Ngày (日) lễ tiết (节).</t>
  </si>
  <si>
    <t>结束</t>
  </si>
  <si>
    <t>jiéshù</t>
  </si>
  <si>
    <t>kết thúc</t>
  </si>
  <si>
    <t>Dùng sợi tơ (纟) thắt nút kết thúc và bó (束) cái cây lại = Kết thúc.</t>
  </si>
  <si>
    <t>几乎</t>
  </si>
  <si>
    <t>jīhū</t>
  </si>
  <si>
    <t>Gần như / hầu như / suýt nữa</t>
  </si>
  <si>
    <t>Bàn ghế gỗ (几) và tiếng thở dài (乎). Suýt chút nữa thì đổ.</t>
  </si>
  <si>
    <t>机会</t>
  </si>
  <si>
    <t>jīhuì</t>
  </si>
  <si>
    <t>Cái máy gỗ (机) giúp con người tụ họp (会) lại tạo ra Cơ hội.</t>
  </si>
  <si>
    <t>季节</t>
  </si>
  <si>
    <t>jìjié</t>
  </si>
  <si>
    <t>Mùa / mùa trong năm</t>
  </si>
  <si>
    <t>Mùa màng (季 - con của cây lúa) theo từng tiết khí (节).</t>
  </si>
  <si>
    <t>斤</t>
  </si>
  <si>
    <t>jīn</t>
  </si>
  <si>
    <t>cân</t>
  </si>
  <si>
    <t>Hình cái rìu gỗ ngày xưa dùng để cân đo trọng lượng = Cân (0.5kg).</t>
  </si>
  <si>
    <t>经过</t>
  </si>
  <si>
    <t>jīngguò</t>
  </si>
  <si>
    <t>Sợi tơ (经) đi xuyên qua (过) thời gian và không gian.</t>
  </si>
  <si>
    <t>经理</t>
  </si>
  <si>
    <t>jīnglǐ</t>
  </si>
  <si>
    <t>Người quản lý sợi tơ (经) và viên ngọc quý (理 - bộ Vương 玉) = Giám đốc.</t>
  </si>
  <si>
    <t>旧</t>
  </si>
  <si>
    <t>Cái gậy gỗ đứng cạnh mặt trời (日). Phơi nắng lâu ngày nên bị Cũ.</t>
  </si>
  <si>
    <t>久</t>
  </si>
  <si>
    <t>lâu</t>
  </si>
  <si>
    <t>Một người bước đi nhưng kéo lê cái chân dài phía sau = Lâu.</t>
  </si>
  <si>
    <t>酒</t>
  </si>
  <si>
    <t>Nước (氵) đựng trong cái bình có nút bần (酉) chính là Rượu.</t>
  </si>
  <si>
    <t>句</t>
  </si>
  <si>
    <t>jù</t>
  </si>
  <si>
    <t>Cái miệng (口) bị bao quanh bởi một nét móc, tạo thành một Câu văn hoàn chỉnh.</t>
  </si>
  <si>
    <t>决定</t>
  </si>
  <si>
    <t>juédìng</t>
  </si>
  <si>
    <t>Dùng nước đá (冫) để làm cứng quyết định và chốt dưới mái nhà (定).</t>
  </si>
  <si>
    <t>句子</t>
  </si>
  <si>
    <t>jùzi</t>
  </si>
  <si>
    <t>Câu văn.</t>
  </si>
  <si>
    <t>卡</t>
  </si>
  <si>
    <t>kǎ</t>
  </si>
  <si>
    <t>Trên (上) không xong, dưới (下) không thoát, bị kẹt lại chính là cái Thẻ (Card).</t>
  </si>
  <si>
    <t>开花</t>
  </si>
  <si>
    <t>kāihuā</t>
  </si>
  <si>
    <t>Mở (开) ra bông hoa (花).</t>
  </si>
  <si>
    <t>开会</t>
  </si>
  <si>
    <t>kāihuì</t>
  </si>
  <si>
    <t>Mở (开) một cuộc họp (会).</t>
  </si>
  <si>
    <t>开机</t>
  </si>
  <si>
    <t>kāijī</t>
  </si>
  <si>
    <t>Mở (开) cái máy (机) = Bật máy.</t>
  </si>
  <si>
    <t>开心</t>
  </si>
  <si>
    <t>kāixīn</t>
  </si>
  <si>
    <t>Mở (开) lòng (心) ra là thấy Vui vẻ.</t>
  </si>
  <si>
    <t>看来</t>
  </si>
  <si>
    <t>kànlái</t>
  </si>
  <si>
    <t>Xem ra/Có vẻ</t>
  </si>
  <si>
    <t>Dùng mắt (看) nhìn về phía mình (来) = Xem ra/Có vẻ.</t>
  </si>
  <si>
    <t>刻</t>
  </si>
  <si>
    <t>khắc/15 phút</t>
  </si>
  <si>
    <t>Dùng con dao (刂) khắc lên lợn (亥) để đánh dấu 15 phút.</t>
  </si>
  <si>
    <t>可</t>
  </si>
  <si>
    <t>kě</t>
  </si>
  <si>
    <t>Cái miệng (口) có thể hát vang sức mạnh (丁) = Có thể.</t>
  </si>
  <si>
    <t>渴</t>
  </si>
  <si>
    <t>Đang đi (辶) mà thiếu nước (氵) nên thấy Khát.</t>
  </si>
  <si>
    <t>可爱</t>
  </si>
  <si>
    <t>kě'ài</t>
  </si>
  <si>
    <t>Có thể (可) yêu (爱) được = Đáng yêu.</t>
  </si>
  <si>
    <t>课本</t>
  </si>
  <si>
    <t>kèběn</t>
  </si>
  <si>
    <t>Cuốn sách (本) ghi lời nói (讠) quả quyết (果) = Sách giáo khoa.</t>
  </si>
  <si>
    <t>客人</t>
  </si>
  <si>
    <t>kèrén</t>
  </si>
  <si>
    <t>Người (人) đến dưới mái nhà (宀) dùng miệng (口) nói chuyện xã giao = Khách.</t>
  </si>
  <si>
    <t>可是</t>
  </si>
  <si>
    <t>kěshì</t>
  </si>
  <si>
    <t>Có thể (可) là (是) nhưng thực ra là... (Từ nối nghịch lý).</t>
  </si>
  <si>
    <t>课文</t>
  </si>
  <si>
    <t>kèwén</t>
  </si>
  <si>
    <t>Bài khóa</t>
  </si>
  <si>
    <t>Bài học (课) bằng văn bản (文).</t>
  </si>
  <si>
    <t>空调</t>
  </si>
  <si>
    <t>kōngtiáo</t>
  </si>
  <si>
    <t>Khoảng trống (空 - dưới mái huyệt 穴) được điều chỉnh (调) = Máy điều hòa.</t>
  </si>
  <si>
    <t>哭</t>
  </si>
  <si>
    <t>kū</t>
  </si>
  <si>
    <t>Hai cái miệng (口口) đang gào lên, ở dưới là con chó (犬) đang sủa = Khóc.</t>
  </si>
  <si>
    <t>筷子</t>
  </si>
  <si>
    <t>kuàizi</t>
  </si>
  <si>
    <t>Đồ vật làm từ tre (竹) giúp gắp đồ ăn nhanh (快) = Đôi đũa.</t>
  </si>
  <si>
    <t>矿泉水</t>
  </si>
  <si>
    <t>kuàngquánshuǐ</t>
  </si>
  <si>
    <t>Nước (水) suối (泉) lấy từ mỏ đá (矿 - bộ Thạch 石) = Nước khoáng.</t>
  </si>
  <si>
    <t>来自</t>
  </si>
  <si>
    <t>láizì</t>
  </si>
  <si>
    <t>đến từ</t>
  </si>
  <si>
    <t>Đi từ (来) chính mình (自) mà ra = Đến từ.</t>
  </si>
  <si>
    <t>蓝</t>
  </si>
  <si>
    <t>lán</t>
  </si>
  <si>
    <t>Cỏ (艹) dùng để nhuộm màu trong chậu nước (皿) tạo ra màu Xanh lam.</t>
  </si>
  <si>
    <t>老</t>
  </si>
  <si>
    <t>lǎo</t>
  </si>
  <si>
    <t>形、前缀、（副）</t>
  </si>
  <si>
    <t>già/người già</t>
  </si>
  <si>
    <t>Người già chống gậy bước đi trên đất = Già/Cũ.</t>
  </si>
  <si>
    <t>老人</t>
  </si>
  <si>
    <t>lǎorén</t>
  </si>
  <si>
    <t>người già</t>
  </si>
  <si>
    <t>Người (人) già (老).</t>
  </si>
  <si>
    <t>练</t>
  </si>
  <si>
    <t>liàn</t>
  </si>
  <si>
    <t>Dùng sợi tơ (纟) luyện tập chọn lọc (柬) nhiều lần = Luyện tập.</t>
  </si>
  <si>
    <t>脸</t>
  </si>
  <si>
    <t>liǎn</t>
  </si>
  <si>
    <t>Bộ phận cơ thể (月) chứa đựng sự kiểm chứng (佥) của mọi người = Khuôn mặt.</t>
  </si>
  <si>
    <t>辆</t>
  </si>
  <si>
    <t>liàng</t>
  </si>
  <si>
    <t xml:space="preserve"> Lượng từ cho xe.</t>
  </si>
  <si>
    <t>Chiếc xe (车) có hai bánh cân đối hai bên (两) = Lượng từ cho xe.</t>
  </si>
  <si>
    <t>凉快</t>
  </si>
  <si>
    <t>liángkuai</t>
  </si>
  <si>
    <t>Nước đá (冫) dưới mái nhà (京) làm tâm trí (快) thấy Mát mẻ.</t>
  </si>
  <si>
    <t>练习</t>
  </si>
  <si>
    <t>liànxí</t>
  </si>
  <si>
    <t>Dùng sợi tơ (纟) kết lại nhiều lần và đôi cánh chim (习) tập bay = Luyện tập.</t>
  </si>
  <si>
    <t>聊</t>
  </si>
  <si>
    <t>liáo</t>
  </si>
  <si>
    <t>Cái tai (耳) nghe người ta nói những chuyện bao la (卯) = Tán gẫu.</t>
  </si>
  <si>
    <t>了解</t>
  </si>
  <si>
    <t>liǎojiě</t>
  </si>
  <si>
    <t>hiểu rõ</t>
  </si>
  <si>
    <t>Kết thúc (了) việc dùng dao (刀) bóc tách cái sừng (角) trâu để Hiểu rõ.</t>
  </si>
  <si>
    <t>聊天儿</t>
  </si>
  <si>
    <t>liáotiānr</t>
  </si>
  <si>
    <t>Tán gẫu (聊) về chuyện trời (天) đất = Nói chuyện phiếm.</t>
  </si>
  <si>
    <t>离开</t>
  </si>
  <si>
    <t>líkāi</t>
  </si>
  <si>
    <t>Con chim rời tổ và cánh cổng mở (开) ra để người đi Rời khỏi.</t>
  </si>
  <si>
    <t>邻居</t>
  </si>
  <si>
    <t>línjū</t>
  </si>
  <si>
    <t>Người sống ở gò đất (阝) bên cạnh và cư ngụ (居) trong nhà = Hàng xóm.</t>
  </si>
  <si>
    <t>历史</t>
  </si>
  <si>
    <t>lìshǐ</t>
  </si>
  <si>
    <t>Những bước chân (止) trải qua (历) được ghi chép lại bởi quan chép sử (史) = Lịch sử.</t>
  </si>
  <si>
    <t>留学</t>
  </si>
  <si>
    <t>liúxué</t>
  </si>
  <si>
    <t>Ở lại (留 - có bộ Điền 田) để học tập (学) tại đất nước khác = Du học.</t>
  </si>
  <si>
    <t>留学生</t>
  </si>
  <si>
    <t>liúxuéshēng</t>
  </si>
  <si>
    <t>du học sinh</t>
  </si>
  <si>
    <t>Học sinh (学生) từ nơi khác đến ở lại (留) để học.</t>
  </si>
  <si>
    <t>礼物</t>
  </si>
  <si>
    <t>lǐwù</t>
  </si>
  <si>
    <t>Hành động bày tỏ lòng thành kính (礼 - bộ Thị 礻) qua món đồ vật (物) = Quà tặng.</t>
  </si>
  <si>
    <t>楼梯</t>
  </si>
  <si>
    <t>lóutī</t>
  </si>
  <si>
    <t>Cái thang (梯) làm bằng gỗ (木) trong tòa nhà (楼) = Cầu thang.</t>
  </si>
  <si>
    <t>路边</t>
  </si>
  <si>
    <t>lùbiān</t>
  </si>
  <si>
    <t>Bên cạnh (边) con đường (路).</t>
  </si>
  <si>
    <t>路口</t>
  </si>
  <si>
    <t>lùkǒu</t>
  </si>
  <si>
    <t>Cái miệng (口) của con đường (路) = Ngã tư/Giao lộ.</t>
  </si>
  <si>
    <t>马</t>
  </si>
  <si>
    <t>mǎ</t>
  </si>
  <si>
    <t>Hình ảnh con ngựa đang phi với cái bờm và bốn chân (chữ tượng hình).</t>
  </si>
  <si>
    <t>马路</t>
  </si>
  <si>
    <t>mǎlù</t>
  </si>
  <si>
    <t>Đường cái.</t>
  </si>
  <si>
    <t>Con đường (路) ngày xưa dành cho ngựa (马) đi = Đường cái.</t>
  </si>
  <si>
    <t>满意</t>
  </si>
  <si>
    <t>mǎnyì</t>
  </si>
  <si>
    <t>Nước (氵) đầy (满) tràn đến tận trái tim (意) = Hài lòng.</t>
  </si>
  <si>
    <t>毛</t>
  </si>
  <si>
    <t>máo</t>
  </si>
  <si>
    <t>Lông/Đơn vị tiền tệ</t>
  </si>
  <si>
    <t>Hình ảnh sợi lông hoặc sợi tóc (Lông/Đơn vị tiền tệ).</t>
  </si>
  <si>
    <t>马上</t>
  </si>
  <si>
    <t>mǎshàng</t>
  </si>
  <si>
    <t>Đang ngồi trên (上) lưng ngựa (马) thì phải đi Ngay lập tức.</t>
  </si>
  <si>
    <t>米</t>
  </si>
  <si>
    <t>mǐ</t>
  </si>
  <si>
    <t>Hình ảnh những hạt gạo đang văng ra xung quanh.</t>
  </si>
  <si>
    <t>面前</t>
  </si>
  <si>
    <t>miànqián</t>
  </si>
  <si>
    <t>phía trước</t>
  </si>
  <si>
    <t>Phía trước (前) mặt (面).</t>
  </si>
  <si>
    <t>明白</t>
  </si>
  <si>
    <t>míngbai</t>
  </si>
  <si>
    <t>Ánh sáng mặt trời, mặt trăng (明) chiếu vào sự vật trắng rõ (白) = Hiểu rõ.</t>
  </si>
  <si>
    <t>名单</t>
  </si>
  <si>
    <t>míngdān</t>
  </si>
  <si>
    <t>Danh sách (单) các cái tên (名).</t>
  </si>
  <si>
    <t>名人</t>
  </si>
  <si>
    <t>míngrén</t>
  </si>
  <si>
    <t>Người (人) có tên tuổi (名) = Người nổi tiếng.</t>
  </si>
  <si>
    <t>南</t>
  </si>
  <si>
    <t>Hình ảnh cái chuông treo ở trong nhà phía Nam.</t>
  </si>
  <si>
    <t>难</t>
  </si>
  <si>
    <t>khó</t>
  </si>
  <si>
    <t>Con chim (隹) bị nhốt dưới mái nhà có sừng, rất Khó thoát ra.</t>
  </si>
  <si>
    <t>南方</t>
  </si>
  <si>
    <t>nánfāng</t>
  </si>
  <si>
    <t>phương nam</t>
  </si>
  <si>
    <t>Phương (方) Nam (南).</t>
  </si>
  <si>
    <t>难过</t>
  </si>
  <si>
    <t>nánguò</t>
  </si>
  <si>
    <t>Quá trình (过) trải qua sự khó khăn (难) trong lòng = Buồn bã.</t>
  </si>
  <si>
    <t>难看</t>
  </si>
  <si>
    <t>nánkàn</t>
  </si>
  <si>
    <t>Khó (难) nhìn (看) = Xấu xí.</t>
  </si>
  <si>
    <t>男人</t>
  </si>
  <si>
    <t>nánrén</t>
  </si>
  <si>
    <t>Người (人) đàn ông (男 - dùng lực 力 làm ruộng 田).</t>
  </si>
  <si>
    <t>男生</t>
  </si>
  <si>
    <t>nánshēng</t>
  </si>
  <si>
    <t>nam sinh</t>
  </si>
  <si>
    <t>Học sinh (生) nam (男).</t>
  </si>
  <si>
    <t>难题</t>
  </si>
  <si>
    <t>nántí</t>
  </si>
  <si>
    <t>Câu hỏi khó / vấn đề khó</t>
  </si>
  <si>
    <t>Câu hỏi/Đề bài (题) khó (难).</t>
  </si>
  <si>
    <t>难听</t>
  </si>
  <si>
    <t>nántīng</t>
  </si>
  <si>
    <t>Khó (难) nghe (听).</t>
  </si>
  <si>
    <t>年级</t>
  </si>
  <si>
    <t>niánjí</t>
  </si>
  <si>
    <t>Cấp bậc (级) theo số năm (年) học tập = Khối lớp.</t>
  </si>
  <si>
    <t>年轻</t>
  </si>
  <si>
    <t>niánqīng</t>
  </si>
  <si>
    <t>trẻ tuổi</t>
  </si>
  <si>
    <t>Số năm (年) còn ít, nhẹ nhàng như màu xanh (轻 - xe 载 nhẹ) = Trẻ tuổi.</t>
  </si>
  <si>
    <t>牛</t>
  </si>
  <si>
    <t>niú</t>
  </si>
  <si>
    <t>con bò</t>
  </si>
  <si>
    <t>Hình ảnh cái đầu con trâu/bò với hai cái sừng hướng lên.</t>
  </si>
  <si>
    <t>努力</t>
  </si>
  <si>
    <t>nǔlì</t>
  </si>
  <si>
    <t>Người phụ nữ (女) dùng đôi tay (又) và sức lực (力) để Nỗ lực.</t>
  </si>
  <si>
    <t>女人</t>
  </si>
  <si>
    <t>nǚrén</t>
  </si>
  <si>
    <t>Người (人) phụ nữ (女).</t>
  </si>
  <si>
    <t>女生</t>
  </si>
  <si>
    <t>nǚshēng</t>
  </si>
  <si>
    <t>nữ sinh</t>
  </si>
  <si>
    <t>Học sinh (生) nữ (女).</t>
  </si>
  <si>
    <t>爬</t>
  </si>
  <si>
    <t>pá</t>
  </si>
  <si>
    <t>Cái chân (足) của loài móng vuốt (爪) đang Leo/Trèo/Bò.</t>
  </si>
  <si>
    <t>怕</t>
  </si>
  <si>
    <t>pà</t>
  </si>
  <si>
    <t>动、（副）</t>
  </si>
  <si>
    <t>Trái tim (忄) trở nên trắng bệch (白) vì Sợ.</t>
  </si>
  <si>
    <t>拍照</t>
  </si>
  <si>
    <t>pāizhào</t>
  </si>
  <si>
    <t>chụp ảnh</t>
  </si>
  <si>
    <t>Dùng tay (扌) vỗ (拍) để bắt lấy ánh sáng mặt trời (照) = Chụp ảnh.</t>
  </si>
  <si>
    <t>胖</t>
  </si>
  <si>
    <t>pàng</t>
  </si>
  <si>
    <t>Bộ phận cơ thể (月) phát triển một nửa (半) quá mức = Béo.</t>
  </si>
  <si>
    <t>盘子</t>
  </si>
  <si>
    <t>pánzi</t>
  </si>
  <si>
    <t>Đồ vật (皿) dùng để đựng thức ăn trên thuyền (舟) = Cái đĩa.</t>
  </si>
  <si>
    <t>啤酒</t>
  </si>
  <si>
    <t>píjiǔ</t>
  </si>
  <si>
    <t>Loại rượu (酒) làm từ hạt đại mạch (啤 - có bộ Khẩu 口 để uống).</t>
  </si>
  <si>
    <t>平时</t>
  </si>
  <si>
    <t>píngshí</t>
  </si>
  <si>
    <t>thường ngày.</t>
  </si>
  <si>
    <t>Thời gian (时) bình thường (平) = Thường ngày.</t>
  </si>
  <si>
    <t>瓶子</t>
  </si>
  <si>
    <t>píngzi</t>
  </si>
  <si>
    <t>Đồ vật làm bằng gốm (瓦) đựng nước (并 cách điệu) = Cái bình/chai.</t>
  </si>
  <si>
    <t>骑</t>
  </si>
  <si>
    <t>qí</t>
  </si>
  <si>
    <t>Cưỡi/lái</t>
  </si>
  <si>
    <t>Cưỡi ngựa (马) đi đến nơi lạ (奇) = Cưỡi (xe, ngựa).</t>
  </si>
  <si>
    <t>起</t>
  </si>
  <si>
    <t>qǐ</t>
  </si>
  <si>
    <t>Đứng lên / bắt đầu / nổi lên / xảy ra</t>
  </si>
  <si>
    <t>Tự bản thân (己) bước đi (走) = Đứng lê</t>
  </si>
  <si>
    <t>铅笔</t>
  </si>
  <si>
    <t>qiānbǐ</t>
  </si>
  <si>
    <t>Cái bút (笔) làm từ kim loại chì (铅 - bộ Kim 钅) = Bút chì.</t>
  </si>
  <si>
    <t>前年</t>
  </si>
  <si>
    <t>qiánnián</t>
  </si>
  <si>
    <t>Năm (年) trước (前) của năm ngoái = Năm kia.</t>
  </si>
  <si>
    <t>前天</t>
  </si>
  <si>
    <t>qiántiān</t>
  </si>
  <si>
    <t>Ngày (天) trước (前) của ngày hôm qua = Hôm kia.</t>
  </si>
  <si>
    <t>汽车</t>
  </si>
  <si>
    <t>qìchē</t>
  </si>
  <si>
    <t>Xe (车) chạy bằng hơi nước/khí (汽 - bộ Thủy 氵) = Xe ô tô.</t>
  </si>
  <si>
    <t>起飞</t>
  </si>
  <si>
    <t>qǐfēi</t>
  </si>
  <si>
    <t>cất cánh</t>
  </si>
  <si>
    <t>Đứng dậy (起) và bay lên (飞) = Cất cánh.</t>
  </si>
  <si>
    <t>奇怪</t>
  </si>
  <si>
    <t>qíguài</t>
  </si>
  <si>
    <t>Chuyện lạ (奇) khiến trái tim (忄) cảm thấy quái đản (怪) = Kỳ lạ.</t>
  </si>
  <si>
    <t>清楚</t>
  </si>
  <si>
    <t>qīngchu</t>
  </si>
  <si>
    <t>rõ ràng</t>
  </si>
  <si>
    <t>Nước trong xanh (清) và rừng cây (楚 - bộ Lâm 林) rõ ràng = Rõ ràng.</t>
  </si>
  <si>
    <t>请假</t>
  </si>
  <si>
    <t>qǐngjià</t>
  </si>
  <si>
    <t>Dùng lời nói (讠) để xin (请) mượn thời gian nghỉ (假) = Xin nghỉ.</t>
  </si>
  <si>
    <t>请客</t>
  </si>
  <si>
    <t>qǐngkè</t>
  </si>
  <si>
    <t>mời khách/đãi</t>
  </si>
  <si>
    <t>Dùng lời nói (讠) mời (请) khách (客) đến nhà = Mời khách/Bao đãi.</t>
  </si>
  <si>
    <t>其实</t>
  </si>
  <si>
    <t>qíshí</t>
  </si>
  <si>
    <t>Cái đó (其) thực tế (实 - dưới mái nhà 宀 có kho báu 贯) là = Thực ra.</t>
  </si>
  <si>
    <t>其他</t>
  </si>
  <si>
    <t>qítā</t>
  </si>
  <si>
    <t>cái khác</t>
  </si>
  <si>
    <t>Cái đó (其) và người (亻) khác (他) = Cái khác/Người khác.</t>
  </si>
  <si>
    <t>球场</t>
  </si>
  <si>
    <t>qiúchǎng</t>
  </si>
  <si>
    <t>sân bóng</t>
  </si>
  <si>
    <t>Bãi đất trống (场) để chơi bóng (球) = Sân bóng.</t>
  </si>
  <si>
    <t>秋天</t>
  </si>
  <si>
    <t>qiūtiān</t>
  </si>
  <si>
    <t>Mùa lúa (禾) chín vàng như lửa (火) đốt là mùa Thu.</t>
  </si>
  <si>
    <t>裙子</t>
  </si>
  <si>
    <t>qúnzi</t>
  </si>
  <si>
    <t>Bộ quần áo (衤) dành cho nhóm người (君 - vua/người quân tử) = Váy.</t>
  </si>
  <si>
    <t>然后</t>
  </si>
  <si>
    <t>ránhòu</t>
  </si>
  <si>
    <t>Sau đó (后) như thế (然 - đốt lửa dưới miếng thịt) = Sau đó.</t>
  </si>
  <si>
    <t>认得</t>
  </si>
  <si>
    <t>rènde</t>
  </si>
  <si>
    <t>Dùng lời nói (讠) nhận ra (认) được (得) người quen = Nhận ra.</t>
  </si>
  <si>
    <t>认为</t>
  </si>
  <si>
    <t>rènwéi</t>
  </si>
  <si>
    <t>cho rằng</t>
  </si>
  <si>
    <t>Nhận định (认) đây là (为) hành động/ý nghĩ = Cho rằng.</t>
  </si>
  <si>
    <t>认真</t>
  </si>
  <si>
    <t>rènzhēn</t>
  </si>
  <si>
    <t>nghiêm túc</t>
  </si>
  <si>
    <t>Nhận thức (认) một cách chân thực (真) = Chăm chỉ/Nghiêm túc.</t>
  </si>
  <si>
    <t>热情</t>
  </si>
  <si>
    <t>rèqíng</t>
  </si>
  <si>
    <t>Tình cảm (情) nóng bỏng như lửa đốt (热 - bộ Hỏa 灬) = Nhiệt tình.</t>
  </si>
  <si>
    <t>容易</t>
  </si>
  <si>
    <t>róngyì</t>
  </si>
  <si>
    <t>Cái chén dưới mái nhà (容) dễ dàng thay đổi (易 - hình con tắc kè) = Dễ dàng.</t>
  </si>
  <si>
    <t>如果</t>
  </si>
  <si>
    <t>rúguǒ</t>
  </si>
  <si>
    <t>Nếu như (如 - người nữ 女 nói miệng 口) kết quả (果) là... = Nếu như.</t>
  </si>
  <si>
    <t>伞</t>
  </si>
  <si>
    <t>sǎn</t>
  </si>
  <si>
    <t>Chữ tượng hình: Nhìn y hệt một cái Ô/Dù đang mở ra.</t>
  </si>
  <si>
    <t>扫</t>
  </si>
  <si>
    <t>sǎo</t>
  </si>
  <si>
    <t>Dùng tay (扌) cầm cái chổi làm bằng cỏ (彐) để Quét.</t>
  </si>
  <si>
    <t>沙发</t>
  </si>
  <si>
    <t>shāfā</t>
  </si>
  <si>
    <t>Mượn âm từ "Sofa". Nước (氵) trên cát (少) và phát ra (发) sự êm ái.</t>
  </si>
  <si>
    <t>山</t>
  </si>
  <si>
    <t>shān</t>
  </si>
  <si>
    <t>Trên (上) ngọn núi (山).</t>
  </si>
  <si>
    <t>上衣</t>
  </si>
  <si>
    <t>shàngyī</t>
  </si>
  <si>
    <t>Cái áo (衣) mặc ở phần trên (上) cơ thể.</t>
  </si>
  <si>
    <t>勺子</t>
  </si>
  <si>
    <t>sháozi</t>
  </si>
  <si>
    <t>Chữ Bao (勹) chứa một nét gạch nhỏ bên trong như thức ăn trong Cái thìa.</t>
  </si>
  <si>
    <t>身边</t>
  </si>
  <si>
    <t>shēnbiān</t>
  </si>
  <si>
    <t>Bên cạnh / xung quanh (mình)</t>
  </si>
  <si>
    <t>Bên cạnh (边) thân thể (身).</t>
  </si>
  <si>
    <t>声</t>
  </si>
  <si>
    <t>shēng</t>
  </si>
  <si>
    <t>Hình ảnh nhạc khí phát ra âm thanh (Tiếng/Thanh âm).</t>
  </si>
  <si>
    <t>身高</t>
  </si>
  <si>
    <t>shēngāo</t>
  </si>
  <si>
    <t>Chiều cao (高) của thân thể (身).</t>
  </si>
  <si>
    <t>生活</t>
  </si>
  <si>
    <t>shēnghuó</t>
  </si>
  <si>
    <t>cụộc sống</t>
  </si>
  <si>
    <t>Sinh ra (生) và hoạt động bên dòng nước (活 - bộ Thủy 氵) = Cuộc sống.</t>
  </si>
  <si>
    <t>生气</t>
  </si>
  <si>
    <t>shēngqì</t>
  </si>
  <si>
    <t>Sinh ra (生) luồng khí (气) nóng trong lòng = Tức giận.</t>
  </si>
  <si>
    <t>声音</t>
  </si>
  <si>
    <t>shēngyīn</t>
  </si>
  <si>
    <t>Thanh (声) và Âm (音 - mặt trời mọc trên mặt đất phát tiếng) = Âm thanh.</t>
  </si>
  <si>
    <t>市</t>
  </si>
  <si>
    <t>Hình ảnh cái chợ có mái che: Thành phố/Chợ.</t>
  </si>
  <si>
    <t>试</t>
  </si>
  <si>
    <t>Dùng lời nói (讠) làm theo nghi thức (式) để Thử/Thi.</t>
  </si>
  <si>
    <t>室</t>
  </si>
  <si>
    <t>Dưới mái nhà (宀) có người đi đến (至) là căn Phòng.</t>
  </si>
  <si>
    <t>世界</t>
  </si>
  <si>
    <t>shìjiè</t>
  </si>
  <si>
    <t>Đời người (世) và ranh giới ruộng đất (界 - bộ Điền 田) = Thế giới.</t>
  </si>
  <si>
    <t>受</t>
  </si>
  <si>
    <t>shòu</t>
  </si>
  <si>
    <t>Nhận/Chịu đựng</t>
  </si>
  <si>
    <t>Dùng tay đưa vật vào giữa hai người để Nhận/Chịu đựng.</t>
  </si>
  <si>
    <t>瘦</t>
  </si>
  <si>
    <t>Bị bệnh (疒) nên thân hình khẳng khiu như cây gậy (叟) = Gầy.</t>
  </si>
  <si>
    <t>收</t>
  </si>
  <si>
    <t>shōu</t>
  </si>
  <si>
    <t>Thu lại/Nhận</t>
  </si>
  <si>
    <t>Dùng tay (攵) thu lưới/thu đồ đạc về một chỗ = Thu lại/Nhận.</t>
  </si>
  <si>
    <t>受到</t>
  </si>
  <si>
    <t>shòudào</t>
  </si>
  <si>
    <t>chịu / nhận</t>
  </si>
  <si>
    <t>chịu / nhận (ảnh hưởng, cảm xúc, đánh giá…)</t>
  </si>
  <si>
    <t>收到</t>
  </si>
  <si>
    <t>shōudào</t>
  </si>
  <si>
    <t>nhận được</t>
  </si>
  <si>
    <t>nhận được (đồ vật, tin nhắn, email…)</t>
  </si>
  <si>
    <t>树</t>
  </si>
  <si>
    <t>shù</t>
  </si>
  <si>
    <t>Cái cây (木) đứng giữa làng (壴) được đo đạc bằng tay (寸) = Cây cối.</t>
  </si>
  <si>
    <t>刷</t>
  </si>
  <si>
    <t>shuā</t>
  </si>
  <si>
    <t>Dùng con dao (刂) và cái chổi để Chải/Quét/Cọ.</t>
  </si>
  <si>
    <t>双</t>
  </si>
  <si>
    <t>shuāng</t>
  </si>
  <si>
    <t>Hai chữ Hựu (又 - bàn tay) đứng cạnh nhau tạo thành Một đôi/Cặp.</t>
  </si>
  <si>
    <t>水平</t>
  </si>
  <si>
    <t>shuǐpíng</t>
  </si>
  <si>
    <t>Mực nước (水) bằng phẳng (平) = Trình độ.</t>
  </si>
  <si>
    <t>叔叔</t>
  </si>
  <si>
    <t>shūshu</t>
  </si>
  <si>
    <t>Người em trai của cha (Chú). Trên là bộ Thượng (上), dưới là tay (又).</t>
  </si>
  <si>
    <t>数学</t>
  </si>
  <si>
    <t>shùxué</t>
  </si>
  <si>
    <t>Học (学) cách tính toán các con số (数 - bộ Phẫu 攵 chỉ hành động đếm).</t>
  </si>
  <si>
    <t>四季</t>
  </si>
  <si>
    <t>sìjì</t>
  </si>
  <si>
    <t>Bốn (四) mùa (季 - con của cây lúa).</t>
  </si>
  <si>
    <t>司机</t>
  </si>
  <si>
    <t>sījī</t>
  </si>
  <si>
    <t>Người quản lý (司) cái máy (机) = Tài xế.</t>
  </si>
  <si>
    <t>太阳</t>
  </si>
  <si>
    <t>tàiyáng</t>
  </si>
  <si>
    <t>Cái quá lớn (太) và cực dương sáng chói (阳 - bộ Phụ 阝 bên gò đất) = Mặt trời.</t>
  </si>
  <si>
    <t>糖</t>
  </si>
  <si>
    <t>táng</t>
  </si>
  <si>
    <t>Hạt gạo (米) được làm ngọt từ cây cỏ trong nhà (唐) = Kẹo/Đường.</t>
  </si>
  <si>
    <t>特别</t>
  </si>
  <si>
    <t>tèbié</t>
  </si>
  <si>
    <t>Con bò (牛) đứng ở chùa (寺) là một trường hợp Đặc biệt. Biệt (别) là dùng dao (刂) tách ra.</t>
  </si>
  <si>
    <t>甜</t>
  </si>
  <si>
    <t>tián</t>
  </si>
  <si>
    <t>Cái lưỡi (舌) nếm vị của cam quít/mật ngọt (甘) nên thấy Ngọt.</t>
  </si>
  <si>
    <t>跳</t>
  </si>
  <si>
    <t>tiào</t>
  </si>
  <si>
    <t>Dùng chân (⻊) nhảy lên cao như triệu (兆) vì sao trên trời = Nhảy.</t>
  </si>
  <si>
    <t>提高</t>
  </si>
  <si>
    <t>tígāo</t>
  </si>
  <si>
    <t>Dùng tay (扌) nhấc vật gì đó lên mức Cao (高) = Nâng cao.</t>
  </si>
  <si>
    <t>挺</t>
  </si>
  <si>
    <t>tǐng</t>
  </si>
  <si>
    <t>副、（动）</t>
  </si>
  <si>
    <t>Dùng tay (扌) nâng đỡ con người đứng thẳng trên đất (廷) = Rất/Thẳng.</t>
  </si>
  <si>
    <t>听说</t>
  </si>
  <si>
    <t>tīngshuō</t>
  </si>
  <si>
    <t>Tai nghe (听) và miệng nói (说) = Nghe nói.</t>
  </si>
  <si>
    <t>体育</t>
  </si>
  <si>
    <t>tǐyù</t>
  </si>
  <si>
    <t>Rèn luyện thân thể (体) và giáo dục (育 - hình đứa trẻ sinh ra ngược).</t>
  </si>
  <si>
    <t>体育馆</t>
  </si>
  <si>
    <t>tǐyùguǎn</t>
  </si>
  <si>
    <t>Tòa nhà (馆) dành cho việc tập Thể dục (体育).</t>
  </si>
  <si>
    <t>同事</t>
  </si>
  <si>
    <t>tóngshì</t>
  </si>
  <si>
    <t>Những người cùng (同) làm một việc (事) = Đồng nghiệp.</t>
  </si>
  <si>
    <t>同意</t>
  </si>
  <si>
    <t>tóngyì</t>
  </si>
  <si>
    <t>Có cùng (同) một ý nghĩ/tâm tư (意 - có bộ Tâm 心) = Đồng ý.</t>
  </si>
  <si>
    <t>头发</t>
  </si>
  <si>
    <t>tóufa</t>
  </si>
  <si>
    <t>Cái đầu (头) và phát ra (发) những sợi tóc.</t>
  </si>
  <si>
    <t>腿</t>
  </si>
  <si>
    <t>tuǐ</t>
  </si>
  <si>
    <t>Bộ phận cơ thể (月) giúp bước đi thoăn thoắt (退 - lui bước) = Cái chân.</t>
  </si>
  <si>
    <t>突然</t>
  </si>
  <si>
    <t>tūrán</t>
  </si>
  <si>
    <t>Con chó chui ra khỏi hang (突 - bộ Huyệt 穴 và Khuyển 犬) một cách Đột nhiên.</t>
  </si>
  <si>
    <t>图书馆</t>
  </si>
  <si>
    <t>túshūguǎn</t>
  </si>
  <si>
    <t>Tòa nhà (馆) chứa các bản đồ (图) và sách (书) = Thư viện.</t>
  </si>
  <si>
    <t>外地</t>
  </si>
  <si>
    <t>wàidì</t>
  </si>
  <si>
    <t>Vùng đất (地) ở bên ngoài (外) nơi mình sống = Nơi khác.</t>
  </si>
  <si>
    <t>外卖</t>
  </si>
  <si>
    <t>wàimài</t>
  </si>
  <si>
    <t>Mua bán (卖 - có chữ Thập 十 ở trên) mang ra ngoài (外) = Đồ ăn mang đi.</t>
  </si>
  <si>
    <t>外语</t>
  </si>
  <si>
    <t>wàiyǔ</t>
  </si>
  <si>
    <t>Ngôn ngữ (语) của nước ngoài (外).</t>
  </si>
  <si>
    <t>碗</t>
  </si>
  <si>
    <t>Đồ vật làm bằng đá (石) để đựng đồ ăn trong nhà (宛) = Cái bát.</t>
  </si>
  <si>
    <t>完成</t>
  </si>
  <si>
    <t>wánchéng</t>
  </si>
  <si>
    <t>Dưới mái nhà (宀) mọi thứ đã nguyên vẹn (元) và thành công (成) = Hoàn thành.</t>
  </si>
  <si>
    <t>晚点</t>
  </si>
  <si>
    <t>wǎndiǎn</t>
  </si>
  <si>
    <t>Buổi tối (晚) bị trễ mất một vài điểm (点) thời gian = Đến muộn/Trễ giờ.</t>
  </si>
  <si>
    <t>忘记</t>
  </si>
  <si>
    <t>wàngjì</t>
  </si>
  <si>
    <t>Trái tim bị mất đi (忘 - chữ Vong 亡 trên Tâm 心) nên không ghi nhớ (记) được.</t>
  </si>
  <si>
    <t>网球</t>
  </si>
  <si>
    <t>wǎngqiú</t>
  </si>
  <si>
    <t>Quả bóng (球) đánh qua cái lưới (网) = Quần vợt.</t>
  </si>
  <si>
    <t>网站</t>
  </si>
  <si>
    <t>wǎngzhàn</t>
  </si>
  <si>
    <t>Trạm (站) dừng chân trên mạng lưới (网) Internet = Trang web.</t>
  </si>
  <si>
    <t>晚会</t>
  </si>
  <si>
    <t>wǎnhuì</t>
  </si>
  <si>
    <t>Cuộc tụ họp (会) vào buổi tối (晚) = Tiệc tối.</t>
  </si>
  <si>
    <t>为</t>
  </si>
  <si>
    <t>Hình ảnh bàn tay đang làm việc. Vì một mục đích nào đó.</t>
  </si>
  <si>
    <t>为了</t>
  </si>
  <si>
    <t>wèile</t>
  </si>
  <si>
    <t>Vì (为) để đạt được điều gì đó.</t>
  </si>
  <si>
    <t>卫生间</t>
  </si>
  <si>
    <t>wèishēngjiān</t>
  </si>
  <si>
    <t>Gian phòng (间) để bảo vệ (卫) vệ sinh sự sống (生) = Nhà vệ sinh.</t>
  </si>
  <si>
    <t>文化</t>
  </si>
  <si>
    <t>wénhuà</t>
  </si>
  <si>
    <t>Chữ viết (文) làm biến hóa (化) con người = Văn hóa.</t>
  </si>
  <si>
    <t>屋子</t>
  </si>
  <si>
    <t>wūzi</t>
  </si>
  <si>
    <t>Người (尸 - bộ Thi) ở trong vùng đất có giới hạn (至) = Căn phòng/Căn nhà.</t>
  </si>
  <si>
    <t>西</t>
  </si>
  <si>
    <t>xī</t>
  </si>
  <si>
    <t>Hình ảnh con chim đang bay về tổ khi mặt trời lặn ở hướng Tây.</t>
  </si>
  <si>
    <t>喜爱</t>
  </si>
  <si>
    <t>xǐ'ài</t>
  </si>
  <si>
    <t>Vui vẻ (喜 - có bộ Khẩu 口 đang cười) và Yêu (爱) = Yêu thích.</t>
  </si>
  <si>
    <t>先</t>
  </si>
  <si>
    <t>xiān</t>
  </si>
  <si>
    <t>Đôi chân bước đi phía trước trên mặt đất = Trước.</t>
  </si>
  <si>
    <t>向</t>
  </si>
  <si>
    <t>xiàng</t>
  </si>
  <si>
    <t>hướng về</t>
  </si>
  <si>
    <t>Cái miệng (口) hướng về phía cửa sổ căn nhà = Hướng về.</t>
  </si>
  <si>
    <t>像</t>
  </si>
  <si>
    <t>动、（副）、（名）</t>
  </si>
  <si>
    <t>tượng/Giống hệt/giống như</t>
  </si>
  <si>
    <t>相机</t>
  </si>
  <si>
    <t>xiàngjī</t>
  </si>
  <si>
    <t>Cái máy (机) để chụp lại hình ảnh (相) = Máy ảnh.</t>
  </si>
  <si>
    <t>香蕉</t>
  </si>
  <si>
    <t>xiāngjiāo</t>
  </si>
  <si>
    <t>Cây cỏ (艹) có mùi thơm (香) và cháy nắng (蕉) = Quả chuối.</t>
  </si>
  <si>
    <t>相信</t>
  </si>
  <si>
    <t>xiāngxìn</t>
  </si>
  <si>
    <t>Con người (亻) nói lời (言) tương ứng (相) với nhau = Tin tưởng.</t>
  </si>
  <si>
    <t>箱子</t>
  </si>
  <si>
    <t>xiāngzi</t>
  </si>
  <si>
    <t>Đồ vật làm bằng tre (竹) dùng để kiểm tra và đựng đồ (相) = Cái hòm/Rương.</t>
  </si>
  <si>
    <t>小区</t>
  </si>
  <si>
    <t>xiǎoqū</t>
  </si>
  <si>
    <t>Một khu vực (区 - cái hòm đựng đồ) nhỏ (小) = Khu dân cư.</t>
  </si>
  <si>
    <t>小心</t>
  </si>
  <si>
    <t>xiǎoxīn</t>
  </si>
  <si>
    <t>Để trái tim (心) ở mức nhỏ nhất để chú ý mọi thứ = Cẩn thận.</t>
  </si>
  <si>
    <t>校园</t>
  </si>
  <si>
    <t>xiàoyuán</t>
  </si>
  <si>
    <t>Khuôn viên trường</t>
  </si>
  <si>
    <t>Cái vườn (园) trong trường học (校).</t>
  </si>
  <si>
    <t>校长</t>
  </si>
  <si>
    <t>xiàozhǎng</t>
  </si>
  <si>
    <t>Người đứng đầu (长 - trưởng) của trường học (校) = Hiệu trưởng.</t>
  </si>
  <si>
    <t>夏天</t>
  </si>
  <si>
    <t>xiàtiān</t>
  </si>
  <si>
    <t>Một người cầm gậy đi dưới nắng mặt trời: Mùa Hè.</t>
  </si>
  <si>
    <t>西北</t>
  </si>
  <si>
    <t>xīběi</t>
  </si>
  <si>
    <t>Hướng Tây (西) Bắc (北).</t>
  </si>
  <si>
    <t>鞋</t>
  </si>
  <si>
    <t>xié</t>
  </si>
  <si>
    <t>Đồ làm bằng da (革) để đi lại giữa các vùng đất (圭) = Giày.</t>
  </si>
  <si>
    <t>西方</t>
  </si>
  <si>
    <t>xīfāng</t>
  </si>
  <si>
    <t>phương tây</t>
  </si>
  <si>
    <t>Phương (方) Tây (西).</t>
  </si>
  <si>
    <t>西瓜</t>
  </si>
  <si>
    <t>xīguā</t>
  </si>
  <si>
    <t>Loại dưa (瓜) đến từ phương Tây (西) = Dưa hấu.</t>
  </si>
  <si>
    <t>习惯</t>
  </si>
  <si>
    <t>xíguàn</t>
  </si>
  <si>
    <t>Đôi cánh chim tập bay (习) thường xuyên tâm niệm (贯) = Thói quen.</t>
  </si>
  <si>
    <t>信</t>
  </si>
  <si>
    <t>xìn</t>
  </si>
  <si>
    <t>Con người (亻) tin vào lời nói (言) trong bức Thư.</t>
  </si>
  <si>
    <t>西南</t>
  </si>
  <si>
    <t>xīnán</t>
  </si>
  <si>
    <t>Hướng Tây (西) Nam (南).</t>
  </si>
  <si>
    <t>行</t>
  </si>
  <si>
    <t>xíng</t>
  </si>
  <si>
    <t>Hình ảnh cái ngã tư đường. Người đi lại trên đường = Đi/Được.</t>
  </si>
  <si>
    <t>行李</t>
  </si>
  <si>
    <t>xíngli</t>
  </si>
  <si>
    <t>Đồ đạc mang theo khi đi (行) lý luận (李 - cây mận) = Hành lý.</t>
  </si>
  <si>
    <t>兴趣</t>
  </si>
  <si>
    <t>xìngqù</t>
  </si>
  <si>
    <t>Hứng thú (兴) được bước đi (走) tới nơi lấy (取) được đồ = Sở thích.</t>
  </si>
  <si>
    <t>心里</t>
  </si>
  <si>
    <t>xīnlǐ</t>
  </si>
  <si>
    <t>Bên trong (里) trái tim (心) = Trong lòng.</t>
  </si>
  <si>
    <t>新年</t>
  </si>
  <si>
    <t>xīnnián</t>
  </si>
  <si>
    <t>Năm (年) mới (新 - dùng rìu 斤 chặt cây cũ 木 để có củi mới).</t>
  </si>
  <si>
    <t>新闻</t>
  </si>
  <si>
    <t>xīnwén</t>
  </si>
  <si>
    <t>Nghe (闻 - tai 耳 để ở cửa 门) tin mới (新) = Tin tức.</t>
  </si>
  <si>
    <t>新鲜</t>
  </si>
  <si>
    <t>xīnxiān</t>
  </si>
  <si>
    <t>Mới (新) như con cá (鱼) và con cừu (羊) vừa mổ = Tươi mới.</t>
  </si>
  <si>
    <t>信用卡</t>
  </si>
  <si>
    <t>xìnyòngkǎ</t>
  </si>
  <si>
    <t>Cái thẻ (卡) dùng (用) bằng sự tin tưởng (信) = Thẻ tín dụng.</t>
  </si>
  <si>
    <t>休假</t>
  </si>
  <si>
    <t>xiūjià</t>
  </si>
  <si>
    <t>Nghỉ phép / nghỉ kỳ nghỉ</t>
  </si>
  <si>
    <t>Người (亻) tựa vào gốc cây (木) để nghỉ ngơi (休) ngày lễ (假).</t>
  </si>
  <si>
    <t>洗衣机</t>
  </si>
  <si>
    <t>xǐyījī</t>
  </si>
  <si>
    <t>Cái máy (机) để rửa/giặt (洗) quần áo (衣).</t>
  </si>
  <si>
    <t>洗澡</t>
  </si>
  <si>
    <t>xǐzǎo</t>
  </si>
  <si>
    <t>tắm</t>
  </si>
  <si>
    <t>Dùng nước (氵) để làm sạch cơ thể dưới ánh mặt trời (澡) = Tắm.</t>
  </si>
  <si>
    <t>选</t>
  </si>
  <si>
    <t>xuǎn</t>
  </si>
  <si>
    <t>chọn</t>
  </si>
  <si>
    <t>Bước đi (辶) để lựa chọn những vật quý giá (先) = Chọn.</t>
  </si>
  <si>
    <t>选择</t>
  </si>
  <si>
    <t>xuǎnzé</t>
  </si>
  <si>
    <t>lựa chọn</t>
  </si>
  <si>
    <t>Lựa chọn (选) bằng tay (扌) những vật có giá trị (择) = Lựa chọn.</t>
  </si>
  <si>
    <t>学期</t>
  </si>
  <si>
    <t>xuéqī</t>
  </si>
  <si>
    <t>Thời hạn (期) của việc học tập (学) = Học kỳ.</t>
  </si>
  <si>
    <t>需要</t>
  </si>
  <si>
    <t>xūyào</t>
  </si>
  <si>
    <t>cần thiết</t>
  </si>
  <si>
    <t>Mưa (雨) rơi xuống người đang đợi (而) là sự Cần thiết (需要).</t>
  </si>
  <si>
    <t>牙</t>
  </si>
  <si>
    <t>yá</t>
  </si>
  <si>
    <t>Chữ tượng hình: Hình một chiếc răng có chân răng.</t>
  </si>
  <si>
    <t>羊</t>
  </si>
  <si>
    <t>yáng</t>
  </si>
  <si>
    <t>Chữ tượng hình: Hình cái đầu con dê có hai sừng và ba nét ngang là lông.</t>
  </si>
  <si>
    <t>养</t>
  </si>
  <si>
    <t>yǎng</t>
  </si>
  <si>
    <t>nuôi dưỡng</t>
  </si>
  <si>
    <t>Cho con dê (羊) ăn đồ ăn để Nuôi dưỡng.</t>
  </si>
  <si>
    <t>要求</t>
  </si>
  <si>
    <t>yāoqiú</t>
  </si>
  <si>
    <t>Phải (要) đạt được điều mình mong cầu (求) = Yêu cầu.</t>
  </si>
  <si>
    <t>牙刷</t>
  </si>
  <si>
    <t>yáshuā</t>
  </si>
  <si>
    <t>Cái bàn chải (刷) dùng cho răng (牙).</t>
  </si>
  <si>
    <t>页</t>
  </si>
  <si>
    <t>yè</t>
  </si>
  <si>
    <t>Hình ảnh một trang giấy hoặc cái đầu (đơn vị đếm trang sách).</t>
  </si>
  <si>
    <t>一般</t>
  </si>
  <si>
    <t>yìbān</t>
  </si>
  <si>
    <t>bình thường</t>
  </si>
  <si>
    <t>Một (一) chiếc thuyền (舟) chở đồ đạc bình thường = Thông thường/Bình thường.</t>
  </si>
  <si>
    <t>一边</t>
  </si>
  <si>
    <t>yìbiān</t>
  </si>
  <si>
    <t>Vừa... vừa... (Làm ở một bên (边) này và một bên kia).</t>
  </si>
  <si>
    <t>一定</t>
  </si>
  <si>
    <t>yídìng</t>
  </si>
  <si>
    <t>nhất định</t>
  </si>
  <si>
    <t>Một (一) khi đã chốt dưới mái nhà (定) là Nhất định.</t>
  </si>
  <si>
    <t>一共</t>
  </si>
  <si>
    <t>yígòng</t>
  </si>
  <si>
    <t>Chắp tay (共) gộp tất cả lại làm một (一) = Tổng cộng.</t>
  </si>
  <si>
    <t>以后</t>
  </si>
  <si>
    <t>yǐhòu</t>
  </si>
  <si>
    <t>sau này</t>
  </si>
  <si>
    <t>Từ nay về sau (后).</t>
  </si>
  <si>
    <t>一块儿</t>
  </si>
  <si>
    <t>yíkuàir</t>
  </si>
  <si>
    <t>名、副</t>
  </si>
  <si>
    <t>Cùng nhau như một khối đất (块 - bộ Thổ 土).</t>
  </si>
  <si>
    <t>yīnggāi</t>
  </si>
  <si>
    <t>Chim ưng trong nhà (应) nói lời (讠) lẽ Nên (该) làm.</t>
  </si>
  <si>
    <t>影响</t>
  </si>
  <si>
    <t>yǐngxiǎng</t>
  </si>
  <si>
    <t>Cái bóng (影) phát ra âm thanh (响) = Ảnh hưởng.</t>
  </si>
  <si>
    <t>银行</t>
  </si>
  <si>
    <t>yínháng</t>
  </si>
  <si>
    <t>Nơi kinh doanh bạc (银 - bộ Kim 钅) và lưu thông (行) = Ngân hàng.</t>
  </si>
  <si>
    <t>银行卡</t>
  </si>
  <si>
    <t>yínhángkǎ</t>
  </si>
  <si>
    <t>Cái thẻ (卡) của ngân hàng (银行).</t>
  </si>
  <si>
    <t>饮料</t>
  </si>
  <si>
    <t>yǐnliào</t>
  </si>
  <si>
    <t>Đồ uống (饮 - dùng miệng 饣 ngáp 欠 để uống) và nguyên liệu (料).</t>
  </si>
  <si>
    <t>音乐</t>
  </si>
  <si>
    <t>yīnyuè</t>
  </si>
  <si>
    <t>Âm thanh (音) vui vẻ như tiếng nhạc (乐) = Âm nhạc.</t>
  </si>
  <si>
    <t>以前</t>
  </si>
  <si>
    <t>yǐqián</t>
  </si>
  <si>
    <t>trước đây</t>
  </si>
  <si>
    <t>Thời gian về trước (前).</t>
  </si>
  <si>
    <t>以上</t>
  </si>
  <si>
    <t>yǐshàng</t>
  </si>
  <si>
    <t>Trở lên (上).</t>
  </si>
  <si>
    <t>以外</t>
  </si>
  <si>
    <t>yǐwài</t>
  </si>
  <si>
    <t>ngoài ra</t>
  </si>
  <si>
    <t>Ngoài (外) ra.</t>
  </si>
  <si>
    <t>以为</t>
  </si>
  <si>
    <t>yǐwéi</t>
  </si>
  <si>
    <t>tưởng là</t>
  </si>
  <si>
    <t>Cho rằng/Tưởng là.</t>
  </si>
  <si>
    <t>以下</t>
  </si>
  <si>
    <t>yǐxià</t>
  </si>
  <si>
    <t>Dưới / sau đây / trở xuống</t>
  </si>
  <si>
    <t>Trở xuống (下).</t>
  </si>
  <si>
    <t>一样</t>
  </si>
  <si>
    <t>yíyàng</t>
  </si>
  <si>
    <t>Cùng một (一) kiểu dáng (样 - có bộ Mộc 木) = Giống nhau.</t>
  </si>
  <si>
    <t>一直</t>
  </si>
  <si>
    <t>yìzhí</t>
  </si>
  <si>
    <t>Luôn luôn / suốt</t>
  </si>
  <si>
    <t>Cứ đi thẳng (直 - mười cái mắt nhìn thẳng) một mạch.</t>
  </si>
  <si>
    <t>用</t>
  </si>
  <si>
    <t>yòng</t>
  </si>
  <si>
    <t>Hình cái hàng rào hoặc dụng cụ dùng để làm việc = Dùng.</t>
  </si>
  <si>
    <t>又</t>
  </si>
  <si>
    <t>Hình bàn tay: Lại một lần nữa.</t>
  </si>
  <si>
    <t>有关</t>
  </si>
  <si>
    <t>yǒuguān</t>
  </si>
  <si>
    <t>Có (有) liên quan (关 - cái chốt cửa).</t>
  </si>
  <si>
    <t>邮件</t>
  </si>
  <si>
    <t>yóujiàn</t>
  </si>
  <si>
    <t>Những món đồ (件) được gửi từ trạm bưu điện (邮).</t>
  </si>
  <si>
    <t>游客</t>
  </si>
  <si>
    <t>yóukè</t>
  </si>
  <si>
    <t>Người khách (客) đi du ngoạn (游) = Du khách.</t>
  </si>
  <si>
    <t>有名</t>
  </si>
  <si>
    <t>yǒumíng</t>
  </si>
  <si>
    <t>Có (有) tên tuổi (名) = Nổi tiếng.</t>
  </si>
  <si>
    <t>游戏</t>
  </si>
  <si>
    <t>yóuxì</t>
  </si>
  <si>
    <t>Trò chơi bơi lội (游) dùng binh khí gỗ (戏) = Trò chơi.</t>
  </si>
  <si>
    <t>邮箱</t>
  </si>
  <si>
    <t>yóuxiāng</t>
  </si>
  <si>
    <t>hòm thư</t>
  </si>
  <si>
    <t>Cái hòm (箱) bưu điện (邮) = Hòm thư.</t>
  </si>
  <si>
    <t>有用</t>
  </si>
  <si>
    <t>yǒuyòng</t>
  </si>
  <si>
    <t>hữu ích</t>
  </si>
  <si>
    <t>Có (有) tác dụng/dùng (用) được = Hữu ích.</t>
  </si>
  <si>
    <t>园</t>
  </si>
  <si>
    <t>Vùng đất có rào bao quanh (囗) trồng cây cối bên trong = Vườn.</t>
  </si>
  <si>
    <t>员</t>
  </si>
  <si>
    <t>Cái miệng (口) của người làm việc trên vỏ sò/tiền bạc (贝) = Nhân viên/Thành viên.</t>
  </si>
  <si>
    <t>愿意</t>
  </si>
  <si>
    <t>yuànyì</t>
  </si>
  <si>
    <t>nguyện ý</t>
  </si>
  <si>
    <t>Trái tim (心) mong muốn từ nguồn cội (原) ý nghĩ (意) = Bằng lòng/Nguyện ý.</t>
  </si>
  <si>
    <t>遇到</t>
  </si>
  <si>
    <t>yùdào</t>
  </si>
  <si>
    <t>Bước chân (辶) đi trên đường thì gặp người vùng khác (禺) tìm đến (到) = Gặp phải.</t>
  </si>
  <si>
    <t>越</t>
  </si>
  <si>
    <t>càng/đi qua</t>
  </si>
  <si>
    <t>Chạy (走) qua một cây thương (戉) là vượt qua giới hạn = Càng/Vượt qua.</t>
  </si>
  <si>
    <t>月亮</t>
  </si>
  <si>
    <t>yuèliang</t>
  </si>
  <si>
    <t>Mặt trăng (月) tỏa ánh sáng (亮 - dưới mái nhà có miệng ăn và đôi chân) = Ánh trăng.</t>
  </si>
  <si>
    <t>遇见</t>
  </si>
  <si>
    <t>yùjiàn</t>
  </si>
  <si>
    <t>Vô tình gặp gỡ (遇) và nhìn thấy nhau (见) = Gặp mặt.</t>
  </si>
  <si>
    <t>羽毛球</t>
  </si>
  <si>
    <t>yǔmáoqiú</t>
  </si>
  <si>
    <t>Quả bóng (球) làm từ lông (毛) và cánh chim (羽) = Cầu lông.</t>
  </si>
  <si>
    <t>运动会</t>
  </si>
  <si>
    <t>yùndònghuì</t>
  </si>
  <si>
    <t>Đại hội (会) vận động (运动) sức khỏe.</t>
  </si>
  <si>
    <t>运动员</t>
  </si>
  <si>
    <t>yùndòngyuán</t>
  </si>
  <si>
    <t>Thành viên (员) tham gia vận động (运动) = Vận động viên.</t>
  </si>
  <si>
    <t>语言</t>
  </si>
  <si>
    <t>yǔyán</t>
  </si>
  <si>
    <t>Dùng lời nói (讠) để trao đổi 5 (五) cái miệng (口) nói lời (言) = Ngôn ngữ.</t>
  </si>
  <si>
    <t>雨衣</t>
  </si>
  <si>
    <t>yǔyī</t>
  </si>
  <si>
    <t>Cái áo (衣) dùng để đi dưới mưa (雨) = Áo mưa.</t>
  </si>
  <si>
    <t>脏</t>
  </si>
  <si>
    <t>zāng</t>
  </si>
  <si>
    <t>Bộ phận cơ thể (月) dính đất cát bẩn thỉu (庄 - trang trại) = Bẩn/Dơ.</t>
  </si>
  <si>
    <t>咱们</t>
  </si>
  <si>
    <t>zánmen</t>
  </si>
  <si>
    <t>Cái miệng (口) của chúng ta đang tự mình (自) nói chuyện = Chúng ta.</t>
  </si>
  <si>
    <t>怎么办</t>
  </si>
  <si>
    <t>zěnmebàn</t>
  </si>
  <si>
    <t>Làm (办) như thế nào (怎么).</t>
  </si>
  <si>
    <t>怎样</t>
  </si>
  <si>
    <t>zěnyàng</t>
  </si>
  <si>
    <t>Hình dáng (样) như thế nào (怎).</t>
  </si>
  <si>
    <t>Người đứng (立) trên một mảnh đất (占) để đợi xe = Đứng/Trạm.</t>
  </si>
  <si>
    <t>zhǎng</t>
  </si>
  <si>
    <t>动、后缀</t>
  </si>
  <si>
    <t>Hình ảnh người già tóc dài, đại diện cho sự Dài/Trưởng thành.</t>
  </si>
  <si>
    <t>张</t>
  </si>
  <si>
    <t>zhāng</t>
  </si>
  <si>
    <t>动、量</t>
  </si>
  <si>
    <t>Cái cung (弓) được kéo dài (长) ra = Lượng từ cho tờ giấy/mặt bàn.</t>
  </si>
  <si>
    <t>照</t>
  </si>
  <si>
    <t>zhào</t>
  </si>
  <si>
    <t>Mặt trời (日) chiếu ánh sáng xuống bốn đốm lửa (灬) = Chiếu sáng.</t>
  </si>
  <si>
    <t>照顾</t>
  </si>
  <si>
    <t>zhàogù</t>
  </si>
  <si>
    <t>Chiếu sáng (照) và ngoảnh đầu lại nhìn (顾 - bộ Hiệt 页) = Chăm sóc.</t>
  </si>
  <si>
    <t>着急</t>
  </si>
  <si>
    <t>zháojí</t>
  </si>
  <si>
    <t>Trái tim (心) bị bóp nghẹt (急) như bị đốt lửa trên đầu (着) = Lo lắng/Vội vàng.</t>
  </si>
  <si>
    <t>照片</t>
  </si>
  <si>
    <t>zhàopiàn</t>
  </si>
  <si>
    <t>Những tấm phim (片) ghi lại ánh sáng (照) = Bức ảnh.</t>
  </si>
  <si>
    <t>照相</t>
  </si>
  <si>
    <t>zhàoxiàng</t>
  </si>
  <si>
    <t>Chụp lại (照) hình dáng (相) của một vật.</t>
  </si>
  <si>
    <t>zhǐ</t>
  </si>
  <si>
    <t>Một cái miệng (口) và hai chân: Chỉ có/Lượng từ con vật.</t>
  </si>
  <si>
    <t>纸</t>
  </si>
  <si>
    <t>Loại tơ (纟) được ép mỏng như họ của một người (氏) = Giấy.</t>
  </si>
  <si>
    <t>只能</t>
  </si>
  <si>
    <t>zhǐ néng</t>
  </si>
  <si>
    <t>Chỉ có thể</t>
  </si>
  <si>
    <t>Chỉ (只) có khả năng (能) làm được thế thôi.</t>
  </si>
  <si>
    <t>直到</t>
  </si>
  <si>
    <t>zhídào</t>
  </si>
  <si>
    <t>Đi thẳng (直) cho tới khi đến nơi (到) = Cho đến khi.</t>
  </si>
  <si>
    <t>只是</t>
  </si>
  <si>
    <t>zhǐshì</t>
  </si>
  <si>
    <t>chỉ là</t>
  </si>
  <si>
    <t>Chỉ (只) là (是) vì...</t>
  </si>
  <si>
    <t>只要</t>
  </si>
  <si>
    <t>zhǐyào</t>
  </si>
  <si>
    <t>chỉ cần</t>
  </si>
  <si>
    <t>Chỉ (只) cần (要).</t>
  </si>
  <si>
    <t>只有</t>
  </si>
  <si>
    <t>zhǐyǒu</t>
  </si>
  <si>
    <t>chỉ có</t>
  </si>
  <si>
    <t>Chỉ (只) có (有).</t>
  </si>
  <si>
    <t>种</t>
  </si>
  <si>
    <t>zhǒng</t>
  </si>
  <si>
    <t>Cây lúa (禾) được mang ra ruộng (中) để Trồng/Loại.</t>
  </si>
  <si>
    <t>中</t>
  </si>
  <si>
    <t>zhōng</t>
  </si>
  <si>
    <t>Một nét gạch xuyên qua giữa cái bia/khung: Ở giữa.</t>
  </si>
  <si>
    <t>中间</t>
  </si>
  <si>
    <t>zhōngjiān</t>
  </si>
  <si>
    <t>Khoảng không (间) ở chính giữa (中).</t>
  </si>
  <si>
    <t>重要</t>
  </si>
  <si>
    <t>zhòngyào</t>
  </si>
  <si>
    <t>Nặng (重 - nhiều người đứng trên đất) và cần thiết (要) = Quan trọng.</t>
  </si>
  <si>
    <t>终于</t>
  </si>
  <si>
    <t>zhōngyú</t>
  </si>
  <si>
    <t>Dùng sợi tơ (纟) thắt nút ở mùa đông (冬) để kết thúc (终) đi đến (于) = Cuối cùng.</t>
  </si>
  <si>
    <t>周末</t>
  </si>
  <si>
    <t>zhōumò</t>
  </si>
  <si>
    <t>Một vòng chu kỳ (周) đã đi đến điểm cuối (末 - nét ngang trên dài) = Cuối tuần.</t>
  </si>
  <si>
    <t>主要</t>
  </si>
  <si>
    <t>zhǔyào</t>
  </si>
  <si>
    <t>Ý định của người chủ (主) là cần thiết (要) nhất = Chủ yếu.</t>
  </si>
  <si>
    <t>注意</t>
  </si>
  <si>
    <t>zhùyì</t>
  </si>
  <si>
    <t>Rót nước (注 - bộ Thủy 氵) tâm trí vào ý nghĩ (意) = Chú ý.</t>
  </si>
  <si>
    <t>住院</t>
  </si>
  <si>
    <t>zhùyuàn</t>
  </si>
  <si>
    <t>Ở lại (住 - người 亻 đứng bên cây đèn 主) trong viện (院) = Nằm viện.</t>
  </si>
  <si>
    <t>子</t>
  </si>
  <si>
    <t>zi</t>
  </si>
  <si>
    <t>Hình đứa trẻ sơ sinh đang quấn tã vẫy tay.</t>
  </si>
  <si>
    <t>字典</t>
  </si>
  <si>
    <t>zìdiǎn</t>
  </si>
  <si>
    <t>Cuốn sách kinh điển (典) để tra các chữ (字 - đứa trẻ trong nhà).</t>
  </si>
  <si>
    <t>自行车</t>
  </si>
  <si>
    <t>zìxíngchē</t>
  </si>
  <si>
    <t>Chiếc xe (车) tự mình (自) đạp để đi (行) = Xe đạp.</t>
  </si>
  <si>
    <t>总</t>
  </si>
  <si>
    <t>zǒng</t>
  </si>
  <si>
    <t>副、（动、形）</t>
  </si>
  <si>
    <t>Trái tim (心) luôn bao quát hết các miệng ăn phía trên = Tổng cộng/Luôn luôn.</t>
  </si>
  <si>
    <t>总是</t>
  </si>
  <si>
    <t>zǒngshì</t>
  </si>
  <si>
    <t>Luôn luôn (总) là (是).</t>
  </si>
  <si>
    <t>嘴</t>
  </si>
  <si>
    <t>zuǐ</t>
  </si>
  <si>
    <t>Cái miệng (口) ăn những hạt ngũ cốc ở góc (角) bụi cây (此) = Cái miệng.</t>
  </si>
  <si>
    <t>最好</t>
  </si>
  <si>
    <t>zuìhǎo</t>
  </si>
  <si>
    <t>tốt nhất</t>
  </si>
  <si>
    <t>Tốt (好) nhất (最 - mặt trời 日 trên tay che mắt).</t>
  </si>
  <si>
    <t>最后</t>
  </si>
  <si>
    <t>zuìhòu</t>
  </si>
  <si>
    <t>Phía sau (后) cùng (最) = Cuối cùng.</t>
  </si>
  <si>
    <t>最近</t>
  </si>
  <si>
    <t>zuìjìn</t>
  </si>
  <si>
    <t>Gần (近) nhất (最) = Dạo gần đây.</t>
  </si>
  <si>
    <t>做客</t>
  </si>
  <si>
    <t>zuòkè</t>
  </si>
  <si>
    <t>làm khách</t>
  </si>
  <si>
    <t>Người (亻) làm việc (故) để làm khách (客) = Làm khách.</t>
  </si>
  <si>
    <t>作业</t>
  </si>
  <si>
    <t>zuòyè</t>
  </si>
  <si>
    <t>bài tập về nhà</t>
  </si>
  <si>
    <t>Làm (做) các công việc/nghiệp vụ (业) = Bài tập về nhà.</t>
  </si>
  <si>
    <t xml:space="preserve">Ôn tập từ vựng </t>
  </si>
  <si>
    <t>1-1000 sheet HSK1,2,3</t>
  </si>
  <si>
    <t>ā</t>
  </si>
  <si>
    <t>Dùng miệng (口) thốt lên khi thấy bước chân của ai đó ở phía sau (阿) = A/Chà.</t>
  </si>
  <si>
    <t>爱情</t>
  </si>
  <si>
    <t>àiqíng</t>
  </si>
  <si>
    <t>tình yêu</t>
  </si>
  <si>
    <t>Yêu (爱) bằng cả trái tim (心) và tình cảm (情) chân thành.</t>
  </si>
  <si>
    <t>爱心</t>
  </si>
  <si>
    <t>àixīn</t>
  </si>
  <si>
    <t>lòng tốt</t>
  </si>
  <si>
    <t>Một trái tim (心) tràn đầy tình yêu thương (爱).</t>
  </si>
  <si>
    <t>按</t>
  </si>
  <si>
    <t>àn</t>
  </si>
  <si>
    <t>ấn/bấm</t>
  </si>
  <si>
    <t>Dùng tay (扌) đè lên một người phụ nữ trong nhà (安) = Ấn/Bấm.</t>
  </si>
  <si>
    <t>安检</t>
  </si>
  <si>
    <t>ānjiǎn</t>
  </si>
  <si>
    <t>Kiểm tra (检) độ An toàn (安) = Kiểm tra an ninh.</t>
  </si>
  <si>
    <t>安排</t>
  </si>
  <si>
    <t>ānpái</t>
  </si>
  <si>
    <t>Đặt để yên ổn (安) và xếp hàng (排 - dùng tay 扌 xếp người phi ⾮) = Sắp xếp.</t>
  </si>
  <si>
    <t>按时</t>
  </si>
  <si>
    <t>ànshí</t>
  </si>
  <si>
    <t>Theo đúng (按) thời gian (时) = Đúng giờ.</t>
  </si>
  <si>
    <t>按照</t>
  </si>
  <si>
    <t>ànzhào</t>
  </si>
  <si>
    <t>Dựa theo (按) ánh sáng soi chiếu (照) = Dựa theo/Căn cứ vào.</t>
  </si>
  <si>
    <t>白酒</t>
  </si>
  <si>
    <t>báijiǔ</t>
  </si>
  <si>
    <t>Loại rượu (酒) có màu trắng (白) trong suốt = Rượu trắng/Rượu mạnh.</t>
  </si>
  <si>
    <t>棒</t>
  </si>
  <si>
    <t>bàng</t>
  </si>
  <si>
    <t>形、（名）</t>
  </si>
  <si>
    <t>Cái gậy gỗ (木) biểu tượng cho sự giỏi giang, Tuyệt vời.</t>
  </si>
  <si>
    <t>办公</t>
  </si>
  <si>
    <t>bàngōng</t>
  </si>
  <si>
    <t>Làm việc (办) vì lợi ích chung/công cộng (公) = Làm việc công sở.</t>
  </si>
  <si>
    <t>办理</t>
  </si>
  <si>
    <t>bànlǐ</t>
  </si>
  <si>
    <t>Dùng sức lực (办) để xử lý viên ngọc quý (理) = Giải quyết/Làm thủ tục.</t>
  </si>
  <si>
    <t>办事</t>
  </si>
  <si>
    <t>bànshì</t>
  </si>
  <si>
    <t>Làm (办) công việc (事).</t>
  </si>
  <si>
    <t>抱</t>
  </si>
  <si>
    <t>bào</t>
  </si>
  <si>
    <t>Dùng tay (扌) bao bọc (包) lấy người khác = Ôm.</t>
  </si>
  <si>
    <t>保护</t>
  </si>
  <si>
    <t>bǎohù</t>
  </si>
  <si>
    <t>Người (亻) đứng canh giữ (保) và dùng tay (扌) che chở (护) = Bảo vệ.</t>
  </si>
  <si>
    <t>报考</t>
  </si>
  <si>
    <t>bàokǎo</t>
  </si>
  <si>
    <t>Đăng ký dự thi.</t>
  </si>
  <si>
    <t>Báo danh (报) để đi thi (考) = Đăng ký dự thi.</t>
  </si>
  <si>
    <t>报名</t>
  </si>
  <si>
    <t>bàomíng</t>
  </si>
  <si>
    <t>Ghi tên (名) vào báo cáo (报) = Đăng ký.</t>
  </si>
  <si>
    <t>抱歉</t>
  </si>
  <si>
    <t>bàoqiàn</t>
  </si>
  <si>
    <t>xin lỗi/rất tiếc</t>
  </si>
  <si>
    <t>Ôm (抱) nỗi thiếu sót trong lòng (欠 - bộ Khiếm) = Xin lỗi.</t>
  </si>
  <si>
    <t>保证</t>
  </si>
  <si>
    <t>bǎozhèng</t>
  </si>
  <si>
    <t>Người giữ chữ tín (保) dùng lời nói (讠) để xác nhận (证) = Bảo đảm.</t>
  </si>
  <si>
    <t>倍</t>
  </si>
  <si>
    <t>Người (亻) đứng cạnh miệng (口) lập (立) lại nhiều lần = Gấp bội/Lần.</t>
  </si>
  <si>
    <t>背</t>
  </si>
  <si>
    <t>bēi</t>
  </si>
  <si>
    <t>Bộ phận cơ thể (月) nằm ở dưới hướng Bắc (北) = Cái lưng/Cõng.</t>
  </si>
  <si>
    <t>背包</t>
  </si>
  <si>
    <t>bēibāo</t>
  </si>
  <si>
    <t>Cái túi (包) dùng để cõng (背) trên lưng.</t>
  </si>
  <si>
    <t>北部</t>
  </si>
  <si>
    <t>běibù</t>
  </si>
  <si>
    <t>Bộ phận (部) phía Bắc (北).</t>
  </si>
  <si>
    <t>笨</t>
  </si>
  <si>
    <t>bèn</t>
  </si>
  <si>
    <t>Người mà đầu óc cứng như tre (竹) và thụ động như gốc cây (本) = Ngốc.</t>
  </si>
  <si>
    <t>本科</t>
  </si>
  <si>
    <t>běnkē</t>
  </si>
  <si>
    <t>hệ đại học</t>
  </si>
  <si>
    <t>Khoa học (科) cơ bản/gốc rễ (本) = Hệ đại học chính quy.</t>
  </si>
  <si>
    <t>本来</t>
  </si>
  <si>
    <t>běnlái</t>
  </si>
  <si>
    <t>vốn dĩ</t>
  </si>
  <si>
    <t>Cái vốn có từ gốc rễ (本) tìm đến (来) = Vốn dĩ.</t>
  </si>
  <si>
    <t>便于</t>
  </si>
  <si>
    <t>biànyú</t>
  </si>
  <si>
    <t>Thuận tiện cho / tiện để</t>
  </si>
  <si>
    <t>Thuận tiện (便) cho (于) một việc gì đó.</t>
  </si>
  <si>
    <t>表</t>
  </si>
  <si>
    <t>biǎo</t>
  </si>
  <si>
    <t>Đồng hồ/Bảng biểu</t>
  </si>
  <si>
    <t>Hình ảnh bộ quần áo lông thú khoác bên ngoài: Đồng hồ/Bảng biểu/Bên ngoài.</t>
  </si>
  <si>
    <t>表格</t>
  </si>
  <si>
    <t>biǎogé</t>
  </si>
  <si>
    <t>Bảng / biểu mẫu / form</t>
  </si>
  <si>
    <t>Cái bảng (表) được chia thành từng ô khung gỗ (格 - bộ Mộc 木).</t>
  </si>
  <si>
    <t>表示</t>
  </si>
  <si>
    <t>biǎoshì</t>
  </si>
  <si>
    <t>Thể hiện ra bên ngoài (表) cho thấy rõ (示 - bộ Thị) = Bày tỏ.</t>
  </si>
  <si>
    <t>表现</t>
  </si>
  <si>
    <t>biǎoxiàn</t>
  </si>
  <si>
    <t>biểu hiện</t>
  </si>
  <si>
    <t>Thể hiện ra (表) và hiện lên (现) trước mắt = Biểu hiện.</t>
  </si>
  <si>
    <t>表扬</t>
  </si>
  <si>
    <t>biǎoyáng</t>
  </si>
  <si>
    <t>khen ngợi/biểu dương</t>
  </si>
  <si>
    <t>Đưa ra ngoài (表) và dùng tay (扌) nhấc bổng lên (扬) = Khen ngợi.</t>
  </si>
  <si>
    <t>标准</t>
  </si>
  <si>
    <t>biāozhǔn</t>
  </si>
  <si>
    <t>名、形</t>
  </si>
  <si>
    <t>Cái cây (木) đánh dấu và mặt nước phẳng lặng (准) = Tiêu chuẩn.</t>
  </si>
  <si>
    <t>并</t>
  </si>
  <si>
    <t>动、副、连</t>
  </si>
  <si>
    <t>Hai người đứng ngang hàng và được liên kết lại = Và/Đồng thời.</t>
  </si>
  <si>
    <t>饼干</t>
  </si>
  <si>
    <t>bǐnggān</t>
  </si>
  <si>
    <t>Bánh làm từ bột mì (饼 - bộ Thực 饣) và sấy khô (干) = Bánh quy.</t>
  </si>
  <si>
    <t>并且</t>
  </si>
  <si>
    <t>bìngqiě</t>
  </si>
  <si>
    <t>Và (并) còn hơn thế nữa (且) = Hơn nữa/Và.</t>
  </si>
  <si>
    <t>笔试</t>
  </si>
  <si>
    <t>bǐshì</t>
  </si>
  <si>
    <t>Thi (试) bằng bút (笔) = Thi viết.</t>
  </si>
  <si>
    <t>毕业</t>
  </si>
  <si>
    <t>bìyè</t>
  </si>
  <si>
    <t>Hoàn thành (毕) sự nghiệp học hành (业) = Tốt nghiệp.</t>
  </si>
  <si>
    <t>毕业生</t>
  </si>
  <si>
    <t>bìyèshēng</t>
  </si>
  <si>
    <t>sinh viên tốt nghiệp</t>
  </si>
  <si>
    <t>Học sinh (生) vừa tốt nghiệp (毕业).</t>
  </si>
  <si>
    <t>鼻子</t>
  </si>
  <si>
    <t>bízi</t>
  </si>
  <si>
    <t>Tự mình (自) cảm nhận được cánh đồng lúa (田) dưới mặt đất (丌) = Cái mũi.</t>
  </si>
  <si>
    <t>播放</t>
  </si>
  <si>
    <t>bōfàng</t>
  </si>
  <si>
    <t>Phát / phát sóng</t>
  </si>
  <si>
    <t>Dùng tay (扌) rải hạt giống và thả ra (放) = Phát sóng/Chạy (nhạc).</t>
  </si>
  <si>
    <t>博士</t>
  </si>
  <si>
    <t>bóshì</t>
  </si>
  <si>
    <t>Người trí thức (士) học rộng biết nhiều (博 - bộ Thập 十 chỉ sự toàn diện).</t>
  </si>
  <si>
    <t>步</t>
  </si>
  <si>
    <t>Bước chân: Bên trên là bàn chân, bên dưới là bàn chân khác bước tiếp.</t>
  </si>
  <si>
    <t>部</t>
  </si>
  <si>
    <t>bộ phận</t>
  </si>
  <si>
    <t>Đứng (立) ở gò đất (阝) phân chia ranh giới = Bộ phận/Bộ (phim).</t>
  </si>
  <si>
    <t>不必</t>
  </si>
  <si>
    <t>búbì</t>
  </si>
  <si>
    <t>Không (不) nhất thiết/tất yếu (必).</t>
  </si>
  <si>
    <t>不便</t>
  </si>
  <si>
    <t>búbiàn</t>
  </si>
  <si>
    <t>Không (不) thuận tiện (便).</t>
  </si>
  <si>
    <t>不得不</t>
  </si>
  <si>
    <t>bùdébù</t>
  </si>
  <si>
    <t>buộc phải</t>
  </si>
  <si>
    <t>Không thể không (phải làm) = Buộc phải.</t>
  </si>
  <si>
    <t>不断</t>
  </si>
  <si>
    <t>búduàn</t>
  </si>
  <si>
    <t>Không (不) dùng rìu (斤) chặt đứt sợi tơ (断) = Liên tục.</t>
  </si>
  <si>
    <t>部分</t>
  </si>
  <si>
    <t>bùfen</t>
  </si>
  <si>
    <t>Bộ phận (部) được phân chia (分) ra.</t>
  </si>
  <si>
    <t>不够</t>
  </si>
  <si>
    <t>búgòu</t>
  </si>
  <si>
    <t>Không (不) đủ (够 - nhiều 多 miệng 口 nói mới đủ).</t>
  </si>
  <si>
    <t>不管</t>
  </si>
  <si>
    <t>bùguǎn</t>
  </si>
  <si>
    <t>bất kể</t>
  </si>
  <si>
    <t>Không (不) quản lý/quan tâm (管 - ống tre 竹 và quan lại 官) = Bất kể.</t>
  </si>
  <si>
    <t>不光</t>
  </si>
  <si>
    <t>bùguāng</t>
  </si>
  <si>
    <t>Không (不) chỉ dưới ánh sáng (光) này = Không chỉ.</t>
  </si>
  <si>
    <t>不过</t>
  </si>
  <si>
    <t>búguò</t>
  </si>
  <si>
    <t>Không (不) thể bước qua (过) được = Nhưng/Chỉ là.</t>
  </si>
  <si>
    <t>不仅</t>
  </si>
  <si>
    <t>bùjǐn</t>
  </si>
  <si>
    <t>Không (不) chỉ đứng ở mức con người (亻) này (仅) = Không những.</t>
  </si>
  <si>
    <t>不论</t>
  </si>
  <si>
    <t>búlùn</t>
  </si>
  <si>
    <t>bất luận</t>
  </si>
  <si>
    <t>Không (不) dùng lời nói (讠) bàn luận (论) thêm = Bất luận.</t>
  </si>
  <si>
    <t>不满</t>
  </si>
  <si>
    <t>bùmǎn</t>
  </si>
  <si>
    <t>bất mãn</t>
  </si>
  <si>
    <t>Nước không (不) đầy (满) = Bất mãn/Không hài lòng.</t>
  </si>
  <si>
    <t>部门</t>
  </si>
  <si>
    <t>bùmén</t>
  </si>
  <si>
    <t>Bộ phận/Phòng ban.</t>
  </si>
  <si>
    <t>Cái cửa (门) dẫn vào một bộ phận (部) = Bộ phận/Phòng ban.</t>
  </si>
  <si>
    <t>不如</t>
  </si>
  <si>
    <t>bùrú</t>
  </si>
  <si>
    <t>chi bằng</t>
  </si>
  <si>
    <t>Không (不) bằng (如 - phụ nữ 女 nói lời 口 nhẹ nhàng).</t>
  </si>
  <si>
    <t>擦</t>
  </si>
  <si>
    <t>cā</t>
  </si>
  <si>
    <t>Dùng tay (扌) cầm vật làm bằng gỗ (察) để Lau/Chùi.</t>
  </si>
  <si>
    <t>猜</t>
  </si>
  <si>
    <t>cāi</t>
  </si>
  <si>
    <t>Con chó (犭) đang đuổi theo con lúa xanh (青) để Đoán.</t>
  </si>
  <si>
    <t>材料</t>
  </si>
  <si>
    <t>cáiliào</t>
  </si>
  <si>
    <t>tài liệu</t>
  </si>
  <si>
    <t>Cây gỗ (木) dùng làm tài sản (材) và nguyên liệu (料) = Tài liệu.</t>
  </si>
  <si>
    <t>参观</t>
  </si>
  <si>
    <t>cānguān</t>
  </si>
  <si>
    <t>tham quan</t>
  </si>
  <si>
    <t>Tham gia (参) và nhìn thấy (观 - chữ Hựu 又 và Kiến 见) = Tham quan.</t>
  </si>
  <si>
    <t>参</t>
  </si>
  <si>
    <t>cān</t>
  </si>
  <si>
    <t>Tham gia.</t>
  </si>
  <si>
    <t>Ba ngôi sao phía trên người đang tham dự. Tham gia.</t>
  </si>
  <si>
    <t>餐厅</t>
  </si>
  <si>
    <t>cāntīng</t>
  </si>
  <si>
    <t>Cái sân (廷) dưới mái nhà (广) để ăn cơm (餐) = Nhà hàng.</t>
  </si>
  <si>
    <t>操场</t>
  </si>
  <si>
    <t>cāochǎng</t>
  </si>
  <si>
    <t>sân vận động</t>
  </si>
  <si>
    <t>Dùng tay (扌) vận động trên bãi đất (场) rộng lớn = Sân tập.</t>
  </si>
  <si>
    <t>厕所</t>
  </si>
  <si>
    <t>cèsuǒ</t>
  </si>
  <si>
    <t>Nơi (所) nằm bên cạnh (侧) bức tường nhà = Nhà vệ sinh.</t>
  </si>
  <si>
    <t>查看</t>
  </si>
  <si>
    <t>chákàn</t>
  </si>
  <si>
    <t>tra xét</t>
  </si>
  <si>
    <t>Soi xét cái cây (木) dưới ánh mặt trời (旦) và dùng mắt nhìn (看) = Tra xét.</t>
  </si>
  <si>
    <t>厂</t>
  </si>
  <si>
    <t>chǎng</t>
  </si>
  <si>
    <t>Hình ảnh vách núi hoặc mái che của một công xưởng = Nhà máy.</t>
  </si>
  <si>
    <t>场</t>
  </si>
  <si>
    <t>sân/bãi</t>
  </si>
  <si>
    <t>Bãi đất (土) bằng phẳng để tụ họp = Sân/Bãi.</t>
  </si>
  <si>
    <t>产生</t>
  </si>
  <si>
    <t>chǎnshēng</t>
  </si>
  <si>
    <t>sản sinh</t>
  </si>
  <si>
    <t>Sản xuất (产) và nảy sinh (生) ra cái mới = Nảy sinh.</t>
  </si>
  <si>
    <t>超过</t>
  </si>
  <si>
    <t>chāoguò</t>
  </si>
  <si>
    <t>vượt qua</t>
  </si>
  <si>
    <t>Chạy (走) gọi (召) nhau vượt qua (过) = Vượt quá.</t>
  </si>
  <si>
    <t>茶叶</t>
  </si>
  <si>
    <t>cháyè</t>
  </si>
  <si>
    <t>lá trà</t>
  </si>
  <si>
    <t>Cây cỏ (艹) mọc trên cây (木) lấy lá (叶) = Lá trà.</t>
  </si>
  <si>
    <t>差（一）点儿</t>
  </si>
  <si>
    <t>chà(yì)diǎnr</t>
  </si>
  <si>
    <t>suýt nữa</t>
  </si>
  <si>
    <t>Sai lệch (差) một chút (点) = Suýt nữa.</t>
  </si>
  <si>
    <t>查找</t>
  </si>
  <si>
    <t>cházhǎo</t>
  </si>
  <si>
    <t>Kiểm tra (查) và tìm kiếm (找 - dùng tay 扌 và binh khí 戈) = Tìm kiếm.</t>
  </si>
  <si>
    <t>城</t>
  </si>
  <si>
    <t>chéng</t>
  </si>
  <si>
    <t>Dùng đất (土) đắp thành bức tường hoàn thiện (成) = Thành phố.</t>
  </si>
  <si>
    <t>乘</t>
  </si>
  <si>
    <t>đi/lên xe</t>
  </si>
  <si>
    <t>Một người đứng trên cây gỗ để leo lên. Lên xe/Nhân (toán học).</t>
  </si>
  <si>
    <t>成功</t>
  </si>
  <si>
    <t>chénggōng</t>
  </si>
  <si>
    <t>Hoàn thành (成) bằng công sức (工) và lực lượng (力) = Thành công.</t>
  </si>
  <si>
    <t>乘客</t>
  </si>
  <si>
    <t>chéngkè</t>
  </si>
  <si>
    <t>Người khách (客) đang lên xe (乘) = Hành khách.</t>
  </si>
  <si>
    <t>诚实</t>
  </si>
  <si>
    <t>chéngshí</t>
  </si>
  <si>
    <t>Lời nói (讠) thành khẩn (成) và thực lòng (实) = Thành thật.</t>
  </si>
  <si>
    <t>成为</t>
  </si>
  <si>
    <t>chéngwéi</t>
  </si>
  <si>
    <t>Hoàn thành (成) và biến thành (为) = Trở thành.</t>
  </si>
  <si>
    <t>乘坐</t>
  </si>
  <si>
    <t>chéngzuò</t>
  </si>
  <si>
    <t>Đi / sử dụng (phương tiện giao thông)</t>
  </si>
  <si>
    <t>Lên xe (乘) và ngồi xuống (坐) = Đi (xe, máy bay).</t>
  </si>
  <si>
    <t>车速</t>
  </si>
  <si>
    <t>chēsù</t>
  </si>
  <si>
    <t>Tốc độ (速 - bước đi 辶 nhanh) của xe (车).</t>
  </si>
  <si>
    <t>车位</t>
  </si>
  <si>
    <t>chēwèi</t>
  </si>
  <si>
    <t>Vị trí (位) để xe (车).</t>
  </si>
  <si>
    <t>迟</t>
  </si>
  <si>
    <t>chí</t>
  </si>
  <si>
    <t>Bước đi (辶) chậm chạp như con rùa = Muộn.</t>
  </si>
  <si>
    <t>吃惊</t>
  </si>
  <si>
    <t>chījīng</t>
  </si>
  <si>
    <t>giật mình</t>
  </si>
  <si>
    <t>Cái miệng (口) há hốc vì kinh ngạc (惊 - tim 忄 đập mạnh) = Giật mình.</t>
  </si>
  <si>
    <t>重</t>
  </si>
  <si>
    <t>chóng</t>
  </si>
  <si>
    <t>lại / lặp lại</t>
  </si>
  <si>
    <t>Nhiều người đứng trên đất rất nặng (Nặng/Lại lần nữa).</t>
  </si>
  <si>
    <t>重新</t>
  </si>
  <si>
    <t>chóngxīn</t>
  </si>
  <si>
    <t>Làm lại / lại một lần nữa / bắt đầu lại</t>
  </si>
  <si>
    <t>Làm lại (重) cho mới (新) = Làm lại.</t>
  </si>
  <si>
    <t>窗</t>
  </si>
  <si>
    <t>chuāng</t>
  </si>
  <si>
    <t>Cái lỗ (穴) trên mái nhà để nhìn ra ngoài = Cửa sổ.</t>
  </si>
  <si>
    <t>窗户</t>
  </si>
  <si>
    <t>chuānghu</t>
  </si>
  <si>
    <t>Cửa sổ (窗) của mỗi hộ gia đình (户).</t>
  </si>
  <si>
    <t>出差</t>
  </si>
  <si>
    <t>chūchāi</t>
  </si>
  <si>
    <t>đi công tác</t>
  </si>
  <si>
    <t>Đi ra ngoài (出) làm việc sai phái (差) = Đi công tác.</t>
  </si>
  <si>
    <t>厨房</t>
  </si>
  <si>
    <t>chúfáng</t>
  </si>
  <si>
    <t>Căn phòng (房) có người làm đầu bếp (厨) = Nhà bếp.</t>
  </si>
  <si>
    <t>吹</t>
  </si>
  <si>
    <t>chuī</t>
  </si>
  <si>
    <t>Dùng miệng (口) ngáp (欠) để tạo ra gió = Thổi.</t>
  </si>
  <si>
    <t>出口</t>
  </si>
  <si>
    <t>chūkǒu</t>
  </si>
  <si>
    <t>Lối thoát</t>
  </si>
  <si>
    <t>Lối đi ra (出) ở miệng cổng (口) = Lối thoát/Xuất khẩu.</t>
  </si>
  <si>
    <t>厨师</t>
  </si>
  <si>
    <t>chúshī</t>
  </si>
  <si>
    <t>Người thầy (师) trong nhà bếp (厨) = Đầu bếp.</t>
  </si>
  <si>
    <t>出现</t>
  </si>
  <si>
    <t>chūxiàn</t>
  </si>
  <si>
    <t>Đi ra (出) và hiện ra (现) trước mắt = Xuất hiện.</t>
  </si>
  <si>
    <t>出行</t>
  </si>
  <si>
    <t>chūxíng</t>
  </si>
  <si>
    <t>xuất hành</t>
  </si>
  <si>
    <t>Đi ra ngoài (出) và di chuyển (行) = Đi lại/Di chuyển.</t>
  </si>
  <si>
    <t>出租</t>
  </si>
  <si>
    <t>chūzū</t>
  </si>
  <si>
    <t>Mang đồ ra (出) để lấy tiền lúa (租 - bộ Hòa 禾) = Cho thuê.</t>
  </si>
  <si>
    <t>此</t>
  </si>
  <si>
    <t>cǐ</t>
  </si>
  <si>
    <t>này / điều này / việc này</t>
  </si>
  <si>
    <t>Một người dừng lại (止) ở chỗ Này.</t>
  </si>
  <si>
    <t>此次</t>
  </si>
  <si>
    <t>cǐ cì</t>
  </si>
  <si>
    <t>Lần (次) này (此).</t>
  </si>
  <si>
    <t>此外</t>
  </si>
  <si>
    <t>cǐwài</t>
  </si>
  <si>
    <t>Ngoài (外) cái này (此) ra = Ngoài ra.</t>
  </si>
  <si>
    <t>词语</t>
  </si>
  <si>
    <t>cíyǔ</t>
  </si>
  <si>
    <t>Lời nói (讠) có vần điệu và ngôn ngữ (语) = Từ ngữ.</t>
  </si>
  <si>
    <t>从此</t>
  </si>
  <si>
    <t>cóngcǐ</t>
  </si>
  <si>
    <t>Đi từ (从) chỗ này (此) = Từ đó trở đi.</t>
  </si>
  <si>
    <t>从来</t>
  </si>
  <si>
    <t>cónglái</t>
  </si>
  <si>
    <t>Đi từ (从) trước tới giờ (来) = Từ trước đến nay.</t>
  </si>
  <si>
    <t>从中</t>
  </si>
  <si>
    <t>cóngzhōng</t>
  </si>
  <si>
    <t>từ đó/trong đó</t>
  </si>
  <si>
    <t>Đi từ (从) bên trong (中) ra = Từ đó/Trong đó.</t>
  </si>
  <si>
    <t>粗</t>
  </si>
  <si>
    <t>cū</t>
  </si>
  <si>
    <t>thô/to</t>
  </si>
  <si>
    <t>Hạt gạo (米) to như cái mông con thỏ (且 - tượng hình) là loại Thô/To.</t>
  </si>
  <si>
    <t>存</t>
  </si>
  <si>
    <t>cún</t>
  </si>
  <si>
    <t>tồn tại</t>
  </si>
  <si>
    <t>Đứa trẻ (子) đứng trên mặt đất có một nét gạch che chở = Tồn tại/Gửi (tiền).</t>
  </si>
  <si>
    <t>村</t>
  </si>
  <si>
    <t>cūn</t>
  </si>
  <si>
    <t>ngôi làng</t>
  </si>
  <si>
    <t>Những cái cây (木) mọc ở một đơn vị đất (寸) nhỏ = Ngôi làng.</t>
  </si>
  <si>
    <t>错过</t>
  </si>
  <si>
    <t>cuòguò</t>
  </si>
  <si>
    <t>bõ lỡ</t>
  </si>
  <si>
    <t>Dùng vàng (钅) làm sai (错) để bước qua (过) mất = Bỏ lỡ.</t>
  </si>
  <si>
    <t>错误</t>
  </si>
  <si>
    <t>cuòwù</t>
  </si>
  <si>
    <t>Cái sai (错) về sự vật (物) = Sai lầm/Lỗi.</t>
  </si>
  <si>
    <t>粗心</t>
  </si>
  <si>
    <t>cūxīn</t>
  </si>
  <si>
    <t>Trái tim (心) thô kệch (粗), không tinh tế = Cẩu thả/Vô ý.</t>
  </si>
  <si>
    <t>答</t>
  </si>
  <si>
    <t>dá</t>
  </si>
  <si>
    <t>Dưới bụi tre (竹) dùng miệng để hợp (合) ý nhau = Đáp/Trả lời.</t>
  </si>
  <si>
    <t>打招呼</t>
  </si>
  <si>
    <t>dǎ zhāohu</t>
  </si>
  <si>
    <t>Dùng tay (打) gọi (招) và hô hoán (呼) = Chào hỏi.</t>
  </si>
  <si>
    <t>答案</t>
  </si>
  <si>
    <t>dá'àn</t>
  </si>
  <si>
    <t>đáp án</t>
  </si>
  <si>
    <t>Câu trả lời (答) được đặt lên bàn gỗ (案 - bộ Mộc 木) = Đáp án.</t>
  </si>
  <si>
    <t>大巴</t>
  </si>
  <si>
    <t>dàbā</t>
  </si>
  <si>
    <t>Chiếc xe to (大) như cái xe bus (巴 - phiên âm) = Xe khách lớn.</t>
  </si>
  <si>
    <t>打败</t>
  </si>
  <si>
    <t>dǎbài</t>
  </si>
  <si>
    <t>Dùng tay (打) làm cho tiền bạc văng tung tóe (败 - chữ Bối 贝) = Đánh bại.</t>
  </si>
  <si>
    <t>大大</t>
  </si>
  <si>
    <t>dàdà</t>
  </si>
  <si>
    <t>Lớn một cách đáng kể.</t>
  </si>
  <si>
    <t>达到</t>
  </si>
  <si>
    <t>dádào</t>
  </si>
  <si>
    <t>Bước đi (辶) để chạm đến (到) mục tiêu = Đạt đến.</t>
  </si>
  <si>
    <t>打工</t>
  </si>
  <si>
    <t>dǎgōng</t>
  </si>
  <si>
    <t>Dùng tay chân (打) để làm công việc (工) chân tay = Làm thuê.</t>
  </si>
  <si>
    <t>戴</t>
  </si>
  <si>
    <t>đeo/mặc</t>
  </si>
  <si>
    <t>Dùng tay gắn vật lên người, có bộ Tráp (戈 - binh khí) chỉ sự trang bị = Đeo/Mặc.</t>
  </si>
  <si>
    <t>待</t>
  </si>
  <si>
    <t>dāi</t>
  </si>
  <si>
    <t>đợi/chờ</t>
  </si>
  <si>
    <t>Bước chân (彳) dừng lại ở ngôi chùa (寺) để Đợi/Chờ.</t>
  </si>
  <si>
    <t>大夫</t>
  </si>
  <si>
    <t>dàifu</t>
  </si>
  <si>
    <t>Người đàn ông (夫) to lớn (大) nắm giữ sự sống = Bác sĩ (Hán cổ).</t>
  </si>
  <si>
    <t>袋子</t>
  </si>
  <si>
    <t>dàizi</t>
  </si>
  <si>
    <t>Thay đổi (代) quần áo (衣) thành cái Túi.</t>
  </si>
  <si>
    <t>大量</t>
  </si>
  <si>
    <t>dàliàng</t>
  </si>
  <si>
    <t>Số lượng (量) to lớn (大).</t>
  </si>
  <si>
    <t>当</t>
  </si>
  <si>
    <t>dāng</t>
  </si>
  <si>
    <t>Một người đứng dưới mái nhà vào Lúc/Khi.</t>
  </si>
  <si>
    <t>当时</t>
  </si>
  <si>
    <t>dāngshí</t>
  </si>
  <si>
    <t>khi đó</t>
  </si>
  <si>
    <t>Ngay tại thời điểm (时) đó (当).</t>
  </si>
  <si>
    <t>单位</t>
  </si>
  <si>
    <t>dānwèi</t>
  </si>
  <si>
    <t>Vị trí (位) của một danh sách (单) = Đơn vị/Cơ quan.</t>
  </si>
  <si>
    <t>倒</t>
  </si>
  <si>
    <t>Một người (亻) đi đến (到) rồi bị Ngã/Đảo ngược.</t>
  </si>
  <si>
    <t>道</t>
  </si>
  <si>
    <t>Bước chân (辶) của người đứng đầu (首) đi trên con Đường.</t>
  </si>
  <si>
    <t>刀</t>
  </si>
  <si>
    <t>dāo</t>
  </si>
  <si>
    <t>Chữ tượng hình: Hình một con dao sắc lẹm.</t>
  </si>
  <si>
    <t>到底</t>
  </si>
  <si>
    <t>dàodǐ</t>
  </si>
  <si>
    <t>Đi đến (到) tận đáy (底) = Đến cùng/Rốt cuộc.</t>
  </si>
  <si>
    <t>到来</t>
  </si>
  <si>
    <t>dàolái</t>
  </si>
  <si>
    <t>đến/tới</t>
  </si>
  <si>
    <t>Tìm đến (到) và hiện diện (来).</t>
  </si>
  <si>
    <t>道路</t>
  </si>
  <si>
    <t>dàolù</t>
  </si>
  <si>
    <t>Con đường, đường xá</t>
  </si>
  <si>
    <t>Đạo (道) và Lộ (路) đều là Con đường.</t>
  </si>
  <si>
    <t>道歉</t>
  </si>
  <si>
    <t>dàoqiàn</t>
  </si>
  <si>
    <t>Nói lời (讠) thừa nhận lỗi và cảm thấy thiếu sót (欠) = Xin lỗi.</t>
  </si>
  <si>
    <t>导游</t>
  </si>
  <si>
    <t>dǎoyóu</t>
  </si>
  <si>
    <t>Người dẫn đường (导 - bộ Thốn 寸 chỉ sự dẫn dắt) đi du lịch (游).</t>
  </si>
  <si>
    <t>打扰</t>
  </si>
  <si>
    <t>dǎrǎo</t>
  </si>
  <si>
    <t>Dùng tay (打) làm rối loạn (扰) người khác = Làm phiền.</t>
  </si>
  <si>
    <t>dàsài</t>
  </si>
  <si>
    <t>Hình người dang tay chân rộng hết cỡ: To/Lớn.</t>
  </si>
  <si>
    <t>大厅</t>
  </si>
  <si>
    <t>dàtīng</t>
  </si>
  <si>
    <t>đại sảnh</t>
  </si>
  <si>
    <t>Cái sân (廷) rộng to (大) dưới mái nhà (广) = Đại sảnh.</t>
  </si>
  <si>
    <t>打印</t>
  </si>
  <si>
    <t>dǎyìn</t>
  </si>
  <si>
    <t>Dùng tay (打) để ấn dấu (印) lên giấy = In ấn.</t>
  </si>
  <si>
    <t>答应</t>
  </si>
  <si>
    <t>dāying</t>
  </si>
  <si>
    <t>Đáp lại (答) lời ứng cứu (应) = Đồng ý/Hứa.</t>
  </si>
  <si>
    <t>打印机</t>
  </si>
  <si>
    <t>dǎyìnjī</t>
  </si>
  <si>
    <t>Cái máy (机) dùng để In ấn (打印).</t>
  </si>
  <si>
    <t>大约</t>
  </si>
  <si>
    <t>dàyuē</t>
  </si>
  <si>
    <t>Một con số lớn (大) được buộc lại (约 - bộ Mịch 纟) = Khoảng chừng.</t>
  </si>
  <si>
    <t>打折</t>
  </si>
  <si>
    <t>dǎzhé</t>
  </si>
  <si>
    <t>Dùng tay (打) chặt gãy (折 - bộ Cân 斤 là cái rìu) giá tiền = Giảm giá.</t>
  </si>
  <si>
    <t>打针</t>
  </si>
  <si>
    <t>dǎzhēn</t>
  </si>
  <si>
    <t>Dùng tay (打) cầm cây kim kim loại (针 - bộ Kim 钅) = Tiêm thuốc.</t>
  </si>
  <si>
    <t>大自然</t>
  </si>
  <si>
    <t>dàzìrán</t>
  </si>
  <si>
    <t>Sự tự nhiên (自然) rộng lớn (大) = Thiên nhiên.</t>
  </si>
  <si>
    <t>助、（名、量）</t>
  </si>
  <si>
    <t>Dưới bụi tre (竹) các quan lại (寺) xếp hàng Đợi.</t>
  </si>
  <si>
    <t>等到</t>
  </si>
  <si>
    <t>děngdào</t>
  </si>
  <si>
    <t>Đợi (等) cho đến khi Đến (到).</t>
  </si>
  <si>
    <t>登机</t>
  </si>
  <si>
    <t>dēngjī</t>
  </si>
  <si>
    <t>lên máy bay</t>
  </si>
  <si>
    <t>Bước chân đạp lên (登) cái máy (机) = Lên máy bay.</t>
  </si>
  <si>
    <t>得意</t>
  </si>
  <si>
    <t>déyì</t>
  </si>
  <si>
    <t>đắc ý</t>
  </si>
  <si>
    <t>Đạt được (得) ý nguyện (意) nên Đắc ý/Tự mãn.</t>
  </si>
  <si>
    <t>底</t>
  </si>
  <si>
    <t>dǐ</t>
  </si>
  <si>
    <t>Dưới mái nhà (广) có người dân (氏) ở dưới Đáy/Cuối.</t>
  </si>
  <si>
    <t>低</t>
  </si>
  <si>
    <t>dī</t>
  </si>
  <si>
    <t>Một người (亻) cúi xuống nhìn xuống dưới (氐) = Thấp.</t>
  </si>
  <si>
    <t>电动车</t>
  </si>
  <si>
    <t>diàndòngchē</t>
  </si>
  <si>
    <t>Chiếc xe (车) vận động (动) bằng điện (电) = Xe điện.</t>
  </si>
  <si>
    <t>点名</t>
  </si>
  <si>
    <t>diǎnmíng</t>
  </si>
  <si>
    <t>Từng giọt (点) tên (名) được gọi ra = Điểm danh.</t>
  </si>
  <si>
    <t>电视剧</t>
  </si>
  <si>
    <t>diànshìjù</t>
  </si>
  <si>
    <t>Vở kịch (剧) xem trên màn hình (视) điện (电) = Phim truyền hình.</t>
  </si>
  <si>
    <t>点头</t>
  </si>
  <si>
    <t>diǎntóu</t>
  </si>
  <si>
    <t>Cái đầu (头) chấm (点) xuống một cái = Gật đầu.</t>
  </si>
  <si>
    <t>掉</t>
  </si>
  <si>
    <t>diào</t>
  </si>
  <si>
    <t>rơi</t>
  </si>
  <si>
    <t>Dùng tay (扌) làm rơi món đồ trên bàn cao (卓) = Rơi/Rớt.</t>
  </si>
  <si>
    <t>调查</t>
  </si>
  <si>
    <t>diàochá</t>
  </si>
  <si>
    <t>điều tra</t>
  </si>
  <si>
    <t>Dùng lời nói (讠) để điều động (周) và kiểm tra (查) = Điều tra.</t>
  </si>
  <si>
    <t>低价</t>
  </si>
  <si>
    <t>dījià</t>
  </si>
  <si>
    <t>Cái giá (价) thấp (低).</t>
  </si>
  <si>
    <t>订</t>
  </si>
  <si>
    <t>dìng</t>
  </si>
  <si>
    <t>Dùng lời nói (讠) để chốt lại vật đinh (丁) = Đặt trước (vé, phòng).</t>
  </si>
  <si>
    <t>定</t>
  </si>
  <si>
    <t>xác định</t>
  </si>
  <si>
    <t>Dưới mái nhà (宀) chân đứng vững (正) là sự Xác định/Cố định.</t>
  </si>
  <si>
    <t>地球</t>
  </si>
  <si>
    <t>dìqiú</t>
  </si>
  <si>
    <t>Quả bóng (球) làm bằng đất (地) = Trái Đất.</t>
  </si>
  <si>
    <t>低温</t>
  </si>
  <si>
    <t>dīwēn</t>
  </si>
  <si>
    <t>Nhiệt độ (温 - nước 氵 trong bát dưới nắng) thấp (低).</t>
  </si>
  <si>
    <t>底下</t>
  </si>
  <si>
    <t>dǐxia</t>
  </si>
  <si>
    <t>phía dưới, bên dưới, ở dưới</t>
  </si>
  <si>
    <t>Ở phía dưới (下) đáy (底).</t>
  </si>
  <si>
    <t>低于</t>
  </si>
  <si>
    <t>dīyú</t>
  </si>
  <si>
    <t>thấp hơn, dưới mức</t>
  </si>
  <si>
    <t>Thấp (低) hơn so với (于).</t>
  </si>
  <si>
    <t>地址</t>
  </si>
  <si>
    <t>dìzhǐ</t>
  </si>
  <si>
    <t>Nơi đất (地) dừng chân (止) chính là Địa chỉ.</t>
  </si>
  <si>
    <t>东部</t>
  </si>
  <si>
    <t>dōngbù</t>
  </si>
  <si>
    <t>Bộ phận (部) phía Đông (东).</t>
  </si>
  <si>
    <t>动车</t>
  </si>
  <si>
    <t>dòngchē</t>
  </si>
  <si>
    <t>Xe (车) có động lực (动) mạnh = Tàu điện động lực cao.</t>
  </si>
  <si>
    <t>动作</t>
  </si>
  <si>
    <t>dòngzuò</t>
  </si>
  <si>
    <t>động tác</t>
  </si>
  <si>
    <t>Làm (作) các cử động (动) = Động tác.</t>
  </si>
  <si>
    <t>短信</t>
  </si>
  <si>
    <t>duǎnxìn</t>
  </si>
  <si>
    <t>Bức thư (信) ngắn (短) = Tin nhắn văn bản.</t>
  </si>
  <si>
    <t>堵车</t>
  </si>
  <si>
    <t>dǔchē</t>
  </si>
  <si>
    <t>Đất (土) bao quanh (者) khiến xe (车) bị Tắc/Kẹt.</t>
  </si>
  <si>
    <t>队</t>
  </si>
  <si>
    <t>Người xếp hàng bên gò đất (阝) tạo thành một Đội.</t>
  </si>
  <si>
    <t>对方</t>
  </si>
  <si>
    <t>duìfāng</t>
  </si>
  <si>
    <t>đối phương</t>
  </si>
  <si>
    <t>Phía (方) đối diện (对) mình = Đối phương.</t>
  </si>
  <si>
    <t>对面</t>
  </si>
  <si>
    <t>duìmiàn</t>
  </si>
  <si>
    <t>Cái mặt (面) đối (対) diện nhau.</t>
  </si>
  <si>
    <t>对于</t>
  </si>
  <si>
    <t>duìyú</t>
  </si>
  <si>
    <t>đối với</t>
  </si>
  <si>
    <t>Đối (对) với (于).</t>
  </si>
  <si>
    <t>队员</t>
  </si>
  <si>
    <t>duìyuán</t>
  </si>
  <si>
    <t>Thành viên (员) trong đội (队).</t>
  </si>
  <si>
    <t>队长</t>
  </si>
  <si>
    <t>duìzhǎng</t>
  </si>
  <si>
    <t>Người đứng đầu (长) của đội (队) = Đội trưởng.</t>
  </si>
  <si>
    <t>度假</t>
  </si>
  <si>
    <t>dùjià</t>
  </si>
  <si>
    <t>đi nghỉ mát</t>
  </si>
  <si>
    <t>Trải qua (度) ngày nghỉ (假) = Đi nghỉ mát.</t>
  </si>
  <si>
    <t>顿</t>
  </si>
  <si>
    <t>dùn</t>
  </si>
  <si>
    <t>Lượng từ cho bữa ăn</t>
  </si>
  <si>
    <t>Một lần gật đầu (页) xuống đất (屯) = Lượng từ cho bữa ăn/lần mắng.</t>
  </si>
  <si>
    <t>多么</t>
  </si>
  <si>
    <t>duōme</t>
  </si>
  <si>
    <t>biết bao</t>
  </si>
  <si>
    <t>Bao nhiêu/Biết bao (Dùng trong câu cảm thán).</t>
  </si>
  <si>
    <t>多数</t>
  </si>
  <si>
    <t>duōshù</t>
  </si>
  <si>
    <t>Số lượng (数) chiếm phần nhiều (多).</t>
  </si>
  <si>
    <t>多样</t>
  </si>
  <si>
    <t>duōyàng</t>
  </si>
  <si>
    <t>Hình dáng (样) đa dạng (多).</t>
  </si>
  <si>
    <t>读者</t>
  </si>
  <si>
    <t>dúzhě</t>
  </si>
  <si>
    <t>Người (者) đọc (读) sách.</t>
  </si>
  <si>
    <t>肚子</t>
  </si>
  <si>
    <t>dùzi</t>
  </si>
  <si>
    <t>Bộ phận cơ thể (月) nằm sát đất (土) khi bò = Cái bụng.</t>
  </si>
  <si>
    <t>而</t>
  </si>
  <si>
    <t>ér</t>
  </si>
  <si>
    <t>Hình ảnh bộ râu cằm. Dùng để nối: Mà/Và/Nhưng.</t>
  </si>
  <si>
    <t>儿童</t>
  </si>
  <si>
    <t>értóng</t>
  </si>
  <si>
    <t>nhi đồng</t>
  </si>
  <si>
    <t>Đứa trẻ (儿) và chú bé chăn trâu (童) = Nhi đồng.</t>
  </si>
  <si>
    <t>法</t>
  </si>
  <si>
    <t>fǎ</t>
  </si>
  <si>
    <t>Nước (氵) chảy đi (去) theo quy luật của nó = Pháp luật/Cách thức.</t>
  </si>
  <si>
    <t>发出</t>
  </si>
  <si>
    <t>fāchū</t>
  </si>
  <si>
    <t>phát ra</t>
  </si>
  <si>
    <t>Gửi ra/Phát ra (发) bên ngoài (出).</t>
  </si>
  <si>
    <t>法律</t>
  </si>
  <si>
    <t>fǎlǜ</t>
  </si>
  <si>
    <t>Quy luật (律) của pháp (法) = Luật pháp.</t>
  </si>
  <si>
    <t>烦</t>
  </si>
  <si>
    <t>fán</t>
  </si>
  <si>
    <t xml:space="preserve">phiền </t>
  </si>
  <si>
    <t>Đầu (页) nóng như bị lửa (火) đốt thì rất Phiền/Bực.</t>
  </si>
  <si>
    <t>反对</t>
  </si>
  <si>
    <t>fǎnduì</t>
  </si>
  <si>
    <t>Quay ngược lại (反) để đối (对) đầu = Phản đối.</t>
  </si>
  <si>
    <t>房东</t>
  </si>
  <si>
    <t>fángdōng</t>
  </si>
  <si>
    <t>Chủ nhà (Người làm chủ căn phòng 房 ở phía Đông 东).</t>
  </si>
  <si>
    <t>方面</t>
  </si>
  <si>
    <t>fāngmiàn</t>
  </si>
  <si>
    <t>phương diện</t>
  </si>
  <si>
    <t>Cái mặt (面) theo một hướng (方) = Phương diện.</t>
  </si>
  <si>
    <t>放弃</t>
  </si>
  <si>
    <t>fàngqì</t>
  </si>
  <si>
    <t>Buông xuôi (放) hơi thở (气) = Từ bỏ.</t>
  </si>
  <si>
    <t>方式</t>
  </si>
  <si>
    <t>fāngshì</t>
  </si>
  <si>
    <t>phương thức</t>
  </si>
  <si>
    <t>Hình thức (式) theo một phương hướng (方) = Cách thức.</t>
  </si>
  <si>
    <t>放松</t>
  </si>
  <si>
    <t>fàngsōng</t>
  </si>
  <si>
    <t>Thả lỏng (放) như cây thông (松) trước gió = Thư giãn.</t>
  </si>
  <si>
    <t>房租</t>
  </si>
  <si>
    <t>fángzū</t>
  </si>
  <si>
    <t>tiền thuê nhà</t>
  </si>
  <si>
    <t>Tiền trả bằng lúa gạo (租) cho căn phòng (房) = Tiền thuê nhà.</t>
  </si>
  <si>
    <t>烦恼</t>
  </si>
  <si>
    <t>fánnǎo</t>
  </si>
  <si>
    <t>phiền não</t>
  </si>
  <si>
    <t>Trái tim (忄) đau não (脑) và bực bội (烦) = Phiền não.</t>
  </si>
  <si>
    <t>翻译</t>
  </si>
  <si>
    <t>fānyì</t>
  </si>
  <si>
    <t>phiên dịch</t>
  </si>
  <si>
    <t>Dùng lời nói (讠) lật mở (翻) ý nghĩa (译) = Phiên dịch.</t>
  </si>
  <si>
    <t>发送</t>
  </si>
  <si>
    <t>fāsòng</t>
  </si>
  <si>
    <t>Gửi đi (发) bằng cách bước đi (送) = Gửi (tin nhắn/email).</t>
  </si>
  <si>
    <t>费</t>
  </si>
  <si>
    <t>fèi</t>
  </si>
  <si>
    <t>Tiền bạc (贝) tiêu tốn như nước chảy trôi đi (弗) = Phí/Tốn.</t>
  </si>
  <si>
    <t>费用</t>
  </si>
  <si>
    <t>fèiyong</t>
  </si>
  <si>
    <t>chi phí</t>
  </si>
  <si>
    <t>Các khoản dùng (用) và chi phí (费) = Chi phí.</t>
  </si>
  <si>
    <t>份</t>
  </si>
  <si>
    <t>fèn</t>
  </si>
  <si>
    <t>phần/suất</t>
  </si>
  <si>
    <t>Người (亻) chia (分) đồ vật thành từng Phần/Suất.</t>
  </si>
  <si>
    <t>丰富</t>
  </si>
  <si>
    <t>fēngfù</t>
  </si>
  <si>
    <t>phong phú</t>
  </si>
  <si>
    <t>Hạt lúa trĩu bông (丰) và nhà (宀) có nhiều ruộng (田) = Phong phú.</t>
  </si>
  <si>
    <t>风景</t>
  </si>
  <si>
    <t>fēngjǐng</t>
  </si>
  <si>
    <t>Gió (风) thổi trên cảnh sắc mặt trời (景 - có bộ Nhật 日) = Phong cảnh.</t>
  </si>
  <si>
    <t>分数</t>
  </si>
  <si>
    <t>fēnshù</t>
  </si>
  <si>
    <t>Con số (数) được chia (分) ra = Điểm số.</t>
  </si>
  <si>
    <t>分为</t>
  </si>
  <si>
    <t>fēnwéi</t>
  </si>
  <si>
    <t>Phân chia (分) làm (为) các phần.</t>
  </si>
  <si>
    <t>否则</t>
  </si>
  <si>
    <t>fǒuzé</t>
  </si>
  <si>
    <t>Nếu không (否 - nói không 不 bằng miệng 口) thì sẽ theo quy tắc (则).</t>
  </si>
  <si>
    <t>幅</t>
  </si>
  <si>
    <t>fú</t>
  </si>
  <si>
    <t>Một tấm vải (巾) có kích thước (畐) = Lượng từ cho tranh, ảnh.</t>
  </si>
  <si>
    <t>付</t>
  </si>
  <si>
    <t>fù</t>
  </si>
  <si>
    <t>Người (亻) dùng tay (寸 - bộ Thốn) để Trả tiền/Chi trả.</t>
  </si>
  <si>
    <t>符合</t>
  </si>
  <si>
    <t>fúhé</t>
  </si>
  <si>
    <t>phù hợp</t>
  </si>
  <si>
    <t>Những mảnh tre (竹) khớp (合) lại với nhau = Phù hợp.</t>
  </si>
  <si>
    <t>父母</t>
  </si>
  <si>
    <t>fùmǔ</t>
  </si>
  <si>
    <t>Cha (父) và Mẹ (母).</t>
  </si>
  <si>
    <t>父女</t>
  </si>
  <si>
    <t>fùnǚ</t>
  </si>
  <si>
    <t>Cha (父) và con gái (女).</t>
  </si>
  <si>
    <t>父亲</t>
  </si>
  <si>
    <t>fùqīn</t>
  </si>
  <si>
    <t>Người cha (父) thân thiết (亲).</t>
  </si>
  <si>
    <t>复印</t>
  </si>
  <si>
    <t>fùyìn</t>
  </si>
  <si>
    <t>Lặp lại (复) việc đóng dấu (印) = Photocopy.</t>
  </si>
  <si>
    <t>复杂</t>
  </si>
  <si>
    <t>fùzá</t>
  </si>
  <si>
    <t>phức tạp</t>
  </si>
  <si>
    <t>Lặp lại (复) những thứ tạp nham (杂 - chim đậu trên cây) = Phức tạp.</t>
  </si>
  <si>
    <t>负责</t>
  </si>
  <si>
    <t>fùzé</t>
  </si>
  <si>
    <t>Người (亻) gánh vác việc trông coi tiền bạc (责 - có bộ Bối 贝) = Phụ trách.</t>
  </si>
  <si>
    <t>负责人</t>
  </si>
  <si>
    <t>fùzérén</t>
  </si>
  <si>
    <t>Người (人) chịu trách nhiệm (负责) chính.</t>
  </si>
  <si>
    <t>父子</t>
  </si>
  <si>
    <t>fùzǐ</t>
  </si>
  <si>
    <t>Cha (父) và con trai (子).</t>
  </si>
  <si>
    <t>改</t>
  </si>
  <si>
    <t>gǎi</t>
  </si>
  <si>
    <t>Tự mình (己) dùng roi (攵 - bộ Phẫu) đánh để Sửa đổi.</t>
  </si>
  <si>
    <t>改变</t>
  </si>
  <si>
    <t>gǎibiàn</t>
  </si>
  <si>
    <t>Sửa đổi (改) để biến hóa (变) khác đi = Thay đổi.</t>
  </si>
  <si>
    <t>赶</t>
  </si>
  <si>
    <t>gǎn</t>
  </si>
  <si>
    <t>vội vã/đuổi theo</t>
  </si>
  <si>
    <t>Đi bộ (走) để đuổi theo cho kịp (干) = Đuổi theo/Vội vã.</t>
  </si>
  <si>
    <t>敢</t>
  </si>
  <si>
    <t>Dùng tay tóm tai thú dữ nhưng vẫn làm (攵) = Dũng cảm/Dám.</t>
  </si>
  <si>
    <t>感</t>
  </si>
  <si>
    <t>Trái tim (心) bị tác động bởi lời nói và vũ khí (咸) = Cảm thấy.</t>
  </si>
  <si>
    <t>gān</t>
  </si>
  <si>
    <t>Hình ảnh cái xẻng cắm xuống đất: Khô ráo.</t>
  </si>
  <si>
    <t>干杯</t>
  </si>
  <si>
    <t>gānbēi</t>
  </si>
  <si>
    <t>cạn ly</t>
  </si>
  <si>
    <t>Uống cho cái cốc (杯) khô (干) luôn = Cạn ly.</t>
  </si>
  <si>
    <t>感动</t>
  </si>
  <si>
    <t>gǎndòng</t>
  </si>
  <si>
    <t>cảm động</t>
  </si>
  <si>
    <t>Cảm xúc (感) làm rung động (动) trái tim = Cảm động.</t>
  </si>
  <si>
    <t>钢琴</t>
  </si>
  <si>
    <t>gāngqín</t>
  </si>
  <si>
    <t>Loại đàn (琴) có phím bằng thép (钢 - bộ Kim 钅) = Đàn Piano.</t>
  </si>
  <si>
    <t>干活儿</t>
  </si>
  <si>
    <t>gànhuór</t>
  </si>
  <si>
    <t>làm việc</t>
  </si>
  <si>
    <t>Làm (干) công việc chân tay cho ra mồ hôi (活) = Làm việc.</t>
  </si>
  <si>
    <t>赶紧</t>
  </si>
  <si>
    <t>gǎnjǐn</t>
  </si>
  <si>
    <t>khẩn trương</t>
  </si>
  <si>
    <t>Đuổi theo (赶) một cách khẩn trương, chặt chẽ (紧) = Khẩn trương.</t>
  </si>
  <si>
    <t>感觉</t>
  </si>
  <si>
    <t>gǎnjué</t>
  </si>
  <si>
    <t>Cảm thấy (感) và nhận thức được (觉) = Cảm giác.</t>
  </si>
  <si>
    <t>赶快</t>
  </si>
  <si>
    <t>gǎnkuài</t>
  </si>
  <si>
    <t>Đuổi theo (赶) một cách nhanh chóng (快) = Nhanh chóng.</t>
  </si>
  <si>
    <t>感情</t>
  </si>
  <si>
    <t>gǎnqíng</t>
  </si>
  <si>
    <t>cảm tình</t>
  </si>
  <si>
    <t>Sự cảm thụ (感) của con tim (情 - có bộ Tâm 忄) = Tình cảm.</t>
  </si>
  <si>
    <t>感人</t>
  </si>
  <si>
    <t>gǎnrén</t>
  </si>
  <si>
    <t>cảm động, làm người khác xúc động</t>
  </si>
  <si>
    <t>Một sự việc làm cảm (感) động người (人).</t>
  </si>
  <si>
    <t>赶上</t>
  </si>
  <si>
    <t>gǎnshàng</t>
  </si>
  <si>
    <t>Theo kịp (赶) mức phía trên (上).</t>
  </si>
  <si>
    <t>感受</t>
  </si>
  <si>
    <t>gǎnshòu</t>
  </si>
  <si>
    <t>cảm nhận</t>
  </si>
  <si>
    <t>Cảm thấy (感) và nhận lấy (受) vào lòng = Cảm nhận.</t>
  </si>
  <si>
    <t>感谢</t>
  </si>
  <si>
    <t>gǎnxiè</t>
  </si>
  <si>
    <t>Cảm kích (感) và nói lời cảm ơn (谢) = Cảm ơn.</t>
  </si>
  <si>
    <t>高价</t>
  </si>
  <si>
    <t>gāojià</t>
  </si>
  <si>
    <t>Cái giá (价) cao (高).</t>
  </si>
  <si>
    <t>高考</t>
  </si>
  <si>
    <t>gāokǎo</t>
  </si>
  <si>
    <t>Kỳ thi (考) đại học cao (高) cấp.</t>
  </si>
  <si>
    <t>高速</t>
  </si>
  <si>
    <t>gāosù</t>
  </si>
  <si>
    <t>Tốc độ (速) cao (高).</t>
  </si>
  <si>
    <t>高温</t>
  </si>
  <si>
    <t>gāowēn</t>
  </si>
  <si>
    <t>Nhiệt độ (温) cao (高).</t>
  </si>
  <si>
    <t>高于</t>
  </si>
  <si>
    <t>gāoyú</t>
  </si>
  <si>
    <t>Cao (高) hơn so với (于).</t>
  </si>
  <si>
    <t>各</t>
  </si>
  <si>
    <t>代、副</t>
  </si>
  <si>
    <t>Đi đến (夂) rồi mỗi người nói một miệng (口) khác nhau = Mỗi/Các.</t>
  </si>
  <si>
    <t>胳膊</t>
  </si>
  <si>
    <t>gēbo</t>
  </si>
  <si>
    <t>Bộ phận cơ thể (月) có cơ bắp vươn lên (各) và rộng rãi (膊) = Cánh tay.</t>
  </si>
  <si>
    <t>各地</t>
  </si>
  <si>
    <t>gèdì</t>
  </si>
  <si>
    <t>Các (各) địa phương (地).</t>
  </si>
  <si>
    <t>各个</t>
  </si>
  <si>
    <t>gègè</t>
  </si>
  <si>
    <t>Từng cái một/Các cái.</t>
  </si>
  <si>
    <t>更加</t>
  </si>
  <si>
    <t>gèngjiā</t>
  </si>
  <si>
    <t>Hơn nữa (更) và thêm vào (加) = Càng thêm.</t>
  </si>
  <si>
    <t>歌声</t>
  </si>
  <si>
    <t>gēshēng</t>
  </si>
  <si>
    <t>tiếng hát</t>
  </si>
  <si>
    <t>Tiếng (声) hát (歌 - có bộ Khiếm 欠 là ngáp/mở miệng).</t>
  </si>
  <si>
    <t>歌手</t>
  </si>
  <si>
    <t>gēshǒu</t>
  </si>
  <si>
    <t>Người có bàn tay (手) chuyên về hát (歌) = Ca sĩ.</t>
  </si>
  <si>
    <t>各位</t>
  </si>
  <si>
    <t>gèwèi</t>
  </si>
  <si>
    <t>Các (各) vị (位 - người 亻 đứng ở vị trí).</t>
  </si>
  <si>
    <t>各种</t>
  </si>
  <si>
    <t>gèzhǒng</t>
  </si>
  <si>
    <t>các loại, đủ loại</t>
  </si>
  <si>
    <t>Các (各) loại/giống (种 - có bộ Hòa 禾 là cây lúa).</t>
  </si>
  <si>
    <t>共</t>
  </si>
  <si>
    <t>gòng</t>
  </si>
  <si>
    <t>Hai bàn tay bưng vật phẩm lên để dùng chung = Chung/Tổng cộng.</t>
  </si>
  <si>
    <t>工厂</t>
  </si>
  <si>
    <t>gōngchǎng</t>
  </si>
  <si>
    <t>Nơi công nhân (工) làm việc dưới mái che (厂) = Nhà máy.</t>
  </si>
  <si>
    <t>功夫</t>
  </si>
  <si>
    <t>gōngfu</t>
  </si>
  <si>
    <t>công phu</t>
  </si>
  <si>
    <t>Người đàn ông (夫) bỏ ra công sức (工) rèn luyện = Công phu/Võ thuật.</t>
  </si>
  <si>
    <t>公共</t>
  </si>
  <si>
    <t>gōnggòng</t>
  </si>
  <si>
    <t>Dành cho mọi người (公) và dùng chung (共) = Công cộng.</t>
  </si>
  <si>
    <t>功课</t>
  </si>
  <si>
    <t>gōngkè</t>
  </si>
  <si>
    <t>bài tập</t>
  </si>
  <si>
    <t>Bài học (课) cần bỏ công sức (功) để làm = Bài tập/Môn học.</t>
  </si>
  <si>
    <t>公里</t>
  </si>
  <si>
    <t>gōnglǐ</t>
  </si>
  <si>
    <t>Đơn vị đo chiều dài (里) công cộng chuẩn quốc tế = Kilômét.</t>
  </si>
  <si>
    <t>公路</t>
  </si>
  <si>
    <t>gōnglù</t>
  </si>
  <si>
    <t>đường cái</t>
  </si>
  <si>
    <t>Con đường (路) dành cho công cộng (公) đi lại = Đường cái.</t>
  </si>
  <si>
    <t>工人</t>
  </si>
  <si>
    <t>gōngrén</t>
  </si>
  <si>
    <t>Người (人) làm công việc (工) chân tay = Công nhân.</t>
  </si>
  <si>
    <t>共同</t>
  </si>
  <si>
    <t>gòngtóng</t>
  </si>
  <si>
    <t>Cùng nhau (共) làm một điều giống nhau (同) = Chung/Cùng nhau.</t>
  </si>
  <si>
    <t>工资</t>
  </si>
  <si>
    <t>gōngzī</t>
  </si>
  <si>
    <t>Tiền bạc (资) trả cho công sức (工) đã bỏ ra = Tiền lương.</t>
  </si>
  <si>
    <t>够</t>
  </si>
  <si>
    <t>gòu</t>
  </si>
  <si>
    <t>Nói nhiều (多) lời bằng miệng (句) mới thấy Đủ.</t>
  </si>
  <si>
    <t>购买</t>
  </si>
  <si>
    <t>gòumǎi</t>
  </si>
  <si>
    <t>mua sắm</t>
  </si>
  <si>
    <t>Dùng tiền bối (贝) mua (买) vỏ sò trang trí (勾) = Mua sắm (trang trọng).</t>
  </si>
  <si>
    <t>购物</t>
  </si>
  <si>
    <t>gòuwù</t>
  </si>
  <si>
    <t>Mua (购) đồ vật (物) = Mua sắm.</t>
  </si>
  <si>
    <t>挂</t>
  </si>
  <si>
    <t>guà</t>
  </si>
  <si>
    <t>Dùng tay (扌) treo đồ lên hai mảnh đất (圭) cao = Treo/Móc.</t>
  </si>
  <si>
    <t>管</t>
  </si>
  <si>
    <t>guǎn</t>
  </si>
  <si>
    <t>quản lý</t>
  </si>
  <si>
    <t>Quan lại (官) cầm ống tre (竹) để Quản lý.</t>
  </si>
  <si>
    <t>逛</t>
  </si>
  <si>
    <t>guàng</t>
  </si>
  <si>
    <t>Đi dạo/Chơi.</t>
  </si>
  <si>
    <t>Bước đi (辶) thong dong như con cuồng phong (狂) = Đi dạo/Chơi.</t>
  </si>
  <si>
    <t>光</t>
  </si>
  <si>
    <t>guāng</t>
  </si>
  <si>
    <t>名、形、动、副</t>
  </si>
  <si>
    <t>Phía trên người (儿) là tia lửa rực rỡ = Ánh sáng/Hết sạch.</t>
  </si>
  <si>
    <t>广播</t>
  </si>
  <si>
    <t>guǎngbō</t>
  </si>
  <si>
    <t>phát thanh</t>
  </si>
  <si>
    <t>Phát (播) thông tin rộng rãi (广) khắp nơi = Phát thanh.</t>
  </si>
  <si>
    <t>广告</t>
  </si>
  <si>
    <t>guǎnggào</t>
  </si>
  <si>
    <t>Thông báo (告) rộng rãi (广) cho mọi người biết = Quảng cáo.</t>
  </si>
  <si>
    <t>关键</t>
  </si>
  <si>
    <t>guānjiàn</t>
  </si>
  <si>
    <t>mấu chốt</t>
  </si>
  <si>
    <t>Cái chốt cửa (关) làm bằng kim loại (键 - bộ Kim 钅) = Mấu chốt.</t>
  </si>
  <si>
    <t>观看</t>
  </si>
  <si>
    <t>guānkàn</t>
  </si>
  <si>
    <t>quan sát</t>
  </si>
  <si>
    <t>Nhìn (观 - dùng mắt 见) và xem (看) kỹ = Quan sát/Xem.</t>
  </si>
  <si>
    <t>管理</t>
  </si>
  <si>
    <t>guǎnlǐ</t>
  </si>
  <si>
    <t>Quản (管) lý những viên ngọc quý (理) = Quản lý.</t>
  </si>
  <si>
    <t>观众</t>
  </si>
  <si>
    <t>guānzhòng</t>
  </si>
  <si>
    <t>Đám đông (众 - 3 người 人) đến xem (观) = Khán giả.</t>
  </si>
  <si>
    <t>规定</t>
  </si>
  <si>
    <t>guīdìng</t>
  </si>
  <si>
    <t>Dùng compa (规) để xác định (定) khuôn mẫu = Quy định.</t>
  </si>
  <si>
    <t>估计</t>
  </si>
  <si>
    <t>gūjì</t>
  </si>
  <si>
    <t>Người phụ nữ (姑) dùng lời nói (讠) tính toán (十) = Ước tính.</t>
  </si>
  <si>
    <t>顾客</t>
  </si>
  <si>
    <t>gùkè</t>
  </si>
  <si>
    <t>Người khách (客) quen cũ (顾 - ngoảnh đầu lại nhìn) = Khách hàng.</t>
  </si>
  <si>
    <t>鼓励</t>
  </si>
  <si>
    <t>gǔlì</t>
  </si>
  <si>
    <t>khích lệ</t>
  </si>
  <si>
    <t>Dùng lời nói từ miệng (口) tiếp thêm vạn (万) sức lực (力) = Khích lệ.</t>
  </si>
  <si>
    <t>姑娘</t>
  </si>
  <si>
    <t>gūniang</t>
  </si>
  <si>
    <t>cô nương</t>
  </si>
  <si>
    <t>Người cô (姑) và người mẹ (娘) khi còn trẻ = Cô gái.</t>
  </si>
  <si>
    <t>过程</t>
  </si>
  <si>
    <t>guòchéng</t>
  </si>
  <si>
    <t>Trải qua (过) từng trình tự quy tắc (程) = Quá trình.</t>
  </si>
  <si>
    <t>国籍</t>
  </si>
  <si>
    <t>guójí</t>
  </si>
  <si>
    <t>Hồ sơ tre (籍) của một quốc gia (国) = Quốc tịch.</t>
  </si>
  <si>
    <t>国际</t>
  </si>
  <si>
    <t>guójì</t>
  </si>
  <si>
    <t>Ranh giới (际) giữa các quốc gia (国) = Quốc tế.</t>
  </si>
  <si>
    <t>果汁</t>
  </si>
  <si>
    <t>guǒzhī</t>
  </si>
  <si>
    <t>Nước (汁 - bộ Thủy 氵) ép từ trái cây (果) = Nước ép.</t>
  </si>
  <si>
    <t>故意</t>
  </si>
  <si>
    <t>gùyì</t>
  </si>
  <si>
    <t>Việc cũ (故) nảy ra trong ý nghĩ (意) = Cố ý.</t>
  </si>
  <si>
    <t>害羞</t>
  </si>
  <si>
    <t>hàixiū</t>
  </si>
  <si>
    <t>Làm hại (害) con dê (羞 - bộ Dương 羊) nên thấy Xấu hổ.</t>
  </si>
  <si>
    <t>海洋</t>
  </si>
  <si>
    <t>hǎiyáng</t>
  </si>
  <si>
    <t>Vùng nước (氵) của biển (海) rộng bao la (洋) = Đại dương.</t>
  </si>
  <si>
    <t>汗</t>
  </si>
  <si>
    <t>hàn</t>
  </si>
  <si>
    <t>Nước (氵) chảy ra từ cơ thể như đất khô (干) gặp mưa = Mồ hôi.</t>
  </si>
  <si>
    <t>喊</t>
  </si>
  <si>
    <t>hǎn</t>
  </si>
  <si>
    <t>Dùng miệng (口) kêu to tới mức cả vùng (咸) đều nghe = Hét/Gọi.</t>
  </si>
  <si>
    <t>航班</t>
  </si>
  <si>
    <t>hángbān</t>
  </si>
  <si>
    <t>Chuyến đi (航 - thuyền trên mặt nước) theo ca kíp (班) = Chuyến bay.</t>
  </si>
  <si>
    <t>寒假</t>
  </si>
  <si>
    <t>hánjià</t>
  </si>
  <si>
    <t>Ngày nghỉ (假) vào thời điểm lạnh giá (寒) = Nghỉ đông.</t>
  </si>
  <si>
    <t>寒冷</t>
  </si>
  <si>
    <t>hánlěng</t>
  </si>
  <si>
    <t>Lạnh giá (寒 - dưới mái nhà có đá đóng băng) và buốt (冷).</t>
  </si>
  <si>
    <t>好处</t>
  </si>
  <si>
    <t>hǎochù</t>
  </si>
  <si>
    <t>Nơi (处) tốt (好) = Lợi ích/Điểm tốt.</t>
  </si>
  <si>
    <t>好好</t>
  </si>
  <si>
    <t>hǎohǎo</t>
  </si>
  <si>
    <t>Gấp đôi chữ Tốt: Nhấn mạnh việc làm gì đó một cách cẩn thận.</t>
  </si>
  <si>
    <t>好笑</t>
  </si>
  <si>
    <t>hǎoxiào</t>
  </si>
  <si>
    <t>Tốt (好) đến mức muốn cười (笑) = Buồn cười.</t>
  </si>
  <si>
    <t>合格</t>
  </si>
  <si>
    <t>hégé</t>
  </si>
  <si>
    <t>Phù hợp (合) với khuôn khổ khung gỗ (格) = Đạt tiêu chuẩn.</t>
  </si>
  <si>
    <t>盒子</t>
  </si>
  <si>
    <t>hézi</t>
  </si>
  <si>
    <t>Đồ vật có nắp đậy khớp (合) vào nhau và làm bằng gốm (皿) = Cái hộp.</t>
  </si>
  <si>
    <t>红包</t>
  </si>
  <si>
    <t>hóngbāo</t>
  </si>
  <si>
    <t>Cái túi (包) màu đỏ (红) = Lì xì.</t>
  </si>
  <si>
    <t>厚</t>
  </si>
  <si>
    <t>Dưới vách đá (厂) có đứa trẻ (子) đứng trên mặt đất: Dày.</t>
  </si>
  <si>
    <t>后悔</t>
  </si>
  <si>
    <t>hòuhuǐ</t>
  </si>
  <si>
    <t>Sau này (后) trái tim (忄) thấy mỗi (每) việc đều sai = Hối hận.</t>
  </si>
  <si>
    <t>坏处</t>
  </si>
  <si>
    <t>huàichù</t>
  </si>
  <si>
    <t>điểm xấu</t>
  </si>
  <si>
    <t>Nơi (处) xấu xa/hỏng hóc (坏) = Tác hại/Điểm xấu.</t>
  </si>
  <si>
    <t>怀疑</t>
  </si>
  <si>
    <t>huáiyí</t>
  </si>
  <si>
    <t>Trái tim (忄) có nhiều mũi tên (矢) nghi vấn = Nghi ngờ.</t>
  </si>
  <si>
    <t>话剧</t>
  </si>
  <si>
    <t>huàjù</t>
  </si>
  <si>
    <t>kịch nói</t>
  </si>
  <si>
    <t>Vở kịch (剧) sử dụng lời nói (话) là chính = Kịch nói.</t>
  </si>
  <si>
    <t>环保</t>
  </si>
  <si>
    <t>huánbǎo</t>
  </si>
  <si>
    <t>bảo vệ môi trường</t>
  </si>
  <si>
    <t>Bảo vệ (保) môi trường (环 - viên ngọc 王 tròn) = Bảo vệ môi trường.</t>
  </si>
  <si>
    <t>换乘</t>
  </si>
  <si>
    <t>huànchéng</t>
  </si>
  <si>
    <t>chuyển tuyến</t>
  </si>
  <si>
    <t>Đổi (换 - dùng tay 扌) phương tiện xe cộ (乘) = Đổi tàu/xe.</t>
  </si>
  <si>
    <t>回复</t>
  </si>
  <si>
    <t>huífù</t>
  </si>
  <si>
    <t>Quay lại (回) để đáp lại (复) = Phản hồi/Trả lời.</t>
  </si>
  <si>
    <t>回信</t>
  </si>
  <si>
    <t>huíxìn</t>
  </si>
  <si>
    <t>hồi âm</t>
  </si>
  <si>
    <t>Viết thư (信) trả lời (回) = Hồi âm.</t>
  </si>
  <si>
    <t>回忆</t>
  </si>
  <si>
    <t>huíyì</t>
  </si>
  <si>
    <t>hồi ức</t>
  </si>
  <si>
    <t>Trái tim (忄) quay lại (回) ý nghĩ (意) xưa = Hồi ức/Nhớ lại.</t>
  </si>
  <si>
    <t>会员</t>
  </si>
  <si>
    <t>huìyuán</t>
  </si>
  <si>
    <t>hội viên</t>
  </si>
  <si>
    <t>Thành viên (员) của một hội nhóm (会) = Hội viên.</t>
  </si>
  <si>
    <t>互联网</t>
  </si>
  <si>
    <t>hùliánwǎng</t>
  </si>
  <si>
    <t>Mạng lưới (网) kết nối (连) lẫn nhau (互) = Mạng Internet.</t>
  </si>
  <si>
    <t>活</t>
  </si>
  <si>
    <t>huó</t>
  </si>
  <si>
    <t>动、形、名</t>
  </si>
  <si>
    <t>Có nước (氵) và cái lưỡi (舌) được nếm vị là còn Sống.</t>
  </si>
  <si>
    <t>货</t>
  </si>
  <si>
    <t>Hóa thân (化) của tiền bạc (贝) chính là Hàng hóa.</t>
  </si>
  <si>
    <t>火</t>
  </si>
  <si>
    <t>huǒ</t>
  </si>
  <si>
    <t>Hình ảnh ngọn lửa đang bốc cháy: Lửa/Cấp bách.</t>
  </si>
  <si>
    <t>获得</t>
  </si>
  <si>
    <t>huòdé</t>
  </si>
  <si>
    <t>giành được</t>
  </si>
  <si>
    <t>Sau khi săn bắn (蒦) thì đạt được (得) thành quả = Giành được.</t>
  </si>
  <si>
    <t>活动</t>
  </si>
  <si>
    <t>huódòng</t>
  </si>
  <si>
    <t>Sự sống (活) sinh ra từ cử động (动) = Hoạt động.</t>
  </si>
  <si>
    <t>获奖</t>
  </si>
  <si>
    <t>huòjiǎng</t>
  </si>
  <si>
    <t>đạt giải</t>
  </si>
  <si>
    <t>Đạt được (获) giải thưởng (奖) = Nhận giải.</t>
  </si>
  <si>
    <t>活泼</t>
  </si>
  <si>
    <t>huópō</t>
  </si>
  <si>
    <t>Sự sống (活) như sóng nước tung té (泼 - bộ Thủy 氵) = Hoạt bát.</t>
  </si>
  <si>
    <t>获取</t>
  </si>
  <si>
    <t>huòqǔ</t>
  </si>
  <si>
    <t>thu được</t>
  </si>
  <si>
    <t>Dùng tay lấy (取) để đạt được (获) = Thu được/Lấy được.</t>
  </si>
  <si>
    <t>忽然</t>
  </si>
  <si>
    <t>hūrán</t>
  </si>
  <si>
    <t>Chợt nghe tiếng thở (忽 - trên là vật bao phủ, dưới là tâm 心) = Đột nhiên.</t>
  </si>
  <si>
    <t>护士</t>
  </si>
  <si>
    <t>hùshi</t>
  </si>
  <si>
    <t>Người trí thức (士) làm việc bảo hộ (护 - dùng tay 扌) = Y tá.</t>
  </si>
  <si>
    <t>互相</t>
  </si>
  <si>
    <t>hùxiāng</t>
  </si>
  <si>
    <t>lẫn nhau</t>
  </si>
  <si>
    <t>Hai bên tương hỗ (互) và tương ứng (相) với nhau = Lẫn nhau.</t>
  </si>
  <si>
    <t>既</t>
  </si>
  <si>
    <t>đã/rồi</t>
  </si>
  <si>
    <t>Một người đứng trước vò rượu đã ăn xong và ngoảnh mặt đi = Đã/Rồi.</t>
  </si>
  <si>
    <t>寄</t>
  </si>
  <si>
    <t>Gửi đồ cho người lạ (奇) đang ở dưới mái nhà (宀) = Gửi (thư, đồ).</t>
  </si>
  <si>
    <t>假</t>
  </si>
  <si>
    <t>jiǎ</t>
  </si>
  <si>
    <t>Người (亻) mượn xác mượn hồn để làm đồ Giả.</t>
  </si>
  <si>
    <t>加班</t>
  </si>
  <si>
    <t>jiābān</t>
  </si>
  <si>
    <t>Thêm vào (加) ca làm việc (班) = Làm thêm giờ.</t>
  </si>
  <si>
    <t>价格</t>
  </si>
  <si>
    <t>jiàgé</t>
  </si>
  <si>
    <t>Cái giá (价 - người 亻 và vỏ sò 介) theo khuôn khổ (格) = Giá cả.</t>
  </si>
  <si>
    <t>家具</t>
  </si>
  <si>
    <t>jiājù</t>
  </si>
  <si>
    <t>Công cụ (具) dùng trong nhà (家) = Đồ nội thất.</t>
  </si>
  <si>
    <t>加快</t>
  </si>
  <si>
    <t>jiākuài</t>
  </si>
  <si>
    <t>Thêm vào (加) sự nhanh chóng (快) = Đẩy nhanh.</t>
  </si>
  <si>
    <t>减</t>
  </si>
  <si>
    <t>jiǎn</t>
  </si>
  <si>
    <t>Dùng nước đá (冫) để bớt đi sự cảm nhận (咸) = Trừ/Giảm.</t>
  </si>
  <si>
    <t>降</t>
  </si>
  <si>
    <t>jiàng</t>
  </si>
  <si>
    <t>rơi/giảm/hạ</t>
  </si>
  <si>
    <t>Bước chân đi xuống gò đất (阝) = Rơi/Giảm/Hạ.</t>
  </si>
  <si>
    <t>奖</t>
  </si>
  <si>
    <t>Con chó (大 biến thể) đứng trên thịt được thưởng báu vật (将) = Thưởng.</t>
  </si>
  <si>
    <t>江</t>
  </si>
  <si>
    <t>jiāng</t>
  </si>
  <si>
    <t>Dòng nước (氵) chảy qua vùng đất do thợ khéo (工) làm = Sông lớn.</t>
  </si>
  <si>
    <t>将</t>
  </si>
  <si>
    <t>介、副</t>
  </si>
  <si>
    <t>Miếng thịt đặt trên bàn gỗ, chuẩn bị dùng tay (寸) lấy: Sẽ/Sắp.</t>
  </si>
  <si>
    <t>降低</t>
  </si>
  <si>
    <t>jiàngdī</t>
  </si>
  <si>
    <t>hạ thấp</t>
  </si>
  <si>
    <t>Hạ xuống (降) mức thấp (低) = Hạ thấp/Giảm bớt.</t>
  </si>
  <si>
    <t>降价</t>
  </si>
  <si>
    <t>jiàngjià</t>
  </si>
  <si>
    <t>Hạ (降) cái giá (价) xuống = Giảm giá.</t>
  </si>
  <si>
    <t>奖金</t>
  </si>
  <si>
    <t>jiǎngjīn</t>
  </si>
  <si>
    <t>tiền thưởng</t>
  </si>
  <si>
    <t>Tiền (金) thưởng (奖) = Tiền thưởng.</t>
  </si>
  <si>
    <t>将来</t>
  </si>
  <si>
    <t>jiānglái</t>
  </si>
  <si>
    <t>Những gì sẽ (将) tìm đến (来) = Tương lai.</t>
  </si>
  <si>
    <t>降落</t>
  </si>
  <si>
    <t>jiàngluò</t>
  </si>
  <si>
    <t>Rơi xuống (降) vùng cỏ xanh (落 - bộ Thảo 艹) = Hạ cánh.</t>
  </si>
  <si>
    <t>降温</t>
  </si>
  <si>
    <t>jiàngwēn</t>
  </si>
  <si>
    <t>giảm nhiệt</t>
  </si>
  <si>
    <t>Giảm (降) nhiệt độ (温) = Giảm nhiệt.</t>
  </si>
  <si>
    <t>奖学金</t>
  </si>
  <si>
    <t>jiǎngxuéjīn</t>
  </si>
  <si>
    <t>Tiền (金) thưởng (奖) cho việc học (学) = Học bổng.</t>
  </si>
  <si>
    <t>将要</t>
  </si>
  <si>
    <t>jiāngyào</t>
  </si>
  <si>
    <t>Sắp (将) phải (要) làm gì đó.</t>
  </si>
  <si>
    <t>减轻</t>
  </si>
  <si>
    <t>jiǎnqīng</t>
  </si>
  <si>
    <t>giảm nhẹ</t>
  </si>
  <si>
    <t>Giảm bớt (减) cho nhẹ nhàng (轻) = Giảm nhẹ.</t>
  </si>
  <si>
    <t>减少</t>
  </si>
  <si>
    <t>jiǎnshǎo</t>
  </si>
  <si>
    <t>Giảm bớt (减) cho ít đi (少) = Giảm bớt.</t>
  </si>
  <si>
    <t>健身</t>
  </si>
  <si>
    <t>jiànshēn</t>
  </si>
  <si>
    <t>tập gym</t>
  </si>
  <si>
    <t>Xây dựng (建) thân thể (身) khỏe mạnh = Tập thể hình.</t>
  </si>
  <si>
    <t>健身房</t>
  </si>
  <si>
    <t>jiànshēnfáng</t>
  </si>
  <si>
    <t>phòng gym</t>
  </si>
  <si>
    <t>Căn phòng (房) để tập thể hình (健身) = Phòng Gym.</t>
  </si>
  <si>
    <t>建议</t>
  </si>
  <si>
    <t>jiànyì</t>
  </si>
  <si>
    <t>Xây dựng (建) ý kiến bằng lời nói (议 - bộ Ngôn 讠) = Kiến nghị.</t>
  </si>
  <si>
    <t>交</t>
  </si>
  <si>
    <t>giao/nộp</t>
  </si>
  <si>
    <t>Hình ảnh người đứng vắt chéo chân để Giao nộp/Kết bạn.</t>
  </si>
  <si>
    <t>骄傲</t>
  </si>
  <si>
    <t>jiāo'ào</t>
  </si>
  <si>
    <t>kiêu ngạo</t>
  </si>
  <si>
    <t>Con ngựa (马) ngẩng cao đầu một cách ngạo mạn (奥) = Tự phụ/Tự hào.</t>
  </si>
  <si>
    <t>交警</t>
  </si>
  <si>
    <t>jiāojǐng</t>
  </si>
  <si>
    <t>Cảnh sát (警) giao thông (交).</t>
  </si>
  <si>
    <t>教练</t>
  </si>
  <si>
    <t>jiàoliàn</t>
  </si>
  <si>
    <t>Người dạy (教) và luyện tập (练) = Huấn luyện viên.</t>
  </si>
  <si>
    <t>交流</t>
  </si>
  <si>
    <t>jiāoliú</t>
  </si>
  <si>
    <t>Giao lưu (交) chảy trôi như dòng nước (流) = Trao đổi/Giao tiếp.</t>
  </si>
  <si>
    <t>郊区</t>
  </si>
  <si>
    <t>jiāoqū</t>
  </si>
  <si>
    <t>Vùng (区) đất bên ngoài gò đất thành phố (郊) = Ngoại ô.</t>
  </si>
  <si>
    <t>教师</t>
  </si>
  <si>
    <t>jiàoshī</t>
  </si>
  <si>
    <t>Người thầy (师) làm nghề dạy học (教) = Giáo viên.</t>
  </si>
  <si>
    <t>教授</t>
  </si>
  <si>
    <t>jiàoshòu</t>
  </si>
  <si>
    <t>Người dạy học (教) truyền thụ (授 - dùng tay 扌 trao đi) kiến thức = Giáo sư.</t>
  </si>
  <si>
    <t>交通</t>
  </si>
  <si>
    <t>jiāotōng</t>
  </si>
  <si>
    <t>giao thông</t>
  </si>
  <si>
    <t>Sự giao lưu (交) thông suốt (通 - bước đi 辶 không vật cản) = Giao thông.</t>
  </si>
  <si>
    <t>教学</t>
  </si>
  <si>
    <t>jiàoxué</t>
  </si>
  <si>
    <t>Dạy (教) và Học (学) = Giảng dạy.</t>
  </si>
  <si>
    <t>教育</t>
  </si>
  <si>
    <t>jiàoyù</t>
  </si>
  <si>
    <t>Dạy bảo (教) và nuôi dưỡng (育) con người = Giáo dục.</t>
  </si>
  <si>
    <t>叫作</t>
  </si>
  <si>
    <t>jiàozuò</t>
  </si>
  <si>
    <t xml:space="preserve">được gọi là </t>
  </si>
  <si>
    <t>Được gọi (叫) là (作) = Được gọi là.</t>
  </si>
  <si>
    <t>价钱</t>
  </si>
  <si>
    <t>jiàqián</t>
  </si>
  <si>
    <t>giá tiền</t>
  </si>
  <si>
    <t>Cái giá (价) của đồng tiền (钱) = Giá tiền.</t>
  </si>
  <si>
    <t>加强</t>
  </si>
  <si>
    <t>jiāqiáng</t>
  </si>
  <si>
    <t>Thêm vào (加) sức mạnh của con cung và con trùng (强) = Tăng cường.</t>
  </si>
  <si>
    <t>假日</t>
  </si>
  <si>
    <t>jiàrì</t>
  </si>
  <si>
    <t>Ngày (日) nghỉ lễ (假) = Ngày nghỉ.</t>
  </si>
  <si>
    <t>加入</t>
  </si>
  <si>
    <t>jiārù</t>
  </si>
  <si>
    <t>gia nhập</t>
  </si>
  <si>
    <t>Thêm vào (加) và đi vào trong (入) = Gia nhập.</t>
  </si>
  <si>
    <t>加上</t>
  </si>
  <si>
    <t>jiāshàng</t>
  </si>
  <si>
    <t>Thêm (加) vào phía trên (上) = Thêm vào.</t>
  </si>
  <si>
    <t>家庭</t>
  </si>
  <si>
    <t>jiātíng</t>
  </si>
  <si>
    <t>Một ngôi nhà (家) có cái sân (庭) rộng = Gia đình.</t>
  </si>
  <si>
    <t>家乡</t>
  </si>
  <si>
    <t>jiāxiāng</t>
  </si>
  <si>
    <t>Ngôi nhà (家) nơi quê cũ (乡 - hình ảnh uốn lượn của làng) = Quê hương.</t>
  </si>
  <si>
    <t>加油</t>
  </si>
  <si>
    <t>jiāyóu</t>
  </si>
  <si>
    <t>cố lên/đổ xăng</t>
  </si>
  <si>
    <t>Thêm (加) dầu (油 - nước 氵 chảy như mỡ từ bình) = Cố lên/Đổ xăng.</t>
  </si>
  <si>
    <t>加油站</t>
  </si>
  <si>
    <t>jiāyóuzhàn</t>
  </si>
  <si>
    <t>Trạm (站) để đổ dầu/xăng (加油) = Trạm xăng.</t>
  </si>
  <si>
    <t>家长</t>
  </si>
  <si>
    <t>jiāzhǎng</t>
  </si>
  <si>
    <t>phụ huynh</t>
  </si>
  <si>
    <t>Người đứng đầu (长) trong nhà (家) = Phụ huynh.</t>
  </si>
  <si>
    <t>基本</t>
  </si>
  <si>
    <t>jīběn</t>
  </si>
  <si>
    <t>cơ bản</t>
  </si>
  <si>
    <t>Cái nền móng (基 - dưới đất 土 có cái giỏ 基) và gốc rễ (本) = Cơ bản.</t>
  </si>
  <si>
    <t>基本上</t>
  </si>
  <si>
    <t>jīběnshàng</t>
  </si>
  <si>
    <t>Về mặt (上) cơ bản (基本).</t>
  </si>
  <si>
    <t>基础</t>
  </si>
  <si>
    <t>jīchǔ</t>
  </si>
  <si>
    <t>cơ sở</t>
  </si>
  <si>
    <t>Nền móng đất (基) và rừng cây gỗ (础 - bộ Thạch 石 chỉ đá kê cột) = Cơ sở.</t>
  </si>
  <si>
    <t>激动</t>
  </si>
  <si>
    <t>jīdòng</t>
  </si>
  <si>
    <t>kích động</t>
  </si>
  <si>
    <t>Nước (氵) đánh vào đá (敫) làm rung động (动) trái tim = Kích động/Xúc động.</t>
  </si>
  <si>
    <t>街道</t>
  </si>
  <si>
    <t>jiēdào</t>
  </si>
  <si>
    <t>Con phố (街) và con đường (道) = Đường phố.</t>
  </si>
  <si>
    <t>结果</t>
  </si>
  <si>
    <t>jiéguǒ</t>
  </si>
  <si>
    <t>名、连</t>
  </si>
  <si>
    <t>Sợi tơ (纟) thắt nút kết lại thành trái quả (果) = Kết quả.</t>
  </si>
  <si>
    <t>节假日</t>
  </si>
  <si>
    <t>jiéjiàrì</t>
  </si>
  <si>
    <t>Ngày (日) lễ (节) và ngày nghỉ (假) = Ngày lễ tết.</t>
  </si>
  <si>
    <t>解释</t>
  </si>
  <si>
    <t>jiěshì</t>
  </si>
  <si>
    <t>Dùng dao (刀) tách sừng (角) trâu để thả ra (释 - bộ Thái 采 là chọn) = Giải thích.</t>
  </si>
  <si>
    <t>接受</t>
  </si>
  <si>
    <t>jiēshòu</t>
  </si>
  <si>
    <t>Đón lấy (接) và nhận lấy (受) vào tay = Chấp nhận/Tiếp nhận.</t>
  </si>
  <si>
    <t>节约</t>
  </si>
  <si>
    <t>jiéyuē</t>
  </si>
  <si>
    <t>tiết kiệm</t>
  </si>
  <si>
    <t>Đốt tre (节) được buộc lại (约 - bộ Mịch 纟) cho chặt = Tiết kiệm.</t>
  </si>
  <si>
    <t>结账</t>
  </si>
  <si>
    <t>jiézhàng</t>
  </si>
  <si>
    <t>Thắt nút kết (结) tờ hóa đơn bằng vỏ sò (账 - bộ Bối 贝) = Thanh toán.</t>
  </si>
  <si>
    <t>接着</t>
  </si>
  <si>
    <t>jiēzhe</t>
  </si>
  <si>
    <t>Tiếp nối (接) vào trạng thái đang diễn ra (着) = Tiếp theo.</t>
  </si>
  <si>
    <t>计划</t>
  </si>
  <si>
    <t>jìhuà</t>
  </si>
  <si>
    <t>Lời nói (讠) tính toán (十) và dùng dao (刂) vạch ra nét (画) = Kế hoạch.</t>
  </si>
  <si>
    <t>积极</t>
  </si>
  <si>
    <t>jījí</t>
  </si>
  <si>
    <t>Những hạt lúa (禾) tích trữ vươn tới cực hạn (极) = Tích cực.</t>
  </si>
  <si>
    <t>积累</t>
  </si>
  <si>
    <t>jīlěi</t>
  </si>
  <si>
    <t>tích luỹ</t>
  </si>
  <si>
    <t>Hạt lúa (禾) tích trữ và sợi tơ (纟) chồng chất (累) = Tích lũy.</t>
  </si>
  <si>
    <t>仅</t>
  </si>
  <si>
    <t>jǐn</t>
  </si>
  <si>
    <t>Một người (亻) chỉ đứng ở mức vừa đủ = Chỉ.</t>
  </si>
  <si>
    <t>精彩</t>
  </si>
  <si>
    <t>jīngcǎi</t>
  </si>
  <si>
    <t>đặc sắc</t>
  </si>
  <si>
    <t>Hạt gạo (米) tinh túy được chọn lựa (彩 - bộ Thái 采 rực rỡ) = Đặc sắc.</t>
  </si>
  <si>
    <t>警察</t>
  </si>
  <si>
    <t>jǐngchá</t>
  </si>
  <si>
    <t>Lời nói (讠) cảnh báo (警) và soi xét kỹ cây cối (察) = Cảnh sát.</t>
  </si>
  <si>
    <t>景点</t>
  </si>
  <si>
    <t>jǐngdiǎn</t>
  </si>
  <si>
    <t>Những điểm (点) có cảnh sắc mặt trời (景) đẹp = Địa điểm du lịch.</t>
  </si>
  <si>
    <t>经济</t>
  </si>
  <si>
    <t>jīngjì</t>
  </si>
  <si>
    <t>Sợi tơ (经) được dòng nước (氵) cứu giúp (济) = Kinh tế.</t>
  </si>
  <si>
    <t>京剧</t>
  </si>
  <si>
    <t>jīngjù</t>
  </si>
  <si>
    <t>Vở kịch (剧) của vùng đất Kinh đô (京) = Kinh kịch.</t>
  </si>
  <si>
    <t>经历</t>
  </si>
  <si>
    <t>jīnglì</t>
  </si>
  <si>
    <t>trải nghiệm</t>
  </si>
  <si>
    <t>Sợi tơ (经) trải qua (历) nhiều bước chân (止) = Trải nghiệm.</t>
  </si>
  <si>
    <t>景区</t>
  </si>
  <si>
    <t>jǐngqū</t>
  </si>
  <si>
    <t>Vùng (区) có cảnh đẹp (景) = Khu danh lam thắng cảnh.</t>
  </si>
  <si>
    <t>竟然</t>
  </si>
  <si>
    <t>jìngrán</t>
  </si>
  <si>
    <t>Đứng thẳng (立) nói xong (竟) mà vẫn như thế (然) = Hóa ra/Lại có thể.</t>
  </si>
  <si>
    <t>景色</t>
  </si>
  <si>
    <t>jǐngsè</t>
  </si>
  <si>
    <t>cảnh sắc</t>
  </si>
  <si>
    <t>Màu sắc (色) của cảnh vật mặt trời (景) = Phong cảnh.</t>
  </si>
  <si>
    <t>尽管</t>
  </si>
  <si>
    <t>jǐnguǎn</t>
  </si>
  <si>
    <t>Dùng hết (尽) sức lực để quản lý (管) = Cho dù/Cứ việc.</t>
  </si>
  <si>
    <t>经验</t>
  </si>
  <si>
    <t>jīngyàn</t>
  </si>
  <si>
    <t>Sợi tơ (经) được con ngựa (马) kiểm chứng (验) = Kinh nghiệm.</t>
  </si>
  <si>
    <t>竞争</t>
  </si>
  <si>
    <t>jìngzhēng</t>
  </si>
  <si>
    <t>cạnh tranh</t>
  </si>
  <si>
    <t>Hai người đứng (立) tranh giành (争 - dùng tay nắm gậy) = Cạnh tranh.</t>
  </si>
  <si>
    <t>镜子</t>
  </si>
  <si>
    <t>jìngzi</t>
  </si>
  <si>
    <t>Vật bằng kim loại (钅) sáng như gương (竟) = Cái gương.</t>
  </si>
  <si>
    <t>今后</t>
  </si>
  <si>
    <t>jīnhòu</t>
  </si>
  <si>
    <t>Từ nay (今) về sau (后).</t>
  </si>
  <si>
    <t>仅仅</t>
  </si>
  <si>
    <t>jǐnjǐn</t>
  </si>
  <si>
    <t>Gấp đôi chữ Chỉ (仅) = Duy chỉ có/Vỏn vẹn.</t>
  </si>
  <si>
    <t>进入</t>
  </si>
  <si>
    <t>jìnrù</t>
  </si>
  <si>
    <t>Bước đi (辶) vào trong (入) = Đi vào.</t>
  </si>
  <si>
    <t>进行</t>
  </si>
  <si>
    <t>jìnxíng</t>
  </si>
  <si>
    <t>tiến hành</t>
  </si>
  <si>
    <t>Bước đi (辶) và di chuyển (行) = Tiến hành.</t>
  </si>
  <si>
    <t>紧张</t>
  </si>
  <si>
    <t>jǐnzhāng</t>
  </si>
  <si>
    <t>căng thẳng</t>
  </si>
  <si>
    <t>Sợi tơ thắt chặt (紧) và dây cung kéo căng (张) = Căng thẳng.</t>
  </si>
  <si>
    <t>禁止</t>
  </si>
  <si>
    <t>jìnzhǐ</t>
  </si>
  <si>
    <t>Chỉ thị (示) dừng lại (止) ở nơi có nhiều cây (林) = Cấm.</t>
  </si>
  <si>
    <t>既然</t>
  </si>
  <si>
    <t>jìrán</t>
  </si>
  <si>
    <t>Đã vậy thì</t>
  </si>
  <si>
    <t>Một người ăn xong ngoảnh mặt đi (既) và chấp nhận sự thật như thế (然) = Vì rằng/Đã vậy.</t>
  </si>
  <si>
    <t>及时</t>
  </si>
  <si>
    <t>jíshí</t>
  </si>
  <si>
    <t>Đuổi theo (及) cho kịp thời gian (时) = Kịp thời.</t>
  </si>
  <si>
    <t>即使</t>
  </si>
  <si>
    <t>jíshǐ</t>
  </si>
  <si>
    <t>Ngay cả khi đuổi theo (及) và sai khiến người (使) làm = Cho dù.</t>
  </si>
  <si>
    <t>技术</t>
  </si>
  <si>
    <t>jìshù</t>
  </si>
  <si>
    <t>Tài năng (技 - dùng tay 扌) và phương thuật (术 - cái cây 木 có vết khắc) = Kỹ thuật.</t>
  </si>
  <si>
    <t>究竟</t>
  </si>
  <si>
    <t>jiūjìng</t>
  </si>
  <si>
    <t>副、（名）</t>
  </si>
  <si>
    <t>rốt cuộc</t>
  </si>
  <si>
    <t>Nghiên cứu trong hang (穴) cho đến khi xong xuôi (竟) = Rốt cuộc/Tận cùng.</t>
  </si>
  <si>
    <t>就是</t>
  </si>
  <si>
    <t>jiùshì</t>
  </si>
  <si>
    <t>助、副、连</t>
  </si>
  <si>
    <t>Tiến đến (就) sự thật (是) = Chính là.</t>
  </si>
  <si>
    <t>继续</t>
  </si>
  <si>
    <t>jìxù</t>
  </si>
  <si>
    <t>Sợi tơ (纟) được nối tiếp (继) và liên tục (续 - bộ Mịch 纟 và bán hàng 卖) = Tiếp tục.</t>
  </si>
  <si>
    <t>记者</t>
  </si>
  <si>
    <t>jìzhě</t>
  </si>
  <si>
    <t>Người (者) chuyên ghi chép (记 - lời nói 讠 được ghi lại) = Phóng viên.</t>
  </si>
  <si>
    <t>聚</t>
  </si>
  <si>
    <t>tụ họp</t>
  </si>
  <si>
    <t>Lấy tai (耳) nghe tiếng động, lấy tay (又) dắt nhóm người đi trên đất = Tụ họp.</t>
  </si>
  <si>
    <t>举</t>
  </si>
  <si>
    <t>jǔ</t>
  </si>
  <si>
    <t>giơ lên</t>
  </si>
  <si>
    <t>Dùng đôi tay nâng vật nặng lên phía trên = Giơ lên/Nâng lên.</t>
  </si>
  <si>
    <t>举办</t>
  </si>
  <si>
    <t>jǔbàn</t>
  </si>
  <si>
    <t>tổ chức</t>
  </si>
  <si>
    <t>Giơ tay (举) ra để làm việc (办) = Tổ chức.</t>
  </si>
  <si>
    <t>聚餐</t>
  </si>
  <si>
    <t>jùcān</t>
  </si>
  <si>
    <t>Tụ họp (聚) để ăn uống (餐) = Liên hoan ăn uống.</t>
  </si>
  <si>
    <t>聚会</t>
  </si>
  <si>
    <t>jùhuì</t>
  </si>
  <si>
    <t>Tụ họp (聚) gặp gỡ nhau (会) = Tụ họp/Gặp mặt.</t>
  </si>
  <si>
    <t>拒绝</t>
  </si>
  <si>
    <t>jùjué</t>
  </si>
  <si>
    <t>Dùng tay (扌) đẩy cái cưa ra và chặt đứt sợi tơ (绝) = Từ chối.</t>
  </si>
  <si>
    <t>距离</t>
  </si>
  <si>
    <t>jùlí</t>
  </si>
  <si>
    <t>Bước chân (⻊) giữ khoảng cách với con chim lìa đàn (离) = Khoảng cách.</t>
  </si>
  <si>
    <t>举例</t>
  </si>
  <si>
    <t>jǔlì</t>
  </si>
  <si>
    <t>Nhấc (举) ra một ví dụ về người (例 - có bộ Nhân 亻) = Lấy ví dụ.</t>
  </si>
  <si>
    <t>举行</t>
  </si>
  <si>
    <t>jǔxíng</t>
  </si>
  <si>
    <t>cử hành</t>
  </si>
  <si>
    <t>Giơ tay (举) và thực hiện (行) = Cử hành/Tổ chức.</t>
  </si>
  <si>
    <t>剧院</t>
  </si>
  <si>
    <t>jùyuàn</t>
  </si>
  <si>
    <t>Tòa viện (院) dành cho các vở kịch (剧) = Nhà hát.</t>
  </si>
  <si>
    <t>开玩笑</t>
  </si>
  <si>
    <t>kāi wánxiào</t>
  </si>
  <si>
    <t>Mở (开) một trò chơi (玩) để cười (笑) = Nói đùa.</t>
  </si>
  <si>
    <t>看法</t>
  </si>
  <si>
    <t>kànfǎ</t>
  </si>
  <si>
    <t>quan điểm</t>
  </si>
  <si>
    <t>Cách (法) nhìn (看) nhận vấn đề = Quan điểm.</t>
  </si>
  <si>
    <t>烤</t>
  </si>
  <si>
    <t>Dùng lửa (火) đốt dưới đất cao (考 - cách điệu) = Nướng.</t>
  </si>
  <si>
    <t>考虑</t>
  </si>
  <si>
    <t>kǎolǜ</t>
  </si>
  <si>
    <t>cân nhắc</t>
  </si>
  <si>
    <t>Suy nghĩ kỹ như người già (考) trăn trở dưới mái nhà (虑 - có bộ Tâm 心) = Suy nghĩ/Cân nhắc.</t>
  </si>
  <si>
    <t>考生</t>
  </si>
  <si>
    <t>kǎoshēng</t>
  </si>
  <si>
    <t>Học sinh (生) đi thi (考) = Thí sinh.</t>
  </si>
  <si>
    <t>咳</t>
  </si>
  <si>
    <t>ké</t>
  </si>
  <si>
    <t>Cái miệng (口) ho ra tiếng như tiếng lợn kêu (亥) = Ho.</t>
  </si>
  <si>
    <t>克</t>
  </si>
  <si>
    <t>Một người đội mũ đứng trên đôi chân vững chãi = Gam (đơn vị)/Khắc chế.</t>
  </si>
  <si>
    <t>棵</t>
  </si>
  <si>
    <t>kē</t>
  </si>
  <si>
    <t>Cái cây (木) có quả tròn như hạt (果) = Lượng từ cho cây cối.</t>
  </si>
  <si>
    <t>课程</t>
  </si>
  <si>
    <t>kèchéng</t>
  </si>
  <si>
    <t>Bài học (课) đi theo quy trình trình tự (程) = Khóa học/Chương trình.</t>
  </si>
  <si>
    <t>科技</t>
  </si>
  <si>
    <t>kējì</t>
  </si>
  <si>
    <t>Khoa học (科 - đo lường lúa 禾) và kỹ năng (技) = Khoa học kỹ thuật.</t>
  </si>
  <si>
    <t>肯定</t>
  </si>
  <si>
    <t>kěndìng</t>
  </si>
  <si>
    <t>动、形、副</t>
  </si>
  <si>
    <t>Miệng nói đồng ý (肯 - có bộ Nguyệt 月) và xác định (定) = Khẳng định.</t>
  </si>
  <si>
    <t>客气</t>
  </si>
  <si>
    <t>kèqi</t>
  </si>
  <si>
    <t>khách sáo</t>
  </si>
  <si>
    <t>Luồng khí (气) của người khách (客) = Lịch sự/Khách sáo.</t>
  </si>
  <si>
    <t>咳嗽</t>
  </si>
  <si>
    <t>késou</t>
  </si>
  <si>
    <t>Dùng miệng (口) ho và thở hắt ra (嗽) = Ho.</t>
  </si>
  <si>
    <t>课堂</t>
  </si>
  <si>
    <t>kètáng</t>
  </si>
  <si>
    <t>Ngôi nhà (堂) dùng để dạy học (课) = Lớp học (địa điểm).</t>
  </si>
  <si>
    <t>客厅</t>
  </si>
  <si>
    <t>kètīng</t>
  </si>
  <si>
    <t>Cái sảnh (厅) để tiếp khách (客) = Phòng khách.</t>
  </si>
  <si>
    <t>可惜</t>
  </si>
  <si>
    <t>kěxī</t>
  </si>
  <si>
    <t>đáng tiếc</t>
  </si>
  <si>
    <t>Đáng (可) tiếc thương cho trái tim (惜 - có bộ Tâm 忄) = Đáng tiếc.</t>
  </si>
  <si>
    <t>科学</t>
  </si>
  <si>
    <t>kēxué</t>
  </si>
  <si>
    <t>Học (学) các môn phân loại lúa gạo (科) = Khoa học.</t>
  </si>
  <si>
    <t>空</t>
  </si>
  <si>
    <t>kòng</t>
  </si>
  <si>
    <t>thời gian rảnh</t>
  </si>
  <si>
    <t>(Đọc thanh 4): Thời gian rảnh.</t>
  </si>
  <si>
    <t>kōng</t>
  </si>
  <si>
    <t>形、（副）</t>
  </si>
  <si>
    <t>trống rỗng</t>
  </si>
  <si>
    <t>Dưới cái hang (穴) là một khoảng không (工 biến thể) = Trống rỗng/Không gian.</t>
  </si>
  <si>
    <t>恐怕</t>
  </si>
  <si>
    <t>kǒngpà</t>
  </si>
  <si>
    <t>sợ rằng</t>
  </si>
  <si>
    <t>Trái tim kinh sợ (恐) và mặt trắng bệch vì sợ (怕) = E rằng/Sợ rằng.</t>
  </si>
  <si>
    <t>空气</t>
  </si>
  <si>
    <t>kōngqì</t>
  </si>
  <si>
    <t>Luồng khí (气) trong không gian (空) = Không khí.</t>
  </si>
  <si>
    <t>口语</t>
  </si>
  <si>
    <t>kǒuyǔ</t>
  </si>
  <si>
    <t>khẩu ngữ</t>
  </si>
  <si>
    <t>Ngôn ngữ (语) dùng miệng (口) nói = Khẩu ngữ.</t>
  </si>
  <si>
    <t>苦</t>
  </si>
  <si>
    <t>kǔ</t>
  </si>
  <si>
    <t>Ăn loại cỏ (艹) mọc lâu ngày (古) nên thấy Đắng/Khổ.</t>
  </si>
  <si>
    <t>快餐</t>
  </si>
  <si>
    <t>kuàicān</t>
  </si>
  <si>
    <t>Bữa ăn (餐) nhanh (快) = Thức ăn nhanh.</t>
  </si>
  <si>
    <t>快递</t>
  </si>
  <si>
    <t>kuàidì</t>
  </si>
  <si>
    <t>Chuyển phát (递 - bước đi 辶) một cách nhanh chóng (快) = Chuyển phát nhanh.</t>
  </si>
  <si>
    <t>快速</t>
  </si>
  <si>
    <t>kuàisù</t>
  </si>
  <si>
    <t>tốc độ nhanh</t>
  </si>
  <si>
    <t>Tốc độ (速) nhanh (快).</t>
  </si>
  <si>
    <t>困</t>
  </si>
  <si>
    <t>kùn</t>
  </si>
  <si>
    <t>Cái cây (木) bị bao quanh bởi bốn bức tường (囗) nên bị Vây hãm/Buồn ngủ.</t>
  </si>
  <si>
    <t>困难</t>
  </si>
  <si>
    <t>kùnnan</t>
  </si>
  <si>
    <t>Bị vây hãm (困) và khó khăn (难) = Khó khăn.</t>
  </si>
  <si>
    <t>辣</t>
  </si>
  <si>
    <t>là</t>
  </si>
  <si>
    <t>Vị cay làm cho người ta đứng (立) không vững, mặt đỏ như bó bó lúa (束) = Cay.</t>
  </si>
  <si>
    <t>拉</t>
  </si>
  <si>
    <t>lā</t>
  </si>
  <si>
    <t>lôi/kéo</t>
  </si>
  <si>
    <t>Dùng tay (扌) đứng dậy (立) để Kéo vật gì đó.</t>
  </si>
  <si>
    <t>来不及</t>
  </si>
  <si>
    <t>láibují</t>
  </si>
  <si>
    <t>Tìm đến (来) nhưng không (不) đuổi kịp (及) = Không kịp.</t>
  </si>
  <si>
    <t>来得及</t>
  </si>
  <si>
    <t>láidejí</t>
  </si>
  <si>
    <t>Tìm đến (来) và đạt được (得) sự kịp thời (及) = Kịp thời.</t>
  </si>
  <si>
    <t>垃圾</t>
  </si>
  <si>
    <t>lājī</t>
  </si>
  <si>
    <t>Đất (土) tích tụ lại thành các loại rác thải bỏ đi = Rác.</t>
  </si>
  <si>
    <t>懒</t>
  </si>
  <si>
    <t>lǎn</t>
  </si>
  <si>
    <t>Trái tim (忄) cảm thấy mệt mỏi và muốn bó hẹp lại trong nhà (赖) = Lười biếng.</t>
  </si>
  <si>
    <t>浪费</t>
  </si>
  <si>
    <t>làngfèi</t>
  </si>
  <si>
    <t>lãng phí</t>
  </si>
  <si>
    <t>Nước (氵) chảy tràn lan và tiền bạc (费) tiêu tốn vô ích = Lãng phí.</t>
  </si>
  <si>
    <t>浪漫</t>
  </si>
  <si>
    <t>làngmàn</t>
  </si>
  <si>
    <t>Sóng nước (氵) mênh mông, nhẹ nhàng như dải lụa = Lãng mạn.</t>
  </si>
  <si>
    <t>老虎</t>
  </si>
  <si>
    <t>lǎohǔ</t>
  </si>
  <si>
    <t>Con hổ (虎) già (老) = Con hổ.</t>
  </si>
  <si>
    <t>老家</t>
  </si>
  <si>
    <t>lǎojiā</t>
  </si>
  <si>
    <t>Ngôi nhà (家) cũ (老) = Quê quán.</t>
  </si>
  <si>
    <t>老年</t>
  </si>
  <si>
    <t>lǎonián</t>
  </si>
  <si>
    <t>Những năm tháng (年) già nua (老) = Tuổi già.</t>
  </si>
  <si>
    <t>老是</t>
  </si>
  <si>
    <t>lǎoshì</t>
  </si>
  <si>
    <t>Luôn luôn (老) là (是) như vậy = Luôn luôn/Cứ mãi.</t>
  </si>
  <si>
    <t>冷静</t>
  </si>
  <si>
    <t>lěngjìng</t>
  </si>
  <si>
    <t>Lạnh (冷) và tĩnh lặng (静) = Bình tĩnh.</t>
  </si>
  <si>
    <t>俩</t>
  </si>
  <si>
    <t>liǎ</t>
  </si>
  <si>
    <t>Người (亻) và số hai (两) viết tắt = Hai người/Cả hai.</t>
  </si>
  <si>
    <t>lián</t>
  </si>
  <si>
    <t>介、（动、副）</t>
  </si>
  <si>
    <t>liên tiếp</t>
  </si>
  <si>
    <t>Bước đi (辶) nối tiếp bằng xe (车) = Liên tiếp/Ngay cả.</t>
  </si>
  <si>
    <t>凉</t>
  </si>
  <si>
    <t>liáng</t>
  </si>
  <si>
    <t>mát mẻ</t>
  </si>
  <si>
    <t>Nước đá (冫) ở trên kinh đô (京) thường Mát mẻ.</t>
  </si>
  <si>
    <t>Đo lường</t>
  </si>
  <si>
    <t>Mặt trời (日) mọc trên cánh đồng (里) để đo Số lượng.</t>
  </si>
  <si>
    <t>亮</t>
  </si>
  <si>
    <t>Dưới mái nhà có miệng ăn và đôi chân đang tỏa Sáng.</t>
  </si>
  <si>
    <t>Hình ảnh hai khối vật treo trên đòn gánh = Số hai.</t>
  </si>
  <si>
    <t>联系</t>
  </si>
  <si>
    <t>liánxì</t>
  </si>
  <si>
    <t>liên hệ</t>
  </si>
  <si>
    <t>Kết nối bằng sợi tơ (系) nối tiếp nhau (连) = Liên hệ.</t>
  </si>
  <si>
    <t>列</t>
  </si>
  <si>
    <t>liè</t>
  </si>
  <si>
    <t>hàng/dãy</t>
  </si>
  <si>
    <t>Dùng dao (刂) tách ra theo từng Hàng/Dãy.</t>
  </si>
  <si>
    <t>理发</t>
  </si>
  <si>
    <t>lǐfà</t>
  </si>
  <si>
    <t>Sắp xếp lại ngọc (理) trên tóc (发) = Cắt tóc.</t>
  </si>
  <si>
    <t>厉害</t>
  </si>
  <si>
    <t>lìhai</t>
  </si>
  <si>
    <t>lợi hại</t>
  </si>
  <si>
    <t>Sự lợi hại (利) gây ra tác hại (害) cho đối thủ = Lợi hại/Khủng khiếp.</t>
  </si>
  <si>
    <t>理解</t>
  </si>
  <si>
    <t>lǐjiě</t>
  </si>
  <si>
    <t>Hiểu rõ thớ ngọc (理) sau khi đã mổ xẻ (解) = Thấu hiểu.</t>
  </si>
  <si>
    <t>礼貌</t>
  </si>
  <si>
    <t>lǐmào</t>
  </si>
  <si>
    <t>Nghi lễ (礼) thể hiện qua diện mạo (貌) = Lễ phép.</t>
  </si>
  <si>
    <t>另</t>
  </si>
  <si>
    <t>lìng</t>
  </si>
  <si>
    <t>Một cái miệng (口) khác dùng lực (力) nói = Khác/Rời ra.</t>
  </si>
  <si>
    <t>零下</t>
  </si>
  <si>
    <t>líng xià</t>
  </si>
  <si>
    <t>Dưới (下) mức không/mưa rơi (零) = Độ âm (thời tiết).</t>
  </si>
  <si>
    <t>零花钱</t>
  </si>
  <si>
    <t>línghuāqián</t>
  </si>
  <si>
    <t>Tiền (钱) lẻ dùng để tiêu xài (花) lặt vặt = Tiền tiêu vặt.</t>
  </si>
  <si>
    <t>零钱</t>
  </si>
  <si>
    <t>língqián</t>
  </si>
  <si>
    <t>Tiền (钱) nhỏ lẻ như mưa rơi (零) = Tiền lẻ.</t>
  </si>
  <si>
    <t>零食</t>
  </si>
  <si>
    <t>língshí</t>
  </si>
  <si>
    <t>Đồ ăn (食) vặt nhỏ lẻ (零) = Quà vặt/Đồ ăn vặt.</t>
  </si>
  <si>
    <t>另外</t>
  </si>
  <si>
    <t>lìngwài</t>
  </si>
  <si>
    <t>代、副、连</t>
  </si>
  <si>
    <t>Cái khác (另) nằm ở bên ngoài (外) = Ngoài ra.</t>
  </si>
  <si>
    <t>力气</t>
  </si>
  <si>
    <t>lìqi</t>
  </si>
  <si>
    <t>Cái khí (气) sinh ra từ sức lực (力) = Sức lực.</t>
  </si>
  <si>
    <t>例如</t>
  </si>
  <si>
    <t>lìrú</t>
  </si>
  <si>
    <t>Ví dụ về một người (例) nói lời như là (如) = Ví dụ như.</t>
  </si>
  <si>
    <t>留</t>
  </si>
  <si>
    <t>liú</t>
  </si>
  <si>
    <t>Dừng lại ở cánh đồng (田) và không rời đi = Ở lại/Lưu giữ.</t>
  </si>
  <si>
    <t>流</t>
  </si>
  <si>
    <t>Nước (氵) chảy trôi đi như dòng suối = Chảy.</t>
  </si>
  <si>
    <t>流利</t>
  </si>
  <si>
    <t>liúlì</t>
  </si>
  <si>
    <t>Chảy (流) sắc bén (利) như dao = Trôi chảy/Lưu loát.</t>
  </si>
  <si>
    <t>留下</t>
  </si>
  <si>
    <t>liúxia</t>
  </si>
  <si>
    <t>để lại</t>
  </si>
  <si>
    <t>Để (留) lại phía dưới (下) = Để lại.</t>
  </si>
  <si>
    <t>流行</t>
  </si>
  <si>
    <t>liúxíng</t>
  </si>
  <si>
    <t>Chảy đi (流) và lưu thông (行) khắp nơi = Thịnh hành.</t>
  </si>
  <si>
    <t>理想</t>
  </si>
  <si>
    <t>lǐxiǎng</t>
  </si>
  <si>
    <t>Ý nghĩ (想) về những điều có đạo lý (理) tốt đẹp = Lý tưởng.</t>
  </si>
  <si>
    <t>例子</t>
  </si>
  <si>
    <t>lìzi</t>
  </si>
  <si>
    <t>Một ví dụ về con người (例).</t>
  </si>
  <si>
    <t>乱</t>
  </si>
  <si>
    <t>luàn</t>
  </si>
  <si>
    <t>Lưỡi (舌) và sợi tơ rối loạn đan xen = Lộn xộn/Bừa bãi.</t>
  </si>
  <si>
    <t>旅馆</t>
  </si>
  <si>
    <t>lǚguǎn</t>
  </si>
  <si>
    <t>khách sạn</t>
  </si>
  <si>
    <t>Tòa nhà (馆) cho người đi du lịch (旅) = Khách sạn.</t>
  </si>
  <si>
    <t>路过</t>
  </si>
  <si>
    <t>lùguò</t>
  </si>
  <si>
    <t>Đi qua (过) con đường (路) = Đi ngang qua.</t>
  </si>
  <si>
    <t>旅客</t>
  </si>
  <si>
    <t>lǚkè</t>
  </si>
  <si>
    <t>Người khách (客) đi du lịch (旅) = Hành khách/Lữ khách.</t>
  </si>
  <si>
    <t>落</t>
  </si>
  <si>
    <t>luò</t>
  </si>
  <si>
    <t>rơi/rớt</t>
  </si>
  <si>
    <t>Cỏ cây (艹) rơi xuống nước (氵) ở mỗi (各) nơi = Rơi/Rớt.</t>
  </si>
  <si>
    <t>律师</t>
  </si>
  <si>
    <t>lǜshī</t>
  </si>
  <si>
    <t>Người thầy (师) nắm rõ luật lệ (律) = Luật sư.</t>
  </si>
  <si>
    <t>旅行</t>
  </si>
  <si>
    <t>lǚxíng</t>
  </si>
  <si>
    <t>Đi du lịch (旅) và di chuyển (行) = Du lịch.</t>
  </si>
  <si>
    <t>麻烦</t>
  </si>
  <si>
    <t>máfan</t>
  </si>
  <si>
    <t>形、动、名</t>
  </si>
  <si>
    <t>Cây gai trong nhà (麻) làm đầu bốc hỏa (烦) = Phiền phức.</t>
  </si>
  <si>
    <t>满</t>
  </si>
  <si>
    <t>mǎn</t>
  </si>
  <si>
    <t>Nước (氵) đổ đầy bình có nắp đậy (满) = Đầy/Thỏa mãn.</t>
  </si>
  <si>
    <t>馒头</t>
  </si>
  <si>
    <t>mántou</t>
  </si>
  <si>
    <t>màn thầu</t>
  </si>
  <si>
    <t>Loại bánh mì hấp làm từ bột lương thực (饣) = Màn thầu.</t>
  </si>
  <si>
    <t>毛巾</t>
  </si>
  <si>
    <t>máojīn</t>
  </si>
  <si>
    <t>khăn mặt</t>
  </si>
  <si>
    <t>Khăn (巾) làm bằng lông/sợi (毛) = Khăn mặt.</t>
  </si>
  <si>
    <t>毛衣</t>
  </si>
  <si>
    <t>máoyī</t>
  </si>
  <si>
    <t>Áo (衣) làm bằng len/lông (毛) = Áo len.</t>
  </si>
  <si>
    <t>帽子</t>
  </si>
  <si>
    <t>màozi</t>
  </si>
  <si>
    <t>Đồ vật dùng để che nắng (冒 - có bộ Nhật 日) cho cái đầu = Cái mũ.</t>
  </si>
  <si>
    <t>美</t>
  </si>
  <si>
    <t>đẹp</t>
  </si>
  <si>
    <t>Con dê (羊) to lớn (大) thì trông rất Đẹp.</t>
  </si>
  <si>
    <t>美好</t>
  </si>
  <si>
    <t>měihǎo</t>
  </si>
  <si>
    <t>tốt đẹp</t>
  </si>
  <si>
    <t>Đẹp (美) và tốt (好) = Tốt đẹp/Đẹp đẽ.</t>
  </si>
  <si>
    <t>美景</t>
  </si>
  <si>
    <t>měijǐng</t>
  </si>
  <si>
    <t>Cảnh sắc (景) đẹp đẽ (美) = Cảnh đẹp.</t>
  </si>
  <si>
    <t>美丽</t>
  </si>
  <si>
    <t>měilì</t>
  </si>
  <si>
    <t>xinh đẹp</t>
  </si>
  <si>
    <t>Đẹp (美) và lộng lẫy (丽 - hình ảnh hai chiếc sừng hươu) = Xinh đẹp.</t>
  </si>
  <si>
    <t>美食</t>
  </si>
  <si>
    <t>měishí</t>
  </si>
  <si>
    <t>Đồ ăn (食) ngon và đẹp (美) = Mỹ thực/Món ăn ngon.</t>
  </si>
  <si>
    <t>梦</t>
  </si>
  <si>
    <t>mèng</t>
  </si>
  <si>
    <t>Buổi đêm (夕) nhìn thấy rừng cây (林) dưới mái nhà (冖) mờ ảo = Giấc mơ.</t>
  </si>
  <si>
    <t>梦想</t>
  </si>
  <si>
    <t>mèngxiǎng</t>
  </si>
  <si>
    <t>ước mơ</t>
  </si>
  <si>
    <t>Ý nghĩ (想) về những giấc mơ (梦) = Ước mơ.</t>
  </si>
  <si>
    <t>面对</t>
  </si>
  <si>
    <t>miànduì</t>
  </si>
  <si>
    <t>đối mặt</t>
  </si>
  <si>
    <t>Đưa mặt (面) ra đối (对) diện = Đối mặt.</t>
  </si>
  <si>
    <t>免费</t>
  </si>
  <si>
    <t>miǎnfèi</t>
  </si>
  <si>
    <t>Miễn đi (免) khoản chi phí (费) = Miễn phí.</t>
  </si>
  <si>
    <t>面试</t>
  </si>
  <si>
    <t>miànshì</t>
  </si>
  <si>
    <t>Đối diện mặt (面) để thi thử (试) = Phỏng vấn.</t>
  </si>
  <si>
    <t>秒</t>
  </si>
  <si>
    <t>miǎo</t>
  </si>
  <si>
    <t>giây</t>
  </si>
  <si>
    <t>Hạt lúa (禾) nhỏ bé như mầm non (少) = Giây (đơn vị thời gian).</t>
  </si>
  <si>
    <t>密码</t>
  </si>
  <si>
    <t>mìmǎ</t>
  </si>
  <si>
    <t>Những con số (码) chứa bí mật (密 - dưới mái nhà có núi rừng) = Mật mã.</t>
  </si>
  <si>
    <t>民族</t>
  </si>
  <si>
    <t>mínzú</t>
  </si>
  <si>
    <t>dân tộc</t>
  </si>
  <si>
    <t>Dòng họ (族) của những người dân (民) = Dân tộc.</t>
  </si>
  <si>
    <t>末</t>
  </si>
  <si>
    <t>mò</t>
  </si>
  <si>
    <t>cuối cùng</t>
  </si>
  <si>
    <t>Cái cây có cành ở trên dài hơn ở dưới: Cuối cùng/Ngọn.</t>
  </si>
  <si>
    <t>目标</t>
  </si>
  <si>
    <t>mùbiāo</t>
  </si>
  <si>
    <t>Con mắt (目) nhìn vào cột mốc cây (标) = Mục tiêu.</t>
  </si>
  <si>
    <t>目的</t>
  </si>
  <si>
    <t>mùdì</t>
  </si>
  <si>
    <t>Con mắt (目) nhìn vào đích bắn màu trắng (的) = Mục đích.</t>
  </si>
  <si>
    <t>目的地</t>
  </si>
  <si>
    <t>mùdìdì</t>
  </si>
  <si>
    <t>Vùng đất (地) là mục đích (目的) phải đến = Điểm đến.</t>
  </si>
  <si>
    <t>母女</t>
  </si>
  <si>
    <t>mǔnǚ</t>
  </si>
  <si>
    <t>Mẹ (母) và con gái (女).</t>
  </si>
  <si>
    <t>目前</t>
  </si>
  <si>
    <t>mùqián</t>
  </si>
  <si>
    <t>trước mắt</t>
  </si>
  <si>
    <t>Những gì đang ở trước (前) mắt (目) = Hiện nay/Trước mắt.</t>
  </si>
  <si>
    <t>母亲</t>
  </si>
  <si>
    <t>mǔqīn</t>
  </si>
  <si>
    <t>Người mẹ (母) thân thiết (亲).</t>
  </si>
  <si>
    <t>母子</t>
  </si>
  <si>
    <t>mǔzǐ</t>
  </si>
  <si>
    <t>Mẹ (母) và con trai (子).</t>
  </si>
  <si>
    <t>耐心</t>
  </si>
  <si>
    <t>nàixīn</t>
  </si>
  <si>
    <t>Để trái tâm (心) chịu đựng (耐 - bộ Nhi 而 là râu cằm) = Kiên nhẫn.</t>
  </si>
  <si>
    <t>南部</t>
  </si>
  <si>
    <t>nánbù</t>
  </si>
  <si>
    <t>Bộ phận (部) phía Nam (南).</t>
  </si>
  <si>
    <t>难道</t>
  </si>
  <si>
    <t>nándào</t>
  </si>
  <si>
    <t>Khó (难) có thể nói (道) ra rằng... = Lẽ nào.</t>
  </si>
  <si>
    <t>男士</t>
  </si>
  <si>
    <t>nánshì</t>
  </si>
  <si>
    <t>quý ông</t>
  </si>
  <si>
    <t>Người đàn ông (男) có tri thức (士) = Quý ông.</t>
  </si>
  <si>
    <t>难受</t>
  </si>
  <si>
    <t>nánshòu</t>
  </si>
  <si>
    <t>Khó (难) lòng mà nhận/chịu (受) được = Khó chịu/Buồn bã.</t>
  </si>
  <si>
    <t>难忘</t>
  </si>
  <si>
    <t>nánwàng</t>
  </si>
  <si>
    <t>Khó (难) mà quên (忘) được = Khó quên.</t>
  </si>
  <si>
    <t>男性</t>
  </si>
  <si>
    <t>nánxìng</t>
  </si>
  <si>
    <t>Giới tính (性) nam (男).</t>
  </si>
  <si>
    <t>内</t>
  </si>
  <si>
    <t>nèi</t>
  </si>
  <si>
    <t>Hình ảnh người bước vào trong một lối đi: Bên trong.</t>
  </si>
  <si>
    <t>内容</t>
  </si>
  <si>
    <t>nèiróng</t>
  </si>
  <si>
    <t>Những thứ chứa đựng (容) ở bên trong (内) = Nội dung.</t>
  </si>
  <si>
    <t>内心</t>
  </si>
  <si>
    <t>nèixīn</t>
  </si>
  <si>
    <t>nội tâm</t>
  </si>
  <si>
    <t>Trái tim (心) ở bên trong (内) = Nội tâm.</t>
  </si>
  <si>
    <t>能否</t>
  </si>
  <si>
    <t>néng fǒu</t>
  </si>
  <si>
    <t>Có khả năng (能) hay không (否) = Có thể hay không.</t>
  </si>
  <si>
    <t>能够</t>
  </si>
  <si>
    <t>nénggòu</t>
  </si>
  <si>
    <t>có thể hay không</t>
  </si>
  <si>
    <t>Có khả năng (能) một cách đầy đủ (够) = Có thể/Đủ khả năng.</t>
  </si>
  <si>
    <t>能力</t>
  </si>
  <si>
    <t>nénglì</t>
  </si>
  <si>
    <t>năng lực</t>
  </si>
  <si>
    <t>Sức lực (力) thể hiện khả năng (能) = Năng lực.</t>
  </si>
  <si>
    <t>嗯</t>
  </si>
  <si>
    <t>ǹg</t>
  </si>
  <si>
    <t>Dùng miệng (口) phát âm thanh đồng ý: Ừ/Vâng.</t>
  </si>
  <si>
    <t>年底</t>
  </si>
  <si>
    <t>niándǐ</t>
  </si>
  <si>
    <t>Phần đáy (底) của một năm (年) = Cuối năm.</t>
  </si>
  <si>
    <t>年龄</t>
  </si>
  <si>
    <t>niánlíng</t>
  </si>
  <si>
    <t>Số năm (年) gắn với răng (龄 - bộ Xỉ 齿 chỉ tuổi) = Tuổi tác.</t>
  </si>
  <si>
    <t>弄</t>
  </si>
  <si>
    <t>nòng</t>
  </si>
  <si>
    <t>làm</t>
  </si>
  <si>
    <t>Hai bàn tay bưng viên ngọc (王) lên để Làm/Nghịch.</t>
  </si>
  <si>
    <t>农村</t>
  </si>
  <si>
    <t>nóngcūn</t>
  </si>
  <si>
    <t>Ngôi làng (村) của những người làm nông (农) = Nông thôn.</t>
  </si>
  <si>
    <t>暖和</t>
  </si>
  <si>
    <t>nuǎnhuo</t>
  </si>
  <si>
    <t>Ánh mặt trời (日) chiếu vào người tạo sự hòa hợp (和) = Ấm áp.</t>
  </si>
  <si>
    <t>女性</t>
  </si>
  <si>
    <t>nǚxìng</t>
  </si>
  <si>
    <t>Giới tính (性) nữ (女).</t>
  </si>
  <si>
    <t>偶尔</t>
  </si>
  <si>
    <t>ǒu'ěr</t>
  </si>
  <si>
    <t>副、形</t>
  </si>
  <si>
    <t>Một người (亻) thỉnh thoảng mới trùng lặp (偶) = Thỉnh thoảng.</t>
  </si>
  <si>
    <t>排</t>
  </si>
  <si>
    <t>pái</t>
  </si>
  <si>
    <t>xếp hàng</t>
  </si>
  <si>
    <t>Dùng tay (扌) xếp những người trái ngược nhau (非) thành Hàng.</t>
  </si>
  <si>
    <t>牌</t>
  </si>
  <si>
    <t>Tấm bảng làm bằng mảnh gỗ (片) có ghi tên/số = Thẻ/Bài/Nhãn.</t>
  </si>
  <si>
    <t>拍</t>
  </si>
  <si>
    <t>pāi</t>
  </si>
  <si>
    <t>Vỗ/Đập/Chụp ảnh</t>
  </si>
  <si>
    <t>Dùng tay (扌) vỗ vào người màu trắng (白) = Vỗ/Đập/Chụp ảnh.</t>
  </si>
  <si>
    <t>排队</t>
  </si>
  <si>
    <t>páiduì</t>
  </si>
  <si>
    <t>Sắp hàng (排) thành đội ngũ (队) = Xếp hàng.</t>
  </si>
  <si>
    <t>排球</t>
  </si>
  <si>
    <t>páiqiú</t>
  </si>
  <si>
    <t>Quả bóng (球) dùng tay đẩy/xếp (排) = Bóng chuyền.</t>
  </si>
  <si>
    <t>牌子</t>
  </si>
  <si>
    <t>páizi</t>
  </si>
  <si>
    <t>bảng hiệu</t>
  </si>
  <si>
    <t>Cái bảng hiệu (牌).</t>
  </si>
  <si>
    <t>判断</t>
  </si>
  <si>
    <t>pànduàn</t>
  </si>
  <si>
    <t>phán đoán</t>
  </si>
  <si>
    <t>Dùng dao (刂) và rìu chặt đứt sợi tơ (断) để Phán đoán.</t>
  </si>
  <si>
    <t>陪</t>
  </si>
  <si>
    <t>péi</t>
  </si>
  <si>
    <t>Đi cùng người khác bên gò đất (阝) để làm bộ phận (部) đi theo = Đồng hành/Dẫn dắt.</t>
  </si>
  <si>
    <t>片</t>
  </si>
  <si>
    <t>piàn</t>
  </si>
  <si>
    <t>miếng/lát/tấm</t>
  </si>
  <si>
    <t>Hình ảnh một lát mỏng được chẻ ra từ khúc gỗ: Miếng/Lát/Tấm.</t>
  </si>
  <si>
    <t>篇</t>
  </si>
  <si>
    <t>piān</t>
  </si>
  <si>
    <t>Những thẻ tre (竹) viết về một cánh cửa (扁) = Lượng từ cho bài văn/chương.</t>
  </si>
  <si>
    <t>皮肤</t>
  </si>
  <si>
    <t>pífū</t>
  </si>
  <si>
    <t>Lớp da (皮) của người đàn ông (夫) = Da.</t>
  </si>
  <si>
    <t>平常</t>
  </si>
  <si>
    <t>píngcháng</t>
  </si>
  <si>
    <t>Bằng phẳng (平) và thường xuyên (常) = Bình thường.</t>
  </si>
  <si>
    <t>乒乓球</t>
  </si>
  <si>
    <t>pīngpāngqiú</t>
  </si>
  <si>
    <t>Hai chữ giống chữ Binh (兵) nhưng mất một chân đối xứng = Bóng bàn.</t>
  </si>
  <si>
    <t>批评</t>
  </si>
  <si>
    <t>pīpíng</t>
  </si>
  <si>
    <t>phê bình</t>
  </si>
  <si>
    <t>Dùng tay (扌) vỗ và dùng lời nói (讠) bình luận (评) = Phê bình.</t>
  </si>
  <si>
    <t>脾气</t>
  </si>
  <si>
    <t>píqi</t>
  </si>
  <si>
    <t>Cái khí (气) từ nội tạng cơ thể (脾 - bộ Nguyệt 月) = Tính cách/Tính khí.</t>
  </si>
  <si>
    <t>皮鞋</t>
  </si>
  <si>
    <t>píxié</t>
  </si>
  <si>
    <t>Chiếc giày (鞋) làm bằng da (皮) = Giày da.</t>
  </si>
  <si>
    <t>破</t>
  </si>
  <si>
    <t>pò</t>
  </si>
  <si>
    <t>Dùng đá (石) đập vào tấm da (皮) làm cho nó Rách/Hỏng.</t>
  </si>
  <si>
    <t>普遍</t>
  </si>
  <si>
    <t>pǔbiàn</t>
  </si>
  <si>
    <t>phổ biến</t>
  </si>
  <si>
    <t>Phổ biến (普) khắp mọi nơi (遍 - bước đi 辶 khắp nơi) = Phổ biến.</t>
  </si>
  <si>
    <t>葡萄</t>
  </si>
  <si>
    <t>pútao</t>
  </si>
  <si>
    <t>Loại cỏ (艹) mọc thành chùm tròn trịa như bao bọc (勹) lấy nhau = Nho.</t>
  </si>
  <si>
    <t>葡萄酒</t>
  </si>
  <si>
    <t>pútaojiǔ</t>
  </si>
  <si>
    <t>rượu nho</t>
  </si>
  <si>
    <t>Rượu (酒) làm từ quả nho (葡萄).</t>
  </si>
  <si>
    <t>普通</t>
  </si>
  <si>
    <t>pǔtōng</t>
  </si>
  <si>
    <t>phổ thông</t>
  </si>
  <si>
    <t>Phổ biến (普) và thông suốt (通) = Thông thường/Phổ thông.</t>
  </si>
  <si>
    <t>普通话</t>
  </si>
  <si>
    <t>pǔtōnghuà</t>
  </si>
  <si>
    <t>Lời nói (话) phổ thông (普通) = Tiếng phổ thông.</t>
  </si>
  <si>
    <t>气</t>
  </si>
  <si>
    <t>qì</t>
  </si>
  <si>
    <t>Hình ảnh luồng hơi nước bốc lên từ nồi cơm = Hơi/Khí.</t>
  </si>
  <si>
    <t>期</t>
  </si>
  <si>
    <t>kỳ/thời hạn</t>
  </si>
  <si>
    <t>Thời gian mặt trăng (月) mọc trên vùng đất phía Đông (其) = Kỳ/Thời hạn.</t>
  </si>
  <si>
    <t>前方</t>
  </si>
  <si>
    <t>qiánfāng</t>
  </si>
  <si>
    <t>Phương (方) hướng phía trước (前).</t>
  </si>
  <si>
    <t>强</t>
  </si>
  <si>
    <t>qiáng</t>
  </si>
  <si>
    <t>Con trùng (虫) nằm dưới cánh cung (弓) rất Mạnh mẽ.</t>
  </si>
  <si>
    <t>前后</t>
  </si>
  <si>
    <t>qiánhòu</t>
  </si>
  <si>
    <t>Trước (前) và Sau (后).</t>
  </si>
  <si>
    <t>千克</t>
  </si>
  <si>
    <t>qiānkè</t>
  </si>
  <si>
    <t>Một nghìn (千) gam (克) = Kilôgam.</t>
  </si>
  <si>
    <t>千万</t>
  </si>
  <si>
    <t>qiānwàn</t>
  </si>
  <si>
    <t>vô vàn, nhất thiết</t>
  </si>
  <si>
    <t>Một nghìn (千) và một vạn (万) = Nhất thiết/Vô vàn.</t>
  </si>
  <si>
    <t>签证</t>
  </si>
  <si>
    <t>qiānzhèng</t>
  </si>
  <si>
    <t>Chữ ký trên thẻ tre (签) để làm bằng chứng (证) = Thị thực/Visa.</t>
  </si>
  <si>
    <t>桥</t>
  </si>
  <si>
    <t>qiáo</t>
  </si>
  <si>
    <t>Cái cây (木) cao (高) bắc qua sông = Cây cầu.</t>
  </si>
  <si>
    <t>巧</t>
  </si>
  <si>
    <t>qiǎo</t>
  </si>
  <si>
    <t>Người thợ (工) dùng kỹ năng khéo léo (丂) = Khéo léo/Tình cờ.</t>
  </si>
  <si>
    <t>敲</t>
  </si>
  <si>
    <t>qiāo</t>
  </si>
  <si>
    <t>gõ</t>
  </si>
  <si>
    <t>Dùng tay gõ vào vật cao (高) phát ra tiếng động (攵) = Gõ (cửa).</t>
  </si>
  <si>
    <t>巧克力</t>
  </si>
  <si>
    <t>qiǎokèlì</t>
  </si>
  <si>
    <t>Phiên âm từ "Chocolate". Khéo léo (巧) vượt qua (克) sức lực (力).</t>
  </si>
  <si>
    <t>其次</t>
  </si>
  <si>
    <t>qícì</t>
  </si>
  <si>
    <t>Cái đó (其) ở vị trí thứ hai (次) = Thứ hai/Tiếp theo.</t>
  </si>
  <si>
    <t>起到</t>
  </si>
  <si>
    <t>qǐdào</t>
  </si>
  <si>
    <t>phát huy / tạo ra</t>
  </si>
  <si>
    <t>Đứng dậy (起) và đạt được (到) = Dẫn đến/Phát huy (tác dụng).</t>
  </si>
  <si>
    <t>气候</t>
  </si>
  <si>
    <t>qìhòu</t>
  </si>
  <si>
    <t>Luồng khí (气) chờ đợi (候) sự thay đổi = Khí hậu.</t>
  </si>
  <si>
    <t>期末</t>
  </si>
  <si>
    <t>qīmò</t>
  </si>
  <si>
    <t>cuối kỳ</t>
  </si>
  <si>
    <t>Điểm cuối (末) của một kỳ (期) = Cuối kỳ.</t>
  </si>
  <si>
    <t>琴</t>
  </si>
  <si>
    <t>qín</t>
  </si>
  <si>
    <t>đàn</t>
  </si>
  <si>
    <t>Hai ông vua (王) cùng thưởng thức tiếng đàn gỗ (今 bên dưới) = Đàn.</t>
  </si>
  <si>
    <t>轻</t>
  </si>
  <si>
    <t>qīng</t>
  </si>
  <si>
    <t>nhẹ nhàng</t>
  </si>
  <si>
    <t>Chiếc xe (车) đi trên đường thẳng (巠) rất Nhẹ nhàng.</t>
  </si>
  <si>
    <t>情况</t>
  </si>
  <si>
    <t>qíngkuàng</t>
  </si>
  <si>
    <t>Tình cảm (情) và trạng thái (况) = Tình hình.</t>
  </si>
  <si>
    <t>青年</t>
  </si>
  <si>
    <t>qīngnián</t>
  </si>
  <si>
    <t>thanh niên</t>
  </si>
  <si>
    <t>Những năm tháng (年) tươi trẻ màu xanh (青) = Thanh niên.</t>
  </si>
  <si>
    <t>轻松</t>
  </si>
  <si>
    <t>qīngsōng</t>
  </si>
  <si>
    <t>thư giãn</t>
  </si>
  <si>
    <t>Nhẹ nhàng (轻) như cây thông (松) trước gió = Thư giãn.</t>
  </si>
  <si>
    <t>庆祝</t>
  </si>
  <si>
    <t>qìngzhù</t>
  </si>
  <si>
    <t>chúc mừng</t>
  </si>
  <si>
    <t>Ngày lễ lớn (庆) nói lời (讠) cầu chúc (祝) = Chúc mừng.</t>
  </si>
  <si>
    <t>亲戚</t>
  </si>
  <si>
    <t>qīnqi</t>
  </si>
  <si>
    <t>thân thiết/họ hàng</t>
  </si>
  <si>
    <t>Người thân (亲) và họ hàng (戚) = Họ hàng.</t>
  </si>
  <si>
    <t>汽水</t>
  </si>
  <si>
    <t>qìshuǐ</t>
  </si>
  <si>
    <t>nước có ga</t>
  </si>
  <si>
    <t>Nước (水) có gas (汽) = Nước ngọt có gas.</t>
  </si>
  <si>
    <t>球队</t>
  </si>
  <si>
    <t>qiúduì</t>
  </si>
  <si>
    <t>đội bóng</t>
  </si>
  <si>
    <t>Đội ngũ (队) chơi bóng (球).</t>
  </si>
  <si>
    <t>球迷</t>
  </si>
  <si>
    <t>qiúmí</t>
  </si>
  <si>
    <t>người hâm mộ bóng đã</t>
  </si>
  <si>
    <t>Người hâm mộ (迷) trái bóng (球) = Người hâm mộ bóng đá.</t>
  </si>
  <si>
    <t>气温</t>
  </si>
  <si>
    <t>qìwēn</t>
  </si>
  <si>
    <t>Nhiệt độ (温) của không khí (气).</t>
  </si>
  <si>
    <t>其中</t>
  </si>
  <si>
    <t>qízhōng</t>
  </si>
  <si>
    <t>trong đó</t>
  </si>
  <si>
    <t>Ở trong (中) cái đó (其) = Trong đó.</t>
  </si>
  <si>
    <t>期中</t>
  </si>
  <si>
    <t>qīzhōng</t>
  </si>
  <si>
    <t>Ở giữa (中) một kỳ (期) = Giữa kỳ.</t>
  </si>
  <si>
    <t>取</t>
  </si>
  <si>
    <t>qǔ</t>
  </si>
  <si>
    <t>nhận/rút</t>
  </si>
  <si>
    <t>Dùng tay (又) lấy cái tai (耳) = Lấy/Nhận.</t>
  </si>
  <si>
    <t>区</t>
  </si>
  <si>
    <t>qū</t>
  </si>
  <si>
    <t>khu</t>
  </si>
  <si>
    <t>Đồ vật được cất giữ trong một cái hộp che chắn = Khu vực.</t>
  </si>
  <si>
    <t>全</t>
  </si>
  <si>
    <t>quán</t>
  </si>
  <si>
    <t>toàn (bộ)</t>
  </si>
  <si>
    <t>Ông vua (王) đứng dưới mái nhà (入) cai quản Toàn bộ.</t>
  </si>
  <si>
    <t>全部</t>
  </si>
  <si>
    <t>quánbù</t>
  </si>
  <si>
    <t>toàn bộ</t>
  </si>
  <si>
    <t>Toàn bộ (全) các bộ phận (部).</t>
  </si>
  <si>
    <t>全都</t>
  </si>
  <si>
    <t>quándōu</t>
  </si>
  <si>
    <t>Tất cả (全) đều (都).</t>
  </si>
  <si>
    <t>全球</t>
  </si>
  <si>
    <t>quánqiú</t>
  </si>
  <si>
    <t>toàn cầu</t>
  </si>
  <si>
    <t>Toàn bộ (全) quả cầu (球) = Toàn cầu.</t>
  </si>
  <si>
    <t>全身</t>
  </si>
  <si>
    <t>quánshēn</t>
  </si>
  <si>
    <t>Toàn bộ (全) thân thể (身).</t>
  </si>
  <si>
    <t>区别</t>
  </si>
  <si>
    <t>qūbié</t>
  </si>
  <si>
    <t>Khu vực (区) được tách ra bằng dao (刂) = Phân biệt/Khác biệt.</t>
  </si>
  <si>
    <t>取得</t>
  </si>
  <si>
    <t>qǔdé</t>
  </si>
  <si>
    <t>Dùng tay (又) lấy cái tai (耳) và đạt được (得) nó = Giành được.</t>
  </si>
  <si>
    <t>却</t>
  </si>
  <si>
    <t>què</t>
  </si>
  <si>
    <t>Đi đến một vùng đất xa lạ rồi ngoảnh đầu quay lại = Nhưng/Lại.</t>
  </si>
  <si>
    <t>缺</t>
  </si>
  <si>
    <t>quē</t>
  </si>
  <si>
    <t>Cái lọ gốm (缶) bị nứt mất một góc (夬) = Thiếu.</t>
  </si>
  <si>
    <t>缺点</t>
  </si>
  <si>
    <t>quēdiǎn</t>
  </si>
  <si>
    <t>khuyết điểm</t>
  </si>
  <si>
    <t>Những điểm (点) còn thiếu sót (缺) = Khuyết điểm.</t>
  </si>
  <si>
    <t>缺少</t>
  </si>
  <si>
    <t>quēshǎo</t>
  </si>
  <si>
    <t>thiếu thốn</t>
  </si>
  <si>
    <t>Thiếu (缺) và ít (少) = Thiếu thốn.</t>
  </si>
  <si>
    <t>确实</t>
  </si>
  <si>
    <t>quèshí</t>
  </si>
  <si>
    <t>quả thực</t>
  </si>
  <si>
    <t>Lời nói (讠) xác đáng và thực tế (实) = Xác thực/Quả thực.</t>
  </si>
  <si>
    <t>取消</t>
  </si>
  <si>
    <t>qǔxiāo</t>
  </si>
  <si>
    <t>Lấy đi (取) và làm cho biến mất (消 - nước 氵 chảy đi) = Hủy bỏ.</t>
  </si>
  <si>
    <t>然而</t>
  </si>
  <si>
    <t>rán’ér</t>
  </si>
  <si>
    <t>Như thế (然) mà (而) lại... = Tuy nhiên.</t>
  </si>
  <si>
    <t>热闹</t>
  </si>
  <si>
    <t>rènao</t>
  </si>
  <si>
    <t>náo nhiệt</t>
  </si>
  <si>
    <t>Thời tiết nóng (热) làm cho cánh cổng (门) xôn xao (市 - cái chợ) = Náo nhiệt.</t>
  </si>
  <si>
    <t>仍</t>
  </si>
  <si>
    <t>réng</t>
  </si>
  <si>
    <t>Một người (亻) vẫn đang đi trên con đường cũ (乃) = Vẫn.</t>
  </si>
  <si>
    <t>扔</t>
  </si>
  <si>
    <t>rēng</t>
  </si>
  <si>
    <t>Dùng tay (扌) ném vật đi theo con đường cũ (乃) = Ném/Vứt.</t>
  </si>
  <si>
    <t>仍然</t>
  </si>
  <si>
    <t>réngrán</t>
  </si>
  <si>
    <t>vẫn cứ</t>
  </si>
  <si>
    <t>Vẫn (仍) như thế (然) = Vẫn cứ.</t>
  </si>
  <si>
    <t>任何</t>
  </si>
  <si>
    <t>rènhé</t>
  </si>
  <si>
    <t>Bất kỳ ai/việc gì gánh vác (任) được cái gì (何) = Bất cứ.</t>
  </si>
  <si>
    <t>人生</t>
  </si>
  <si>
    <t>rénshēng</t>
  </si>
  <si>
    <t>Cuộc sống (生) của một con người (人) = Nhân sinh/Đời người.</t>
  </si>
  <si>
    <t>人数</t>
  </si>
  <si>
    <t>rénshù</t>
  </si>
  <si>
    <t>dân số</t>
  </si>
  <si>
    <t>Số lượng (数) người (人).</t>
  </si>
  <si>
    <t>任务</t>
  </si>
  <si>
    <t>rènwu</t>
  </si>
  <si>
    <t>Công việc gánh vác (任) và vụ việc (务) = Nhiệm vụ.</t>
  </si>
  <si>
    <t>人员</t>
  </si>
  <si>
    <t>rényuán</t>
  </si>
  <si>
    <t>Những thành viên (员) là con người (人) = Nhân viên.</t>
  </si>
  <si>
    <t>日常</t>
  </si>
  <si>
    <t>rìcháng</t>
  </si>
  <si>
    <t>Những việc thường xuyên (常) diễn ra hàng ngày (日) = Thường ngày.</t>
  </si>
  <si>
    <t>日记</t>
  </si>
  <si>
    <t>rìjì</t>
  </si>
  <si>
    <t>nhật ký</t>
  </si>
  <si>
    <t>Ghi chép (记) lại sự việc trong ngày (日) = Nhật ký.</t>
  </si>
  <si>
    <t>日期</t>
  </si>
  <si>
    <t>rìqī</t>
  </si>
  <si>
    <t>ngày tháng</t>
  </si>
  <si>
    <t>Thời hạn (期) tính theo ngày (日) = Ngày tháng.</t>
  </si>
  <si>
    <t>日子</t>
  </si>
  <si>
    <t>rìzi</t>
  </si>
  <si>
    <t>Những ngày tháng trong cuộc đời = Ngày/Đời sống.</t>
  </si>
  <si>
    <t>入</t>
  </si>
  <si>
    <t>rù</t>
  </si>
  <si>
    <t>Hình ảnh người bước chân đi vào trong (ngược với chữ 人) = Vào.</t>
  </si>
  <si>
    <t>入口</t>
  </si>
  <si>
    <t>rùkǒu</t>
  </si>
  <si>
    <t>Cái miệng/lối (口) để đi vào (入) = Lối vào.</t>
  </si>
  <si>
    <t>入学</t>
  </si>
  <si>
    <t>rùxué</t>
  </si>
  <si>
    <t>Đi vào (入) để học (学) = Nhập học.</t>
  </si>
  <si>
    <t>入住</t>
  </si>
  <si>
    <t>rùzhù</t>
  </si>
  <si>
    <t xml:space="preserve"> Nhận phòng/Nhập cư</t>
  </si>
  <si>
    <t>Đi vào (入) để ở lại (住) = Nhận phòng/Nhập cư.</t>
  </si>
  <si>
    <t>散步</t>
  </si>
  <si>
    <t>sànbù</t>
  </si>
  <si>
    <t>Bước chân (步) thong dong như rải cỏ (散) = Đi bộ.</t>
  </si>
  <si>
    <t>扫码</t>
  </si>
  <si>
    <t>sǎomǎ</t>
  </si>
  <si>
    <t>Dùng chổi quét (扫) qua các viên đá mã số (码) = Quét mã (QR).</t>
  </si>
  <si>
    <t>森林</t>
  </si>
  <si>
    <t>sēnlín</t>
  </si>
  <si>
    <t>Có 5 cái cây (木) gộp lại = Rừng rậm.</t>
  </si>
  <si>
    <t>商量</t>
  </si>
  <si>
    <t>shāngliang</t>
  </si>
  <si>
    <t>thương lượng</t>
  </si>
  <si>
    <t>Người làm kinh doanh (商) tính toán số lượng (量) = Thương lượng.</t>
  </si>
  <si>
    <t>上门</t>
  </si>
  <si>
    <t>shàngmén</t>
  </si>
  <si>
    <t>Đi đến tận cửa (门) phía trên (上) = Đến tận nhà.</t>
  </si>
  <si>
    <t>商品</t>
  </si>
  <si>
    <t>shāngpǐn</t>
  </si>
  <si>
    <t>Ba cái hộp (品) của người buôn bán (商) = Hàng hóa.</t>
  </si>
  <si>
    <t>伤心</t>
  </si>
  <si>
    <t>shāngxīn</t>
  </si>
  <si>
    <t>thương tâm</t>
  </si>
  <si>
    <t>Trái tim (心) bị trúng tên (伤 - bộ Nhân 亻 và vết thương) = Đau lòng.</t>
  </si>
  <si>
    <t>稍</t>
  </si>
  <si>
    <t>shāo</t>
  </si>
  <si>
    <t>Hạt lúa (禾) nhỏ mọc ở nơi xa xôi (肖) = Một chút/Hơi.</t>
  </si>
  <si>
    <t>少见</t>
  </si>
  <si>
    <t>shǎojiàn</t>
  </si>
  <si>
    <t>Hiếm khi (少) nhìn thấy (见) = Hiếm thấy.</t>
  </si>
  <si>
    <t>少量</t>
  </si>
  <si>
    <t>shǎoliàng</t>
  </si>
  <si>
    <t>Số lượng (量) ít (少).</t>
  </si>
  <si>
    <t>少年</t>
  </si>
  <si>
    <t>shàonián</t>
  </si>
  <si>
    <t>Những năm tháng (年) còn trẻ tuổi (少) = Thiếu niên.</t>
  </si>
  <si>
    <t>少数</t>
  </si>
  <si>
    <t>shǎoshù</t>
  </si>
  <si>
    <t>thiểu số</t>
  </si>
  <si>
    <t>Con số (数) ít (少) = Thiểu số.</t>
  </si>
  <si>
    <t>稍微</t>
  </si>
  <si>
    <t>shāowēi</t>
  </si>
  <si>
    <t>hơi hơi</t>
  </si>
  <si>
    <t>Một chút (稍) nhỏ bé (微) = Hơi hơi/Một chút.</t>
  </si>
  <si>
    <t>社会</t>
  </si>
  <si>
    <t>shèhuì</t>
  </si>
  <si>
    <t>Hội nhóm (会) thờ cúng trên đất thần (社) = Xã hội.</t>
  </si>
  <si>
    <t>身</t>
  </si>
  <si>
    <t>shēn</t>
  </si>
  <si>
    <t>Chữ tượng hình: Hình một người đang mang thai = Thân thể.</t>
  </si>
  <si>
    <t>深</t>
  </si>
  <si>
    <t>Nước (氵) chảy sâu vào trong hang có cây gỗ (深) = Sâu/Đậm.</t>
  </si>
  <si>
    <t>身份证</t>
  </si>
  <si>
    <t>shēnfènzhèng</t>
  </si>
  <si>
    <t>Giấy chứng nhận (证) thân phận (身份) = Thẻ căn cước.</t>
  </si>
  <si>
    <t>剩</t>
  </si>
  <si>
    <t>shèng</t>
  </si>
  <si>
    <t>Dùng dao (刂) tách ra phần dư thừa trên cỗ xe (乘) = Thừa lại.</t>
  </si>
  <si>
    <t>省</t>
  </si>
  <si>
    <t>shěng</t>
  </si>
  <si>
    <t>Dùng mắt (目) nhìn ít đi (少) để Tiết kiệm/Tỉnh.</t>
  </si>
  <si>
    <t>生</t>
  </si>
  <si>
    <t>Hình ảnh mầm cây mọc lên từ mặt đất = Sinh ra/Sống.</t>
  </si>
  <si>
    <t>Sống /tươi/ học sinh</t>
  </si>
  <si>
    <t>生命</t>
  </si>
  <si>
    <t>shēngmìng</t>
  </si>
  <si>
    <t>Mệnh lệnh (命) được sống (生) = Tính mạng.</t>
  </si>
  <si>
    <t>生意</t>
  </si>
  <si>
    <t>shēngyi</t>
  </si>
  <si>
    <t>Ý nghĩ (意) để sinh (生) ra tiền = Kinh doanh/Làm ăn.</t>
  </si>
  <si>
    <t>申请</t>
  </si>
  <si>
    <t>shēnqǐng</t>
  </si>
  <si>
    <t>xin/đăng ký</t>
  </si>
  <si>
    <t>Trình bày (申) lời nói (讠) cầu xin (青) = Đăng ký/Xin.</t>
  </si>
  <si>
    <t>甚至</t>
  </si>
  <si>
    <t>shènzhì</t>
  </si>
  <si>
    <t>Thậm chí (甚) đã đạt đến mức (至) = Thậm chí.</t>
  </si>
  <si>
    <t>摄氏度</t>
  </si>
  <si>
    <t>shèshìdù</t>
  </si>
  <si>
    <t>Độ (度) đo theo họ Nhiếp (摄) và họ Thị (氏) = Độ C.</t>
  </si>
  <si>
    <t>使</t>
  </si>
  <si>
    <t>shǐ</t>
  </si>
  <si>
    <t>khiến cho</t>
  </si>
  <si>
    <t>Người (亻) cầm gậy điều khiển công việc (吏) = Khiến cho/Sử dụng.</t>
  </si>
  <si>
    <t>失败</t>
  </si>
  <si>
    <t>shībài</t>
  </si>
  <si>
    <t>Đánh mất (失) tiền bạc (败 - có bộ Bối 贝) = Thất bại.</t>
  </si>
  <si>
    <t>市场</t>
  </si>
  <si>
    <t>shìchǎng</t>
  </si>
  <si>
    <t>Cái chợ (市) và bãi đất trống (场) = Thị trường/Cái chợ.</t>
  </si>
  <si>
    <t>十分</t>
  </si>
  <si>
    <t>shífēn</t>
  </si>
  <si>
    <t>Mười (十) phần (分) = Rất/Hoàn toàn.</t>
  </si>
  <si>
    <t>是否</t>
  </si>
  <si>
    <t>shìfǒu</t>
  </si>
  <si>
    <t>Là (是) hay không (否) = Liệu có phải.</t>
  </si>
  <si>
    <t>师傅</t>
  </si>
  <si>
    <t>shīfu</t>
  </si>
  <si>
    <t>sư phụ</t>
  </si>
  <si>
    <t>Người thầy (师) và người đàn ông có học thức (傅) = Sư phụ/Bác tài.</t>
  </si>
  <si>
    <t>使馆</t>
  </si>
  <si>
    <t>shǐguǎn</t>
  </si>
  <si>
    <t>Tòa nhà (馆) nơi các sứ giả (使) làm việc = Đại sứ quán.</t>
  </si>
  <si>
    <t>适合</t>
  </si>
  <si>
    <t>shìhé</t>
  </si>
  <si>
    <t>Bước đi (辶) và ngôn ngữ phù hợp (舌) khớp (合) với nhau = Phù hợp.</t>
  </si>
  <si>
    <t>实际</t>
  </si>
  <si>
    <t>shíjì</t>
  </si>
  <si>
    <t>thực tế</t>
  </si>
  <si>
    <t>Những việc thực tế (实) diễn ra giữa ranh giới (际) = Thực tế.</t>
  </si>
  <si>
    <t>世纪</t>
  </si>
  <si>
    <t>shìjì</t>
  </si>
  <si>
    <t>Thế hệ nối tiếp (世) bằng sợi tơ duyên nợ (纪) = Thế kỷ.</t>
  </si>
  <si>
    <t>时间表</t>
  </si>
  <si>
    <t>shíjiānbiǎo</t>
  </si>
  <si>
    <t>thời khoá biểu</t>
  </si>
  <si>
    <t>Cái bảng (表) ghi các khoảng (间) thời gian (时) = Thời khóa biểu.</t>
  </si>
  <si>
    <t>实际上</t>
  </si>
  <si>
    <t>shíjìshàng</t>
  </si>
  <si>
    <t>Trên (上) phương diện thực tế (实际).</t>
  </si>
  <si>
    <t>食品</t>
  </si>
  <si>
    <t>shípǐn</t>
  </si>
  <si>
    <t>Những món ăn (食) đựng trong các hộp (品) = Thực phẩm.</t>
  </si>
  <si>
    <t>视频</t>
  </si>
  <si>
    <t>shìpín</t>
  </si>
  <si>
    <t>video</t>
  </si>
  <si>
    <t>Hình ảnh nhìn thấy (视) xuất hiện nhiều lần (频) = Video.</t>
  </si>
  <si>
    <t>市区</t>
  </si>
  <si>
    <t>shìqū</t>
  </si>
  <si>
    <t>nội thành</t>
  </si>
  <si>
    <t>Khu vực (区) nội thành (市) = Nội thành.</t>
  </si>
  <si>
    <t>失去</t>
  </si>
  <si>
    <t>shīqù</t>
  </si>
  <si>
    <t>mất đi</t>
  </si>
  <si>
    <t>Để mất (失) và đi mất (去) = Mất đi.</t>
  </si>
  <si>
    <t>师生</t>
  </si>
  <si>
    <t>shīshēng</t>
  </si>
  <si>
    <t>Thầy giáo (师) và học sinh (生).</t>
  </si>
  <si>
    <t>食堂</t>
  </si>
  <si>
    <t>shítáng</t>
  </si>
  <si>
    <t>Ngôi nhà (堂) dùng để ăn cơm (食) = Nhà ăn.</t>
  </si>
  <si>
    <t>试题</t>
  </si>
  <si>
    <t>shìtí</t>
  </si>
  <si>
    <t>đề thi</t>
  </si>
  <si>
    <t>Đề bài (题) để thi thử (试) = Đề thi.</t>
  </si>
  <si>
    <t>失望</t>
  </si>
  <si>
    <t>shīwàng</t>
  </si>
  <si>
    <t>thất vọng</t>
  </si>
  <si>
    <t>Đánh mất (失) đi hy vọng (望) = Thất vọng.</t>
  </si>
  <si>
    <t>食物</t>
  </si>
  <si>
    <t>shíwù</t>
  </si>
  <si>
    <t>Đồ vật (物) dùng để ăn (食) = Thức ăn.</t>
  </si>
  <si>
    <t>适应</t>
  </si>
  <si>
    <t>shìyìng</t>
  </si>
  <si>
    <t>Bước đi phù hợp (适) và đáp ứng (应) được hoàn cảnh = Thích nghi.</t>
  </si>
  <si>
    <t>使用</t>
  </si>
  <si>
    <t>shǐyòng</t>
  </si>
  <si>
    <t>Sai khiến (使) và dùng (用) = Sử dụng.</t>
  </si>
  <si>
    <t>实在</t>
  </si>
  <si>
    <t>shízài</t>
  </si>
  <si>
    <t>Thực tế (实) đang tồn tại (在) = Thành thật/Thực sự.</t>
  </si>
  <si>
    <t>十字路口</t>
  </si>
  <si>
    <t>shízì lùkǒu</t>
  </si>
  <si>
    <t>Cái miệng/lối (口) của con đường (路) hình chữ Thập (十) = Ngã tư.</t>
  </si>
  <si>
    <t>首</t>
  </si>
  <si>
    <t>đầu</t>
  </si>
  <si>
    <t>Hình ảnh cái đầu có tóc phía trên = Đầu/Đứng đầu/Lượng từ bài hát.</t>
  </si>
  <si>
    <t>受不了</t>
  </si>
  <si>
    <t>shòubuliǎo</t>
  </si>
  <si>
    <t>không chịu nổi</t>
  </si>
  <si>
    <t>Nhận (受) lấy mà không (不) kết thúc được nỗi đau = Không chịu nổi.</t>
  </si>
  <si>
    <t>首都</t>
  </si>
  <si>
    <t>shǒudū</t>
  </si>
  <si>
    <t>Thành phố lớn (都) đứng hàng đầu (首) = Thủ đô.</t>
  </si>
  <si>
    <t>收费</t>
  </si>
  <si>
    <t>shōufèi</t>
  </si>
  <si>
    <t>thu phí</t>
  </si>
  <si>
    <t>Thu (收) tiền phí (费) = Thu phí.</t>
  </si>
  <si>
    <t>售票员</t>
  </si>
  <si>
    <t>shòupiàoyuán</t>
  </si>
  <si>
    <t>người bán vé</t>
  </si>
  <si>
    <t>Nhân viên (员) bán (售) vé (票) = Người bán vé.</t>
  </si>
  <si>
    <t>收入</t>
  </si>
  <si>
    <t>shōurù</t>
  </si>
  <si>
    <t>Thu (收) vào trong (入) túi tiền = Thu nhập.</t>
  </si>
  <si>
    <t>受伤</t>
  </si>
  <si>
    <t>shòushāng</t>
  </si>
  <si>
    <t>Nhận (受) lấy vết thương (伤) = Bị thương.</t>
  </si>
  <si>
    <t>收拾</t>
  </si>
  <si>
    <t>shōushi</t>
  </si>
  <si>
    <t>thu dọn</t>
  </si>
  <si>
    <t>Thu dọn (收) bằng tay (拾 - bộ Thủ 扌) = Thu dọn/Chỉnh đốn.</t>
  </si>
  <si>
    <t>收听</t>
  </si>
  <si>
    <t>shōutīng</t>
  </si>
  <si>
    <t>Thu (收) nhận âm thanh để nghe (听) = Nghe (đài).</t>
  </si>
  <si>
    <t>首先</t>
  </si>
  <si>
    <t>shǒuxiān</t>
  </si>
  <si>
    <t>副、代</t>
  </si>
  <si>
    <t>Người đứng đầu (首) và đi trước (先) = Đầu tiên.</t>
  </si>
  <si>
    <t>名、数</t>
  </si>
  <si>
    <t>Người phụ nữ đánh khẽ (攵) để đếm các hạt gạo = Đếm/Con số.</t>
  </si>
  <si>
    <t>输</t>
  </si>
  <si>
    <t>Mang xe (车) đi nộp cho người khác = Thua/Vận chuyển.</t>
  </si>
  <si>
    <t>熟</t>
  </si>
  <si>
    <t>shú/shóu</t>
  </si>
  <si>
    <t>Dưới ngọn lửa (灬) đun nấu thức ăn chín kỹ = Chín/Quen thuộc.</t>
  </si>
  <si>
    <t>帅</t>
  </si>
  <si>
    <t>shuài</t>
  </si>
  <si>
    <t>Người cầm cờ lệnh (巾) trông rất oai phong = Đẹp trai.</t>
  </si>
  <si>
    <t>暑假</t>
  </si>
  <si>
    <t>shǔjià</t>
  </si>
  <si>
    <t>Ngày nghỉ (假) vào những ngày nắng nóng (暑 - có 2 mặt trời 日) = Nghỉ hè.</t>
  </si>
  <si>
    <t>shùliàng</t>
  </si>
  <si>
    <t>Số lượng (数) và khối lượng (量).</t>
  </si>
  <si>
    <t>树林</t>
  </si>
  <si>
    <t>shùlín</t>
  </si>
  <si>
    <t>rừng cây</t>
  </si>
  <si>
    <t>Rừng cây (林) gồm nhiều cây thân gỗ (树).</t>
  </si>
  <si>
    <t>顺便</t>
  </si>
  <si>
    <t>shùnbiàn</t>
  </si>
  <si>
    <t>thuận tiện</t>
  </si>
  <si>
    <t>Thuận theo dòng nước (顺) làm việc tiện thể (便) = Nhân tiện.</t>
  </si>
  <si>
    <t>顺利</t>
  </si>
  <si>
    <t>shùnlì</t>
  </si>
  <si>
    <t>thuận lợi</t>
  </si>
  <si>
    <t>Thuận lợi (顺) và sắc bén (利) = Hanh thông/Thuận lợi.</t>
  </si>
  <si>
    <t>顺序</t>
  </si>
  <si>
    <t>shùnxù</t>
  </si>
  <si>
    <t>thứ tự</t>
  </si>
  <si>
    <t>Thứ tự (序) thuận theo (顺) dòng chảy = Thứ tự.</t>
  </si>
  <si>
    <t>说法</t>
  </si>
  <si>
    <t>shuōfǎ</t>
  </si>
  <si>
    <t>luận điểm</t>
  </si>
  <si>
    <t>Cách (法) nói (说) = Cách nói/Luận điểm.</t>
  </si>
  <si>
    <t>说明</t>
  </si>
  <si>
    <t>shuōmíng</t>
  </si>
  <si>
    <t>giải thích</t>
  </si>
  <si>
    <t>Nói (说) cho rõ ràng sáng tỏ (明) = Giải thích/Thuyết minh.</t>
  </si>
  <si>
    <t>说明书</t>
  </si>
  <si>
    <t>shuōmíngshū</t>
  </si>
  <si>
    <t xml:space="preserve">sách hướng dẫn </t>
  </si>
  <si>
    <t>Cuốn sách (书) dùng để giải thích (说明) = Sách hướng dẫn.</t>
  </si>
  <si>
    <t>硕士</t>
  </si>
  <si>
    <t>shuòshì</t>
  </si>
  <si>
    <t>thạc sỹ</t>
  </si>
  <si>
    <t>Người trí thức (士) có học vấn to lớn (硕) = Thạc sĩ.</t>
  </si>
  <si>
    <t>熟悉</t>
  </si>
  <si>
    <t>shúxi</t>
  </si>
  <si>
    <t>Đã nấu chín kỹ (熟) nên rất thấu hiểu (悉 - dùng tim 心 phân tích từng mảnh) = Quen thuộc.</t>
  </si>
  <si>
    <t>数字</t>
  </si>
  <si>
    <t>shùzì</t>
  </si>
  <si>
    <t>Các con số (数) và mặt chữ (字) = Con số.</t>
  </si>
  <si>
    <t>死</t>
  </si>
  <si>
    <t>sǐ</t>
  </si>
  <si>
    <t>动、形、（副）</t>
  </si>
  <si>
    <t>Một người nằm dưới đất, bên cạnh là mẩu xương khô = Chết.</t>
  </si>
  <si>
    <t>算</t>
  </si>
  <si>
    <t>suàn</t>
  </si>
  <si>
    <t>Dùng que tre (竹) trên bàn tính để mắt (目) nhìn và tay làm = Tính toán.</t>
  </si>
  <si>
    <t>酸</t>
  </si>
  <si>
    <t>suān</t>
  </si>
  <si>
    <t>chua</t>
  </si>
  <si>
    <t>Rượu để trong bình (酉) lâu ngày biến thành chất đi qua mũi (夋) gây Chua.</t>
  </si>
  <si>
    <t>酸奶</t>
  </si>
  <si>
    <t>suānnǎi</t>
  </si>
  <si>
    <t>sữa chua</t>
  </si>
  <si>
    <t>Sữa (奶) có vị chua (酸) = Sữa chua.</t>
  </si>
  <si>
    <t>速度</t>
  </si>
  <si>
    <t>sùdù</t>
  </si>
  <si>
    <t>Tốc độ (速 - bước đi 辶 nhanh) và mức độ (度).</t>
  </si>
  <si>
    <t>随便</t>
  </si>
  <si>
    <t>suíbiàn</t>
  </si>
  <si>
    <t>动、形、连</t>
  </si>
  <si>
    <t>tuỳ ý</t>
  </si>
  <si>
    <t>Đi theo (随) sự thuận tiện (便) của bản thân = Tùy ý/Dễ dãi.</t>
  </si>
  <si>
    <t>随着</t>
  </si>
  <si>
    <t>suízhe</t>
  </si>
  <si>
    <t>Đi theo (随) và gắn liền với trạng thái đang diễn ra (着) = Cùng với.</t>
  </si>
  <si>
    <t>塑料</t>
  </si>
  <si>
    <t>sùliào</t>
  </si>
  <si>
    <t>Nguyên liệu (料) có thể nhào nặn thành hình dạng (塑) = Nhựa/Plastic.</t>
  </si>
  <si>
    <t>孙女</t>
  </si>
  <si>
    <t>sūnnǚ</t>
  </si>
  <si>
    <t>Con của con trai (孙) là con gái (女) = Cháu gái (nội).</t>
  </si>
  <si>
    <t>孙子</t>
  </si>
  <si>
    <t>sūnzi</t>
  </si>
  <si>
    <t>Đứa trẻ (子) nối tiếp dòng dõi (系) = Cháu trai (nội).</t>
  </si>
  <si>
    <t>所有</t>
  </si>
  <si>
    <t>suǒyǒu</t>
  </si>
  <si>
    <t>形、（动、名）</t>
  </si>
  <si>
    <t>Nơi chốn (所) đang có (有) tất cả mọi thứ = Tất cả.</t>
  </si>
  <si>
    <t>台</t>
  </si>
  <si>
    <t>tái</t>
  </si>
  <si>
    <t>đài/bục</t>
  </si>
  <si>
    <t>Cái bục cao có miệng (口) nói phía trên = Đài/Bục/Lượng từ cho máy móc.</t>
  </si>
  <si>
    <t>抬</t>
  </si>
  <si>
    <t>ngẩng</t>
  </si>
  <si>
    <t>Dùng tay (扌) nâng vật lên bục cao (台) = Ngẩng (đầu)/Khiêng.</t>
  </si>
  <si>
    <t>态度</t>
  </si>
  <si>
    <t>tàidù</t>
  </si>
  <si>
    <t>Trái tim (心) biểu hiện ra mức độ (度) của dáng vẻ (态) = Thái độ.</t>
  </si>
  <si>
    <t>抬头</t>
  </si>
  <si>
    <t>táitóu</t>
  </si>
  <si>
    <t>ngẩng đầu lên</t>
  </si>
  <si>
    <t>Ngẩng (抬) cái đầu (头) lên.</t>
  </si>
  <si>
    <t>弹</t>
  </si>
  <si>
    <t>tán</t>
  </si>
  <si>
    <t>đánh (đàn)</t>
  </si>
  <si>
    <t>Cây cung (弓) bắn ra viên đạn tròn = Đánh đàn/Viên đạn.</t>
  </si>
  <si>
    <t>谈</t>
  </si>
  <si>
    <t>Lời nói (讠) nóng bỏng như hai ngọn lửa (炎) = Nói chuyện/Bàn bạc.</t>
  </si>
  <si>
    <t>趟</t>
  </si>
  <si>
    <t>tàng</t>
  </si>
  <si>
    <t>Chân bước đi (走) một lượt qua vùng đất cao (尚) = Chuyến/Lượt (lượng từ).</t>
  </si>
  <si>
    <t>躺</t>
  </si>
  <si>
    <t>tǎng</t>
  </si>
  <si>
    <t>nằm</t>
  </si>
  <si>
    <t>Thân thể (身) nằm dài trên nền đất cao (尚) = Nằm.</t>
  </si>
  <si>
    <t>汤</t>
  </si>
  <si>
    <t>tāng</t>
  </si>
  <si>
    <t>Nước (氵) được đun nóng rực rỡ (yang) = Canh/Súp.</t>
  </si>
  <si>
    <t>讨论</t>
  </si>
  <si>
    <t>tǎolùn</t>
  </si>
  <si>
    <t>Dùng lời nói (讠) để thu xếp (讨) và bàn luận (论) = Thảo luận.</t>
  </si>
  <si>
    <t>讨厌</t>
  </si>
  <si>
    <t>tǎoyàn</t>
  </si>
  <si>
    <t>đáng ghét</t>
  </si>
  <si>
    <t>Sự thu xếp (讨) gây ra cảm giác chán ghét (厌) = Ghét/Đáng ghét.</t>
  </si>
  <si>
    <t>特点</t>
  </si>
  <si>
    <t>tèdiǎn</t>
  </si>
  <si>
    <t>Những điểm (点) đặc biệt (特 - con bò 牛 ở trong chùa 寺) = Đặc điểm.</t>
  </si>
  <si>
    <t>提</t>
  </si>
  <si>
    <t>cầm/nhấc</t>
  </si>
  <si>
    <t>Dùng tay (扌) nhấc vật đúng vào thời điểm (提 - có chữ 日 và 正) = Cầm/Nhấc/Đưa ra.</t>
  </si>
  <si>
    <t>填写</t>
  </si>
  <si>
    <t>tiánxiě</t>
  </si>
  <si>
    <t>Điền vào chỗ trống (填 - dùng đất 土 lấp đầy) và viết (写) = Điền (vào đơn).</t>
  </si>
  <si>
    <t>条件</t>
  </si>
  <si>
    <t>tiáojiàn</t>
  </si>
  <si>
    <t>điều kiện</t>
  </si>
  <si>
    <t>Những điều khoản (条) và sự việc (件) = Điều kiện.</t>
  </si>
  <si>
    <t>提出</t>
  </si>
  <si>
    <t>tíchū</t>
  </si>
  <si>
    <t>Đưa ra (提) bên ngoài (出) = Đề xuất/Nêu ra.</t>
  </si>
  <si>
    <t>提到</t>
  </si>
  <si>
    <t>tídào</t>
  </si>
  <si>
    <t>Nhắc tới (提) và chạm đến (到) = Đề cập đến.</t>
  </si>
  <si>
    <t>提供</t>
  </si>
  <si>
    <t>tígōng</t>
  </si>
  <si>
    <t>Một người (亻) cung cấp (供) và đưa ra (提) = Cung cấp.</t>
  </si>
  <si>
    <t>体检</t>
  </si>
  <si>
    <t>tǐjiǎn</t>
  </si>
  <si>
    <t>Kiểm tra (检) thân thể (体) = Khám sức khỏe.</t>
  </si>
  <si>
    <t>停</t>
  </si>
  <si>
    <t>tíng</t>
  </si>
  <si>
    <t>Một người (亻) dừng lại bên ngôi đình cao (亭) = Dừng lại.</t>
  </si>
  <si>
    <t>停车</t>
  </si>
  <si>
    <t>tíngchē</t>
  </si>
  <si>
    <t>dừng xe</t>
  </si>
  <si>
    <t>Dừng (停) xe (车).</t>
  </si>
  <si>
    <t>停车场</t>
  </si>
  <si>
    <t>tíngchēchǎng</t>
  </si>
  <si>
    <t>Bãi đất (场) để dừng (停) xe (车) = Bãi đỗ xe.</t>
  </si>
  <si>
    <t>听力</t>
  </si>
  <si>
    <t>tīnglì</t>
  </si>
  <si>
    <t>khả năng nghe</t>
  </si>
  <si>
    <t>Sức mạnh (力) của đôi tai khi nghe (听) = Khả năng nghe.</t>
  </si>
  <si>
    <t>停止</t>
  </si>
  <si>
    <t>tíngzhǐ</t>
  </si>
  <si>
    <t>ngừng</t>
  </si>
  <si>
    <t>Dừng lại (停) và đứng yên (止) = Ngừng/Đình chỉ.</t>
  </si>
  <si>
    <t>听众</t>
  </si>
  <si>
    <t>tīngzhòng</t>
  </si>
  <si>
    <t>thính giả</t>
  </si>
  <si>
    <t>Đám đông (众 - 3 người) đang lắng nghe (听) = Thính giả.</t>
  </si>
  <si>
    <t>提前</t>
  </si>
  <si>
    <t>tíqián</t>
  </si>
  <si>
    <t>Đưa (提) lên phía trước (前) = Làm trước/Sớm hơn.</t>
  </si>
  <si>
    <t>体温</t>
  </si>
  <si>
    <t>tǐwēn</t>
  </si>
  <si>
    <t>Nhiệt độ (温) của thân thể (体).</t>
  </si>
  <si>
    <t>提醒</t>
  </si>
  <si>
    <t>tíxǐng</t>
  </si>
  <si>
    <t>Làm cho tỉnh táo (醒 - uống rượu 酉 xong thì tỉnh) để đề cao (提) = Nhắc nhở.</t>
  </si>
  <si>
    <t>体重</t>
  </si>
  <si>
    <t>tǐzhòng</t>
  </si>
  <si>
    <t>Cân nặng (重) của cơ thể (体).</t>
  </si>
  <si>
    <t>痛</t>
  </si>
  <si>
    <t>tòng</t>
  </si>
  <si>
    <t>Bị bệnh (疒) đau như có dũng sĩ (甬) đâm vào = Đau.</t>
  </si>
  <si>
    <t>桶</t>
  </si>
  <si>
    <t>tǒng</t>
  </si>
  <si>
    <t>Vật làm bằng gỗ (木) dùng để đựng nước qua ống (甬) = Cái thùng/Xô.</t>
  </si>
  <si>
    <t>通</t>
  </si>
  <si>
    <t>tōng</t>
  </si>
  <si>
    <t>动、形、（量）</t>
  </si>
  <si>
    <t>thông suốt</t>
  </si>
  <si>
    <t>Bước đi (辶) thông suốt qua con đường có ống dẫn (甬) = Thông suốt/Đi qua.</t>
  </si>
  <si>
    <t>通过</t>
  </si>
  <si>
    <t>tōngguò</t>
  </si>
  <si>
    <t>thông qua</t>
  </si>
  <si>
    <t>Đi xuyên qua (通) và vượt qua (过) = Thông qua.</t>
  </si>
  <si>
    <t>童年</t>
  </si>
  <si>
    <t>tóngnián</t>
  </si>
  <si>
    <t>tuổi thơ</t>
  </si>
  <si>
    <t>Những năm tháng (年) làm trẻ con (童) = Tuổi thơ.</t>
  </si>
  <si>
    <t>同时</t>
  </si>
  <si>
    <t>tóngshí</t>
  </si>
  <si>
    <t>Cùng (同) một thời điểm (时) = Đồng thời.</t>
  </si>
  <si>
    <t>同样</t>
  </si>
  <si>
    <t>tóngyàng</t>
  </si>
  <si>
    <t>Cùng (同) một hình dáng (样) = Giống nhau.</t>
  </si>
  <si>
    <t>通知</t>
  </si>
  <si>
    <t>tōngzhī</t>
  </si>
  <si>
    <t>Làm cho thông suốt (通) kiến thức (知) = Thông báo.</t>
  </si>
  <si>
    <t>头痛</t>
  </si>
  <si>
    <t>tóutòng</t>
  </si>
  <si>
    <t>Cái đầu (头) bị bệnh (疒) đau như có dũng sĩ (甬) đâm vào = Đau đầu.</t>
  </si>
  <si>
    <t>图</t>
  </si>
  <si>
    <t>tú</t>
  </si>
  <si>
    <t>bản đồ</t>
  </si>
  <si>
    <t>Bên ngoài là bức tường bao (囗), bên trong là bản đồ vẽ trên kho đông (冬) = Bản đồ/Bức tranh.</t>
  </si>
  <si>
    <t>土</t>
  </si>
  <si>
    <t>tǔ</t>
  </si>
  <si>
    <t>đất</t>
  </si>
  <si>
    <t>Hình ảnh mầm cây mọc lên từ mặt đất: Đất.</t>
  </si>
  <si>
    <t>推</t>
  </si>
  <si>
    <t>tuī</t>
  </si>
  <si>
    <t>đẩy</t>
  </si>
  <si>
    <t>Dùng tay (扌) đẩy con chim nhỏ (隹) đi = Đẩy.</t>
  </si>
  <si>
    <t>推迟</t>
  </si>
  <si>
    <t>tuīchí</t>
  </si>
  <si>
    <t>Đẩy (推) cho thời gian chậm trễ (迟 - có bộ Sước 辶 đi chậm) lại = Hoãn lại.</t>
  </si>
  <si>
    <t>推出</t>
  </si>
  <si>
    <t>tuīchū</t>
  </si>
  <si>
    <t>Ra mắt/Đưa ra</t>
  </si>
  <si>
    <t>Đẩy (推) ra bên ngoài (出) = Ra mắt/Đưa ra.</t>
  </si>
  <si>
    <t>脱</t>
  </si>
  <si>
    <t>tuō</t>
  </si>
  <si>
    <t>cởi</t>
  </si>
  <si>
    <t>Cơ thể (月) muốn cởi bỏ lớp áo bằng đôi tay và cái miệng (兑) = Cởi/Tuột.</t>
  </si>
  <si>
    <t>图片</t>
  </si>
  <si>
    <t>túpiàn</t>
  </si>
  <si>
    <t>Bức tranh (图) vẽ trên một tấm phẳng (片) = Hình ảnh.</t>
  </si>
  <si>
    <t>外出</t>
  </si>
  <si>
    <t>wàichū</t>
  </si>
  <si>
    <t>Đi ra (出) bên ngoài (外).</t>
  </si>
  <si>
    <t>外套</t>
  </si>
  <si>
    <t>wàitào</t>
  </si>
  <si>
    <t>Một cái vỏ bao (套) ở bên ngoài (外) = Áo khoác.</t>
  </si>
  <si>
    <t>晚安</t>
  </si>
  <si>
    <t>wǎn'ān</t>
  </si>
  <si>
    <t>Buổi tối (晚) được bình an (安) dưới mái nhà = Chúc ngủ ngon.</t>
  </si>
  <si>
    <t>晚餐</t>
  </si>
  <si>
    <t>wǎncān</t>
  </si>
  <si>
    <t>Bữa ăn (餐) vào buổi tối (晚).</t>
  </si>
  <si>
    <t>网购</t>
  </si>
  <si>
    <t>wǎnggòu</t>
  </si>
  <si>
    <t>Mua sắm (购) trên mạng lưới (网) = Mua hàng online.</t>
  </si>
  <si>
    <t>往往</t>
  </si>
  <si>
    <t>wǎngwǎng</t>
  </si>
  <si>
    <t>thường thường</t>
  </si>
  <si>
    <t>Những bước chân (彳) lặp đi lặp lại hướng về (往) một thói quen = Thường thường.</t>
  </si>
  <si>
    <t>网页</t>
  </si>
  <si>
    <t>wǎngyè</t>
  </si>
  <si>
    <t>Trang (页) trên mạng lưới (网) = Trang web.</t>
  </si>
  <si>
    <t>网友</t>
  </si>
  <si>
    <t>wǎngyǒu</t>
  </si>
  <si>
    <t>Người bạn (友) quen trên mạng (网).</t>
  </si>
  <si>
    <t>网址</t>
  </si>
  <si>
    <t>wǎngzhǐ</t>
  </si>
  <si>
    <t>địa chỉ web</t>
  </si>
  <si>
    <t>Địa chỉ dừng chân (止) trên mạng (网) = Địa chỉ web.</t>
  </si>
  <si>
    <t>完全</t>
  </si>
  <si>
    <t>wánquán</t>
  </si>
  <si>
    <t>Xong xuôi (完) toàn bộ (全) = Hoàn toàn.</t>
  </si>
  <si>
    <t>袜子</t>
  </si>
  <si>
    <t>wàzi</t>
  </si>
  <si>
    <t>Đồ vật làm bằng vải (衣) dùng cho đôi chân = Tất/Vớ.</t>
  </si>
  <si>
    <t>wéi</t>
  </si>
  <si>
    <t>Hình ảnh bàn tay đang dắt con voi làm việc = Vì/Để.</t>
  </si>
  <si>
    <t>味</t>
  </si>
  <si>
    <t>vị</t>
  </si>
  <si>
    <t>Cái miệng (口) nếm vị của cành cây mới nhú (未) = Vị/Mùi.</t>
  </si>
  <si>
    <t>味道</t>
  </si>
  <si>
    <t>wèidào</t>
  </si>
  <si>
    <t>hương vị</t>
  </si>
  <si>
    <t>Đạo (道) của hương vị (味) = Hương vị.</t>
  </si>
  <si>
    <t>卫生</t>
  </si>
  <si>
    <t>wèishēng</t>
  </si>
  <si>
    <t>vệ sinh</t>
  </si>
  <si>
    <t>Bảo vệ (卫) sự sống (生) = Vệ sinh.</t>
  </si>
  <si>
    <t>危险</t>
  </si>
  <si>
    <t>wēixiǎn</t>
  </si>
  <si>
    <t>Bị vách đá đè (危) trên gò đất hiểm trở (险) = Nguy hiểm.</t>
  </si>
  <si>
    <t>闻</t>
  </si>
  <si>
    <t>wén</t>
  </si>
  <si>
    <t>ngửi</t>
  </si>
  <si>
    <t>Đứng ở cửa (门) để tai (耳) nghe hoặc mũi ngửi = Ngửi/Nghe.</t>
  </si>
  <si>
    <t>温度</t>
  </si>
  <si>
    <t>wēndù</t>
  </si>
  <si>
    <t>Mức độ (度) nóng ấm của nước (温 - có bộ Thủy 氵) = Nhiệt độ.</t>
  </si>
  <si>
    <t>文件</t>
  </si>
  <si>
    <t>wénjiàn</t>
  </si>
  <si>
    <t>Sự việc (件) được ghi bằng văn bản (文) = Tài liệu.</t>
  </si>
  <si>
    <t>文章</t>
  </si>
  <si>
    <t>wénzhāng</t>
  </si>
  <si>
    <t>Bản văn (文) được chia thành các chương (章) rõ ràng = Bài báo/Bài văn.</t>
  </si>
  <si>
    <t>文字</t>
  </si>
  <si>
    <t>wénzì</t>
  </si>
  <si>
    <t>văn tự</t>
  </si>
  <si>
    <t>Văn (文) và Chữ (字) = Chữ viết/Văn tự.</t>
  </si>
  <si>
    <t>无</t>
  </si>
  <si>
    <t>wú</t>
  </si>
  <si>
    <t>Hình ảnh người múa bị mất đôi chân: Không có (Hán Việt: Vô).</t>
  </si>
  <si>
    <t>午餐</t>
  </si>
  <si>
    <t>wǔcān</t>
  </si>
  <si>
    <t>Bữa ăn (餐) vào buổi trưa (午).</t>
  </si>
  <si>
    <t>无法</t>
  </si>
  <si>
    <t>wúfǎ</t>
  </si>
  <si>
    <t>Không (无) có cách (法) nào = Không có cách nào.</t>
  </si>
  <si>
    <t>误会</t>
  </si>
  <si>
    <t>wùhuì</t>
  </si>
  <si>
    <t>Lời nói (讠) gây ra sự hiểu lầm (误) khi gặp gỡ (会) = Hiểu lầm.</t>
  </si>
  <si>
    <t>无聊</t>
  </si>
  <si>
    <t>wúliáo</t>
  </si>
  <si>
    <t>Không (无) có gì để dựa dẫm vào tai (聊) = Nhàm chán.</t>
  </si>
  <si>
    <t>无论</t>
  </si>
  <si>
    <t>wúlùn</t>
  </si>
  <si>
    <t>Không (无) cần bàn luận (论) thêm = Bất kể/Dù cho.</t>
  </si>
  <si>
    <t>污染</t>
  </si>
  <si>
    <t>wūrǎn</t>
  </si>
  <si>
    <t>Nước bẩn (污) thấm nhuộm (染 - có bộ Thủy 氵 và Mộc 木) = Ô nhiễm.</t>
  </si>
  <si>
    <t>细</t>
  </si>
  <si>
    <t>xì</t>
  </si>
  <si>
    <t>mỏng, nhỏ</t>
  </si>
  <si>
    <t>Sợi tơ (纟) nhỏ như hạt lúa trên đồng (田) = Mỏng/Nhỏ/Kỹ.</t>
  </si>
  <si>
    <t>吸</t>
  </si>
  <si>
    <t>Dùng miệng (口) thu lấy (及) không khí vào = Hút/Hít.</t>
  </si>
  <si>
    <t>下降</t>
  </si>
  <si>
    <t>xiàjiàng</t>
  </si>
  <si>
    <t>hạ xuống</t>
  </si>
  <si>
    <t>Rơi xuống (降) phía dưới (下) = Hạ xuống/Giảm xuống.</t>
  </si>
  <si>
    <t>咸</t>
  </si>
  <si>
    <t>xián</t>
  </si>
  <si>
    <t>Miệng (口) kêu to khi bị vũ khí đâm, cảm giác Mặn chát.</t>
  </si>
  <si>
    <t>鲜</t>
  </si>
  <si>
    <t>Con cá (鱼) và con dê (羊) là hai món Tươi ngon nhất.</t>
  </si>
  <si>
    <t>项</t>
  </si>
  <si>
    <t>Cái gáy (页) là hạng mục (项) quan trọng để làm việc (工) = Hạng mục/Lượng từ.</t>
  </si>
  <si>
    <t>响</t>
  </si>
  <si>
    <t xml:space="preserve">vang </t>
  </si>
  <si>
    <t>Âm thanh phát ra từ miệng (口) vang vọng hướng về phía trước (向) = Vang lên.</t>
  </si>
  <si>
    <t>香</t>
  </si>
  <si>
    <t>xiāng</t>
  </si>
  <si>
    <t>Hạt lúa (禾) dưới ánh mặt trời (日) tỏa mùi Thơm.</t>
  </si>
  <si>
    <t>相比</t>
  </si>
  <si>
    <t>xiāngbǐ</t>
  </si>
  <si>
    <t>Hai cái muôi (比) đặt tương ứng (相) với nhau = So sánh.</t>
  </si>
  <si>
    <t>想法</t>
  </si>
  <si>
    <t>xiǎngfǎ</t>
  </si>
  <si>
    <t>Cách (法) suy nghĩ (想) = Cách nghĩ/Ý kiến.</t>
  </si>
  <si>
    <t>相反</t>
  </si>
  <si>
    <t>xiāngfǎn</t>
  </si>
  <si>
    <t>形、连</t>
  </si>
  <si>
    <t>Quay ngược lại (反) so với cái tương ứng (相) = Ngược lại.</t>
  </si>
  <si>
    <t>相互</t>
  </si>
  <si>
    <t>xiānghù</t>
  </si>
  <si>
    <t>Tương ứng (相) và hỗ trợ (互) lẫn nhau = Lẫn nhau.</t>
  </si>
  <si>
    <t>相同</t>
  </si>
  <si>
    <t>xiāngtóng</t>
  </si>
  <si>
    <t>Tương ứng (相) và giống nhau (同) = Giống nhau.</t>
  </si>
  <si>
    <t>详细</t>
  </si>
  <si>
    <t>xiángxì</t>
  </si>
  <si>
    <t>Lời nói (讠) về con dê (羊) một cách nhỏ nhặt (细) = Chi tiết.</t>
  </si>
  <si>
    <t>鲜花</t>
  </si>
  <si>
    <t>xiānhuā</t>
  </si>
  <si>
    <t>Những bông hoa (花) tươi thắm (鲜 - Cá 鱼 và Dê 羊) = Hoa tươi.</t>
  </si>
  <si>
    <t>现金</t>
  </si>
  <si>
    <t>xiànjīn</t>
  </si>
  <si>
    <t>Vàng bạc (金) hiện hữu (现) ngay trước mắt = Tiền mặt.</t>
  </si>
  <si>
    <t>羡慕</t>
  </si>
  <si>
    <t>xiànmù</t>
  </si>
  <si>
    <t>ngưỡng mộ</t>
  </si>
  <si>
    <t>Nhìn người ta mà thèm thuồng chảy nước miếng (氵) dưới ánh nắng (日) = Ngưỡng mộ/Ghen tị.</t>
  </si>
  <si>
    <t>线上</t>
  </si>
  <si>
    <t xml:space="preserve">xiànshàng
</t>
  </si>
  <si>
    <t>Ở phía trên (上) sợi dây mạng (线) = Trực tuyến (Online).</t>
  </si>
  <si>
    <t>线下</t>
  </si>
  <si>
    <t>xiànxià</t>
  </si>
  <si>
    <t>Ở phía dưới (下) sợi dây mạng = Trực tiếp (Offline).</t>
  </si>
  <si>
    <t>现有</t>
  </si>
  <si>
    <t>xiànyǒu</t>
  </si>
  <si>
    <t>Hiện (现) đang có (有) = Hiện có.</t>
  </si>
  <si>
    <t>小吃</t>
  </si>
  <si>
    <t>xiǎochī</t>
  </si>
  <si>
    <t>Những món ăn (吃) nhỏ bé (小) = Món ăn vặt/Đặc sản địa phương.</t>
  </si>
  <si>
    <t>效果</t>
  </si>
  <si>
    <t>xiàoguǒ</t>
  </si>
  <si>
    <t>hiệu quả</t>
  </si>
  <si>
    <t>Kết quả (果) của sự giao thoa sức lực (效 - gồm 交 và 力) = Hiệu quả.</t>
  </si>
  <si>
    <t>笑话</t>
  </si>
  <si>
    <t>xiàohua</t>
  </si>
  <si>
    <t>Lời nói (话) gây cười (笑) = Chuyện cười.</t>
  </si>
  <si>
    <t>小伙子</t>
  </si>
  <si>
    <t>xiǎohuǒzi</t>
  </si>
  <si>
    <t>Chàng trai trẻ nhiệt huyết như ngọn lửa (火) nhỏ (小) = Chàng trai/Thanh niên.</t>
  </si>
  <si>
    <t>小说</t>
  </si>
  <si>
    <t>xiǎoshuō</t>
  </si>
  <si>
    <t>Những lời nói (说) nhỏ lẻ, vụn vặt gom lại = Tiểu thuyết.</t>
  </si>
  <si>
    <t>消息</t>
  </si>
  <si>
    <t>xiāoxi</t>
  </si>
  <si>
    <t>tin tức</t>
  </si>
  <si>
    <t>Tin tức tựa như hơi thở (息) dần hiện ra (消) = Tin tức.</t>
  </si>
  <si>
    <t>小组</t>
  </si>
  <si>
    <t>xiǎozǔ</t>
  </si>
  <si>
    <t>Một nhóm (组 - gồm sợi tơ 纟 nối mọi người) nhỏ (小) = Tổ/Nhóm.</t>
  </si>
  <si>
    <t>西部</t>
  </si>
  <si>
    <t>xībù</t>
  </si>
  <si>
    <t>Bộ phận (部) phía Tây (西).</t>
  </si>
  <si>
    <t>血</t>
  </si>
  <si>
    <t>Một giọt máu rơi vào trong bát (皿) = Máu.</t>
  </si>
  <si>
    <t>西红柿</t>
  </si>
  <si>
    <t>xīhóngshì</t>
  </si>
  <si>
    <t>Loại quả hồng (柿) đỏ (红) từ phương Tây (西) tới = Cà chua.</t>
  </si>
  <si>
    <t>心</t>
  </si>
  <si>
    <t>Chữ tượng hình vẽ hình trái tim: Tim/Tâm.</t>
  </si>
  <si>
    <t>性</t>
  </si>
  <si>
    <t>tính (cách)</t>
  </si>
  <si>
    <t>Bản chất từ khi sinh ra (生) đã nằm trong tim (忄) = Tính cách/Giới tính.</t>
  </si>
  <si>
    <t>醒</t>
  </si>
  <si>
    <t>xǐng</t>
  </si>
  <si>
    <t>Uống rượu (酉) xong rồi thì tỉnh táo nhìn các vì sao (星) = Tỉnh/Thức giấc.</t>
  </si>
  <si>
    <t>性别</t>
  </si>
  <si>
    <t>xìngbié</t>
  </si>
  <si>
    <t>Sự khác biệt (别) về giới tính (性) = Giới tính.</t>
  </si>
  <si>
    <t>兴奋</t>
  </si>
  <si>
    <t>xīngfèn</t>
  </si>
  <si>
    <t>Trạng thái hưng phấn trỗi dậy (兴) và mạnh mẽ (奋) = Phấn khích.</t>
  </si>
  <si>
    <t>幸福</t>
  </si>
  <si>
    <t>xìngfú</t>
  </si>
  <si>
    <t>Có đất, có ruộng, có nhà che chở là may mắn (福) = Hạnh phúc.</t>
  </si>
  <si>
    <t>性格</t>
  </si>
  <si>
    <t>xìnggé</t>
  </si>
  <si>
    <t>Khuôn mẫu (格) của tính cách (性) = Tính cách.</t>
  </si>
  <si>
    <t>星星</t>
  </si>
  <si>
    <t>xīngxing</t>
  </si>
  <si>
    <t>Mặt trời (日) mọc trên mặt đất (生) lung linh buổi đêm = Ngôi sao.</t>
  </si>
  <si>
    <t>信号</t>
  </si>
  <si>
    <t>xìnhào</t>
  </si>
  <si>
    <t>Ký hiệu (号) để truyền thông tin (信) = Tín hiệu.</t>
  </si>
  <si>
    <t>辛苦</t>
  </si>
  <si>
    <t>xīnkǔ</t>
  </si>
  <si>
    <t>vất vả</t>
  </si>
  <si>
    <t>Đứng (立) trên nỗi đau (辛) và nếm vị đắng (苦) = Vất vả.</t>
  </si>
  <si>
    <t>心情</t>
  </si>
  <si>
    <t>xīnqíng</t>
  </si>
  <si>
    <t>tâm trạng</t>
  </si>
  <si>
    <t>Tình cảm (情) trong trái tim (心) = Tâm trạng.</t>
  </si>
  <si>
    <t>信息</t>
  </si>
  <si>
    <t>xìnxī</t>
  </si>
  <si>
    <t>Tin tức đi kèm hơi thở (息) và sự tin cậy (信) = Thông tin.</t>
  </si>
  <si>
    <t>信心</t>
  </si>
  <si>
    <t>xìnxīn</t>
  </si>
  <si>
    <t>lòng tin</t>
  </si>
  <si>
    <t>Có niềm tin (信) ở trong lòng (心) = Lòng tin/Tự tin.</t>
  </si>
  <si>
    <t>熊</t>
  </si>
  <si>
    <t>xióng</t>
  </si>
  <si>
    <t>Con vật có khả năng chịu đựng năng lượng lửa (灬) to lớn (大) = Con gấu.</t>
  </si>
  <si>
    <t>兄弟</t>
  </si>
  <si>
    <t>xiōngdì</t>
  </si>
  <si>
    <t>anh em</t>
  </si>
  <si>
    <t>Anh (兄) và Em (弟) = Anh em.</t>
  </si>
  <si>
    <t>修</t>
  </si>
  <si>
    <t>xiū</t>
  </si>
  <si>
    <t>sửa</t>
  </si>
  <si>
    <t>Người (亻) dùng tay cầm gậy sửa lại vật cho thanh thoát (攸) = Sửa chữa.</t>
  </si>
  <si>
    <t>修理</t>
  </si>
  <si>
    <t>xiūlǐ</t>
  </si>
  <si>
    <t>Sửa chữa (修) và xử lý (理) = Sửa chữa.</t>
  </si>
  <si>
    <t>细心</t>
  </si>
  <si>
    <t>xìxīn</t>
  </si>
  <si>
    <t>Trái tim (心) tỉ mỉ như sợi tơ nhỏ (细) = Cẩn thận/Chu đáo.</t>
  </si>
  <si>
    <t>吸引</t>
  </si>
  <si>
    <t>xīyǐn</t>
  </si>
  <si>
    <t>Hút (吸) và kéo (引 - hình cây cung) về phía mình = Thu hút.</t>
  </si>
  <si>
    <t>许多</t>
  </si>
  <si>
    <t>xǔduō</t>
  </si>
  <si>
    <t>Lời nói (讠) nhiều vô kể (许) = Rất nhiều.</t>
  </si>
  <si>
    <t>学费</t>
  </si>
  <si>
    <t>xuéfèi</t>
  </si>
  <si>
    <t>Khoản phí (费) trả cho việc học (学) = Học phí.</t>
  </si>
  <si>
    <t>学院</t>
  </si>
  <si>
    <t>xuéyuàn</t>
  </si>
  <si>
    <t>học viện</t>
  </si>
  <si>
    <t>Tòa viện (院) dành cho học thuật (学) = Học viện.</t>
  </si>
  <si>
    <t>压</t>
  </si>
  <si>
    <t>yā</t>
  </si>
  <si>
    <t>Một hòn đá (石) đè lên một góc xéo = Ép/Đè.</t>
  </si>
  <si>
    <t>牙膏</t>
  </si>
  <si>
    <t>yágāo</t>
  </si>
  <si>
    <t>Chất sệt như cao (膏) dùng cho răng (牙) = Kem đánh răng.</t>
  </si>
  <si>
    <t>压力</t>
  </si>
  <si>
    <t>yālì</t>
  </si>
  <si>
    <t>Sức lực (力) đè ép (压) xuống = Áp lực.</t>
  </si>
  <si>
    <t>盐</t>
  </si>
  <si>
    <t>yán</t>
  </si>
  <si>
    <t>Đồ vật đựng trong bát (皿) có vị mặn như đất của quan lại (监) = Muối.</t>
  </si>
  <si>
    <t>演</t>
  </si>
  <si>
    <t>yǎn</t>
  </si>
  <si>
    <t>diễn xuất</t>
  </si>
  <si>
    <t>Nước (氵) chảy trôi chảy theo kế hoạch trong nhà (寅) = Diễn xuất.</t>
  </si>
  <si>
    <t>烟</t>
  </si>
  <si>
    <t>yān</t>
  </si>
  <si>
    <t>Ngọn lửa (火) bốc lên trong một khu vực kín (因) = Khói/Thuốc lá.</t>
  </si>
  <si>
    <t>演唱</t>
  </si>
  <si>
    <t>yǎnchàng</t>
  </si>
  <si>
    <t>Biểu diễn (演) và hát (唱) = Hát biểu diễn.</t>
  </si>
  <si>
    <t>演出</t>
  </si>
  <si>
    <t>yǎnchū</t>
  </si>
  <si>
    <t>Diễn (演) ra bên ngoài (出) = Biểu diễn.</t>
  </si>
  <si>
    <t>养成</t>
  </si>
  <si>
    <t>yǎngchéng</t>
  </si>
  <si>
    <t>Nuôi dưỡng (养) cho đến khi thành công (成) = Nuôi dưỡng (thói quen).</t>
  </si>
  <si>
    <t>严格</t>
  </si>
  <si>
    <t>yángé</t>
  </si>
  <si>
    <t>Khuôn mẫu (格) chặt chẽ (严 - hình hang núi hiểm trở) = Nghiêm khắc.</t>
  </si>
  <si>
    <t>阳光</t>
  </si>
  <si>
    <t>yángguāng</t>
  </si>
  <si>
    <t>Ánh sáng (光) của mặt trời (阳) = Ánh nắng.</t>
  </si>
  <si>
    <t>样子</t>
  </si>
  <si>
    <t>yàngzi</t>
  </si>
  <si>
    <t>Hình dáng (样 - gồm cây 木 và cừu 羊) = Dáng vẻ/Kiểu dáng.</t>
  </si>
  <si>
    <t>眼镜</t>
  </si>
  <si>
    <t>yǎnjìng</t>
  </si>
  <si>
    <t>Cái kính (镜) dùng cho đôi mắt (眼) = Kính mắt.</t>
  </si>
  <si>
    <t>研究</t>
  </si>
  <si>
    <t>yánjiū</t>
  </si>
  <si>
    <t>Trong hang (穴) dùng đá (石) để mài giũa, tìm hiểu tận cùng (九) = Nghiên cứu.</t>
  </si>
  <si>
    <t>研究生</t>
  </si>
  <si>
    <t>yánjiūshēng</t>
  </si>
  <si>
    <t>nghiên cứu sinh</t>
  </si>
  <si>
    <t>Học sinh (生) làm công việc nghiên cứu (研究) = Nghiên cứu sinh.</t>
  </si>
  <si>
    <t>眼前</t>
  </si>
  <si>
    <t>yǎnqián</t>
  </si>
  <si>
    <t>Ở ngay phía trước (前) mắt (眼) = Trước mắt.</t>
  </si>
  <si>
    <t>演员</t>
  </si>
  <si>
    <t>yǎnyuán</t>
  </si>
  <si>
    <t>Nhân viên (员) làm công việc biểu diễn (演) = Diễn viên.</t>
  </si>
  <si>
    <t>严重</t>
  </si>
  <si>
    <t>yánzhòng</t>
  </si>
  <si>
    <t>Tình hình nghiêm ngặt (严) và nặng nề (重) = Nghiêm trọng.</t>
  </si>
  <si>
    <t>邀请</t>
  </si>
  <si>
    <t>yāoqǐng</t>
  </si>
  <si>
    <t>Dùng lời nói (讠) để yêu cầu (要) và mời (请) người khác đến = Mời/Lời mời.</t>
  </si>
  <si>
    <t>要是</t>
  </si>
  <si>
    <t>yàoshi</t>
  </si>
  <si>
    <t>Điều cốt yếu (要) là (是) như vậy thì... = Nếu như.</t>
  </si>
  <si>
    <t>钥匙</t>
  </si>
  <si>
    <t>Vật bằng kim loại (钅) nhỏ như cái thìa (匕) để mở cửa = Chìa khóa.</t>
  </si>
  <si>
    <t>亚洲</t>
  </si>
  <si>
    <t>Yàzhōu</t>
  </si>
  <si>
    <t>Vùng đất (州) xếp hạng nhì (亚) thế giới = Châu Á.</t>
  </si>
  <si>
    <t>夜</t>
  </si>
  <si>
    <t>Một người nằm dưới mái nhà, đắp chăn ngắm trăng = Đêm.</t>
  </si>
  <si>
    <t>夜晚</t>
  </si>
  <si>
    <t>yèwǎn</t>
  </si>
  <si>
    <t>đêm tối</t>
  </si>
  <si>
    <t>Thời điểm đêm (夜) đã muộn (晚) = Đêm tối.</t>
  </si>
  <si>
    <t>也许</t>
  </si>
  <si>
    <t>yěxǔ</t>
  </si>
  <si>
    <t>Cũng (也) có thể được cho phép (许) xảy ra = Có lẽ.</t>
  </si>
  <si>
    <t>叶子</t>
  </si>
  <si>
    <t>yèzi</t>
  </si>
  <si>
    <t>Cái bộ phận thuộc về cây gỗ (木) = Lá cây.</t>
  </si>
  <si>
    <t>已</t>
  </si>
  <si>
    <t>yǐ</t>
  </si>
  <si>
    <t>Giống chữ "kỷ" (己) nhưng miệng hở ra, nghĩa là việc đã xong = Đã.</t>
  </si>
  <si>
    <t>意见</t>
  </si>
  <si>
    <t>yìjiàn</t>
  </si>
  <si>
    <t>Ý nghĩ (意) và cách nhìn nhận (见) = Ý kiến.</t>
  </si>
  <si>
    <t>因此</t>
  </si>
  <si>
    <t>yīncǐ</t>
  </si>
  <si>
    <t>Vì (因) cái này (此) = Vì vậy.</t>
  </si>
  <si>
    <t>以内</t>
  </si>
  <si>
    <t>yǐnèi</t>
  </si>
  <si>
    <t>trong vòng</t>
  </si>
  <si>
    <t>Ở phía trong (内) của một phạm vi (以) = Trong vòng/Trong phạm vi.</t>
  </si>
  <si>
    <t>赢</t>
  </si>
  <si>
    <t>yíng</t>
  </si>
  <si>
    <t>Muốn thắng cần: Nguy cơ (亡), Khẩu tài (口), Thời gian (月), Tiền bạc (贝) và Tâm bình thường (凡) = Thắng.</t>
  </si>
  <si>
    <t>赢得</t>
  </si>
  <si>
    <t>yíngdé</t>
  </si>
  <si>
    <t>Thắng (赢) và đạt được (得) phần thưởng = Giành được.</t>
  </si>
  <si>
    <t>应聘</t>
  </si>
  <si>
    <t>yìngpìn</t>
  </si>
  <si>
    <t>ướng tuyển</t>
  </si>
  <si>
    <t>Đáp ứng (应) lời mời gọi bằng lời nói (讠) để đi làm = Ứng tuyển.</t>
  </si>
  <si>
    <t>引起</t>
  </si>
  <si>
    <t>yǐnqǐ</t>
  </si>
  <si>
    <t>Dẫn dắt (引) làm trỗi dậy (起) một vấn đề = Gây ra/Dẫn đến.</t>
  </si>
  <si>
    <t>印象</t>
  </si>
  <si>
    <t>yìnxiàng</t>
  </si>
  <si>
    <t>Hình ảnh (象) đóng dấu (印) vào trong trí não = Ấn tượng.</t>
  </si>
  <si>
    <t>一切</t>
  </si>
  <si>
    <t>yíqiè</t>
  </si>
  <si>
    <t>Một (一) đao chém đứt (切) tất cả = Tất cả/Toàn bộ.</t>
  </si>
  <si>
    <t>一生</t>
  </si>
  <si>
    <t>yìshēng</t>
  </si>
  <si>
    <t>Cuộc sống (生) của một (一) con người = Cả đời.</t>
  </si>
  <si>
    <t>艺术</t>
  </si>
  <si>
    <t>yìshù</t>
  </si>
  <si>
    <t>Kỹ thuật (术) trồng hoa cỏ (艹) đạt đến độ thẩm mỹ = Nghệ thuật.</t>
  </si>
  <si>
    <t>勇敢</t>
  </si>
  <si>
    <t>yǒnggǎn</t>
  </si>
  <si>
    <t>Có sức lực (力) và gan dạ (敢) = Dũng cảm.</t>
  </si>
  <si>
    <t>用来</t>
  </si>
  <si>
    <t>yònglái</t>
  </si>
  <si>
    <t>Dùng (用) để mang lại (来) mục đích gì đó = Dùng để.</t>
  </si>
  <si>
    <t>用于</t>
  </si>
  <si>
    <t>yòngyú</t>
  </si>
  <si>
    <t>dùng cho</t>
  </si>
  <si>
    <t>Được dùng (用) tại (于) một việc nào đó = Dùng cho.</t>
  </si>
  <si>
    <t>永远</t>
  </si>
  <si>
    <t>yǒngyuǎn</t>
  </si>
  <si>
    <t>副、名</t>
  </si>
  <si>
    <t>Dòng nước chảy dài (永) và đi rất xa (远) = Vĩnh viễn.</t>
  </si>
  <si>
    <t>由</t>
  </si>
  <si>
    <t>do/từ</t>
  </si>
  <si>
    <t>Hình ảnh hạt mầm thoát ra từ lớp vỏ, chỉ nguồn gốc = Do/Từ.</t>
  </si>
  <si>
    <t>油</t>
  </si>
  <si>
    <t>Chất lỏng chảy như nước (氵) từ thực vật/động vật = Dầu.</t>
  </si>
  <si>
    <t>优点</t>
  </si>
  <si>
    <t>yōudiǎn</t>
  </si>
  <si>
    <t>ưu điểm</t>
  </si>
  <si>
    <t>Điểm (点) ưu tú (优) = Ưu điểm.</t>
  </si>
  <si>
    <t>友好</t>
  </si>
  <si>
    <t>yǒuhǎo</t>
  </si>
  <si>
    <t>Tốt (好) như những người bạn (友) = Thân thiện.</t>
  </si>
  <si>
    <t>幽默</t>
  </si>
  <si>
    <t>yōumò</t>
  </si>
  <si>
    <t>Ở nơi u tĩnh (幽) mà vẫn giữ im lặng (默) làm người khác cười = Hài hước.</t>
  </si>
  <si>
    <t>尤其</t>
  </si>
  <si>
    <t>yóuqí</t>
  </si>
  <si>
    <t>Đặc biệt là cái đó (其) nổi bật hẳn lên = Đặc biệt là.</t>
  </si>
  <si>
    <t>友情</t>
  </si>
  <si>
    <t>yǒuqíng</t>
  </si>
  <si>
    <t>Tình cảm (情) của những người bạn (友) = Tình bạn.</t>
  </si>
  <si>
    <t>有趣</t>
  </si>
  <si>
    <t>yǒuqù</t>
  </si>
  <si>
    <t>Có (有) sự thú vị làm trỗi dậy bước chân (趣) = Thú vị.</t>
  </si>
  <si>
    <t>游玩</t>
  </si>
  <si>
    <t>yóuwán</t>
  </si>
  <si>
    <t>Đi ngao du (游) và chơi bời (玩) = Vui chơi.</t>
  </si>
  <si>
    <t>有效</t>
  </si>
  <si>
    <t>yǒuxiào</t>
  </si>
  <si>
    <t>Có (有) hiệu lực và sức lực (效) = Có hiệu quả.</t>
  </si>
  <si>
    <t>优秀</t>
  </si>
  <si>
    <t>yōuxiù</t>
  </si>
  <si>
    <t>ưu tú</t>
  </si>
  <si>
    <t>Ưu tú (优) như mầm lúa (秀) trổ bông đẹp nhất = Ưu tú/Xuất sắc.</t>
  </si>
  <si>
    <t>友谊</t>
  </si>
  <si>
    <t>yǒuyì</t>
  </si>
  <si>
    <t>tình hữu nghị</t>
  </si>
  <si>
    <t>Tình bằng hữu (友) phù hợp với đạo lý (谊) = Tình hữu nghị.</t>
  </si>
  <si>
    <t>由于</t>
  </si>
  <si>
    <t>yóuyú</t>
  </si>
  <si>
    <t>Bởi vì xuất phát (由) từ (于) lý do đó = Do/Bởi vì.</t>
  </si>
  <si>
    <t>有着</t>
  </si>
  <si>
    <t>yǒuzhe</t>
  </si>
  <si>
    <t>Đang có (有) một trạng thái (着) nào đó = Có/Sở hữu.</t>
  </si>
  <si>
    <t>与</t>
  </si>
  <si>
    <t>Hình ảnh hai bàn tay đang kéo nhau lại gần = Với/Cùng.</t>
  </si>
  <si>
    <t>原来</t>
  </si>
  <si>
    <t>yuánlái</t>
  </si>
  <si>
    <t>名、形、副</t>
  </si>
  <si>
    <t>Nguồn gốc từ con suối (原) chảy đến (来) = Hóa ra/Lúc đầu.</t>
  </si>
  <si>
    <t>远离</t>
  </si>
  <si>
    <t>yuǎnlí</t>
  </si>
  <si>
    <t>Rời xa (离) một khoảng cách xa (远) = Tránh xa.</t>
  </si>
  <si>
    <t>原谅</t>
  </si>
  <si>
    <t>yuánliàng</t>
  </si>
  <si>
    <t>Dùng lời nói (讠) làm sáng tỏ (谅) để quay về mức ban đầu (原) = Tha thứ.</t>
  </si>
  <si>
    <t>原因</t>
  </si>
  <si>
    <t>yuányīn</t>
  </si>
  <si>
    <t>nguyên nhân</t>
  </si>
  <si>
    <t>Cái nguyên do (因) ban đầu (原) dẫn đến kết quả = Nguyên nhân.</t>
  </si>
  <si>
    <t>院长</t>
  </si>
  <si>
    <t>yuànzhǎng</t>
  </si>
  <si>
    <t>viện trưởng</t>
  </si>
  <si>
    <t>Người đứng đầu (长) của một học viện (院) = Viện trưởng.</t>
  </si>
  <si>
    <t>院子</t>
  </si>
  <si>
    <t>yuànzi</t>
  </si>
  <si>
    <t>Một tòa nhà lớn (院) có khoảng không bao quanh chính là cái Sân.</t>
  </si>
  <si>
    <t>约</t>
  </si>
  <si>
    <t>yuē</t>
  </si>
  <si>
    <t>hẹn</t>
  </si>
  <si>
    <t>Dùng sợi tơ (纟) để thắt chặt lời hứa với nhau = Hẹn/Ước hẹn.</t>
  </si>
  <si>
    <t>月饼</t>
  </si>
  <si>
    <t>yuèbing</t>
  </si>
  <si>
    <t>Loại bánh (饼) ăn vào dịp trăng (月) tròn = Bánh trung thu.</t>
  </si>
  <si>
    <t>阅读</t>
  </si>
  <si>
    <t>yuèdú</t>
  </si>
  <si>
    <t>Xem (阅) bằng mắt và đọc (读) bằng miệng = Đọc hiểu.</t>
  </si>
  <si>
    <t>月份</t>
  </si>
  <si>
    <t>yuèfèn</t>
  </si>
  <si>
    <t>Một phần (份) thời gian của một tháng (月) = Tháng (trong năm).</t>
  </si>
  <si>
    <t>约会</t>
  </si>
  <si>
    <t>yuēhuì</t>
  </si>
  <si>
    <t>Hẹn ước (约) để gặp gỡ (会) = Hẹn hò.</t>
  </si>
  <si>
    <t>语法</t>
  </si>
  <si>
    <t>yǔfǎ</t>
  </si>
  <si>
    <t>Quy tắc (法) của ngôn ngữ (语) = Ngữ pháp.</t>
  </si>
  <si>
    <t>愉快</t>
  </si>
  <si>
    <t>yúkuài</t>
  </si>
  <si>
    <t>Trái tim (忄) cảm thấy thoải mái (愉) và phấn chấn (快) = Vui vẻ.</t>
  </si>
  <si>
    <t>云</t>
  </si>
  <si>
    <t>yún</t>
  </si>
  <si>
    <t>Hình ảnh những dải mây bay lượn trên bầu trời: Mây.</t>
  </si>
  <si>
    <t>允许</t>
  </si>
  <si>
    <t>yǔnxǔ</t>
  </si>
  <si>
    <t>Lời nói (讠) của cấp trên đồng ý (允) cho làm = Cho phép.</t>
  </si>
  <si>
    <t>于是</t>
  </si>
  <si>
    <t>yúshì</t>
  </si>
  <si>
    <t>thế là</t>
  </si>
  <si>
    <t>Tại (于) cái đó (是) mà dẫn đến hành động tiếp theo = Thế là.</t>
  </si>
  <si>
    <t>预习</t>
  </si>
  <si>
    <t>yùxí</t>
  </si>
  <si>
    <t>Luyện tập (习) trước khi sự việc diễn ra (预) = Chuẩn bị bài.</t>
  </si>
  <si>
    <t>再次</t>
  </si>
  <si>
    <t>zàicì</t>
  </si>
  <si>
    <t>lại lẫn nữa</t>
  </si>
  <si>
    <t>Lại (再) một lần (次) nữa.</t>
  </si>
  <si>
    <t>再说</t>
  </si>
  <si>
    <t>zàishuō</t>
  </si>
  <si>
    <t>动、连</t>
  </si>
  <si>
    <t>Nói (说) lại (再) sau nhé = Để sau hãy nói/Hơn nữa.</t>
  </si>
  <si>
    <t>暂时</t>
  </si>
  <si>
    <t>zànshí</t>
  </si>
  <si>
    <t>Khoảng thời gian (时) ngắn ngủi, tạm bợ (暂) = Tạm thời.</t>
  </si>
  <si>
    <t>暂停</t>
  </si>
  <si>
    <t>zàntíng</t>
  </si>
  <si>
    <t>Tạm thời (暂) dừng lại (停) = Tạm dừng.</t>
  </si>
  <si>
    <t>早餐</t>
  </si>
  <si>
    <t>zǎocān</t>
  </si>
  <si>
    <t>Bữa ăn (餐) buổi sáng (早).</t>
  </si>
  <si>
    <t>早晨</t>
  </si>
  <si>
    <t>zǎochen</t>
  </si>
  <si>
    <t>sáng sớm</t>
  </si>
  <si>
    <t>Khi mặt trời (日) mới nhô lên vào sáng sớm (晨) = Sáng sớm.</t>
  </si>
  <si>
    <t>杂志</t>
  </si>
  <si>
    <t>zázhì</t>
  </si>
  <si>
    <t>Bản ghi chép (志) nhiều nội dung đa dạng, tạp nham (杂) = Tạp chí.</t>
  </si>
  <si>
    <t>增加</t>
  </si>
  <si>
    <t>zēngjiā</t>
  </si>
  <si>
    <t>tăng thêm</t>
  </si>
  <si>
    <t>Thêm vào (加) để tăng trưởng trên mặt đất (增) = Tăng thêm.</t>
  </si>
  <si>
    <t>增长</t>
  </si>
  <si>
    <t>zēngzhǎng</t>
  </si>
  <si>
    <t>tăng trưởng</t>
  </si>
  <si>
    <t>Tăng thêm (增) và dài ra (长) = Gia tăng/Tăng trưởng.</t>
  </si>
  <si>
    <t>责任</t>
  </si>
  <si>
    <t>zérèn</t>
  </si>
  <si>
    <t>Gánh vác (任) những việc nếu sai sẽ bị quở trách (责) = Trách nhiệm.</t>
  </si>
  <si>
    <t>zháo</t>
  </si>
  <si>
    <t>trúng / bị</t>
  </si>
  <si>
    <t>Hình ảnh con mắt (目) nhìn vào vật gì đó đang duy trì = Trợ từ tiếp diễn.</t>
  </si>
  <si>
    <t>着火</t>
  </si>
  <si>
    <t>zháohuǒ</t>
  </si>
  <si>
    <t>bị cháy</t>
  </si>
  <si>
    <t>Lửa (火) bắt đầu bùng lên (着) = Bị cháy/Bắt lửa.</t>
  </si>
  <si>
    <t>招聘</t>
  </si>
  <si>
    <t>zhāopìn</t>
  </si>
  <si>
    <t>Dùng lời nói (讠) để mời gọi (招) người tài = Tuyển dụng.</t>
  </si>
  <si>
    <t>者</t>
  </si>
  <si>
    <t>zhě</t>
  </si>
  <si>
    <t>người/kẻ</t>
  </si>
  <si>
    <t>Hình ảnh một người già đứng trên đất dạy bảo = Người/Kẻ (làm gì đó).</t>
  </si>
  <si>
    <t>证</t>
  </si>
  <si>
    <t>Lời nói (讠) đúng đắn (正) dùng để làm bằng chứng = Chứng chỉ/Bằng.</t>
  </si>
  <si>
    <t>整</t>
  </si>
  <si>
    <t>zhěng</t>
  </si>
  <si>
    <t>Sắp xếp cho ngay ngắn để không bị phạt (敕) = Toàn bộ/Ngay ngắn.</t>
  </si>
  <si>
    <t>正常</t>
  </si>
  <si>
    <t>zhèngcháng</t>
  </si>
  <si>
    <t>Luôn luôn (常) đi đúng hướng (正) = Bình thường.</t>
  </si>
  <si>
    <t>整个</t>
  </si>
  <si>
    <t>zhěnggè</t>
  </si>
  <si>
    <t>Toàn bộ (整) cái đó (个) = Toàn bộ.</t>
  </si>
  <si>
    <t>正好</t>
  </si>
  <si>
    <t>zhènghǎo</t>
  </si>
  <si>
    <t>vừa hay</t>
  </si>
  <si>
    <t>Vừa đúng (正) lúc tốt đẹp (好) = Vừa vặn/Vừa hay.</t>
  </si>
  <si>
    <t>证件</t>
  </si>
  <si>
    <t>zhèngjiàn</t>
  </si>
  <si>
    <t>giấy tờ tuỳ thân</t>
  </si>
  <si>
    <t>Các sự vật (件) dùng để chứng minh (证) = Giấy tờ tùy thân.</t>
  </si>
  <si>
    <t>整理</t>
  </si>
  <si>
    <t>zhěnglǐ</t>
  </si>
  <si>
    <t>sắp xếp</t>
  </si>
  <si>
    <t>Sắp xếp (整) và xử lý (理) cho gọn gàng = Sắp xếp/Chỉnh đốn.</t>
  </si>
  <si>
    <t>证明</t>
  </si>
  <si>
    <t>zhèngmíng</t>
  </si>
  <si>
    <t>Chứng thực (证) cho rõ ràng sáng tỏ (明) = Chứng minh.</t>
  </si>
  <si>
    <t>正确</t>
  </si>
  <si>
    <t>zhèngquè</t>
  </si>
  <si>
    <t>Đúng đắn (正) và xác thực như đá (确 - bộ Thạch 石) = Chính xác.</t>
  </si>
  <si>
    <t>正式</t>
  </si>
  <si>
    <t>zhèngshì</t>
  </si>
  <si>
    <t>Theo đúng (正) hình thức, khuôn mẫu (式) = Chính thức.</t>
  </si>
  <si>
    <t>真正</t>
  </si>
  <si>
    <t>zhēnzhèng</t>
  </si>
  <si>
    <t>chân chính</t>
  </si>
  <si>
    <t>Sự thật (真) và đúng đắn (正) = Chân chính/Đích thực.</t>
  </si>
  <si>
    <t>值</t>
  </si>
  <si>
    <t>zhí</t>
  </si>
  <si>
    <t>Một người (亻) đứng thẳng (直) để đo giá trị = Trị giá/Đáng.</t>
  </si>
  <si>
    <t>指</t>
  </si>
  <si>
    <t>chỉ</t>
  </si>
  <si>
    <t>Dùng tay (扌) chỉ về hướng cái thìa (旨) = Chỉ/Ngón tay.</t>
  </si>
  <si>
    <t>之</t>
  </si>
  <si>
    <t>Hình ảnh bước chân đi từ điểm này đến điểm kia = Của/Thay thế.</t>
  </si>
  <si>
    <t>支持</t>
  </si>
  <si>
    <t>zhīchí</t>
  </si>
  <si>
    <t>Dùng đôi tay (扌) giữ vững (持) và chống đỡ (支) = Ủng hộ.</t>
  </si>
  <si>
    <t>指出</t>
  </si>
  <si>
    <t>zhǐchū</t>
  </si>
  <si>
    <t>Chỉ (指) ra bên ngoài (出) = Chỉ ra.</t>
  </si>
  <si>
    <t>值得</t>
  </si>
  <si>
    <t>zhídé</t>
  </si>
  <si>
    <t>xứng đáng</t>
  </si>
  <si>
    <t>Đáng giá (值) để đạt được (得) = Xứng đáng.</t>
  </si>
  <si>
    <t>支付</t>
  </si>
  <si>
    <t>zhīfù</t>
  </si>
  <si>
    <t>chi trả</t>
  </si>
  <si>
    <t>Giao phó (付) tiền bạc đi để thanh toán = Chi trả.</t>
  </si>
  <si>
    <t>只好</t>
  </si>
  <si>
    <t>zhǐhǎo</t>
  </si>
  <si>
    <t>đành phải</t>
  </si>
  <si>
    <t>Chỉ (只) có cách tốt (好) nhất là... = Đành phải.</t>
  </si>
  <si>
    <t>之后</t>
  </si>
  <si>
    <t>zhīhòu</t>
  </si>
  <si>
    <t>Sau (后) thời điểm đó.</t>
  </si>
  <si>
    <t>之间</t>
  </si>
  <si>
    <t>zhījiān</t>
  </si>
  <si>
    <t>Ở khoảng (间) giữa của những cái đó = Ở giữa/Giữa.</t>
  </si>
  <si>
    <t>直接</t>
  </si>
  <si>
    <t>zhíjiē</t>
  </si>
  <si>
    <t>Tiếp nối (接) một cách thẳng tuột (直) = Trực tiếp.</t>
  </si>
  <si>
    <t>纸巾</t>
  </si>
  <si>
    <t>zhǐjīn</t>
  </si>
  <si>
    <t>khăn giấy</t>
  </si>
  <si>
    <t>Khăn (巾) được làm bằng giấy (纸) = Khăn giấy.</t>
  </si>
  <si>
    <t>质量</t>
  </si>
  <si>
    <t>zhìliàng</t>
  </si>
  <si>
    <t>Chất lượng vật chất (质 - bộ Bối 贝 tiền bạc) và khối lượng (量) = Chất lượng.</t>
  </si>
  <si>
    <t>之前</t>
  </si>
  <si>
    <t>zhīqián</t>
  </si>
  <si>
    <t>trước khi</t>
  </si>
  <si>
    <t>Trước (前) thời điểm đó (之) = Trước khi.</t>
  </si>
  <si>
    <t>至少</t>
  </si>
  <si>
    <t>zhìshǎo</t>
  </si>
  <si>
    <t>chí ít</t>
  </si>
  <si>
    <t>Đạt đến (至) mức ít nhất (少) = Ít nhất/Chí ít.</t>
  </si>
  <si>
    <t>知识</t>
  </si>
  <si>
    <t>zhīshi</t>
  </si>
  <si>
    <t>Biết (知) và nhận biết (识) qua lời nói (讠) = Kiến thức.</t>
  </si>
  <si>
    <t>植物</t>
  </si>
  <si>
    <t>zhíwù</t>
  </si>
  <si>
    <t>Những vật (物) mọc thẳng từ đất (植 - có bộ Mộc 木) = Thực vật.</t>
  </si>
  <si>
    <t>职业</t>
  </si>
  <si>
    <t>zhíyè</t>
  </si>
  <si>
    <t>Công việc (业) gắn với chức trách (职) = Nghề nghiệp.</t>
  </si>
  <si>
    <t>之中</t>
  </si>
  <si>
    <t>zhīzhōng</t>
  </si>
  <si>
    <t>trong số</t>
  </si>
  <si>
    <t>Ở bên trong (中) của cái đó (之) = Trong số/Ở trong.</t>
  </si>
  <si>
    <t>zhòng</t>
  </si>
  <si>
    <t>Hạt giống lúa (禾) được trồng trên ruộng (田) = Loại/Trồng.</t>
  </si>
  <si>
    <t>Một vật nặng đè lên xe và đất = Nặng/Quan trọng.</t>
  </si>
  <si>
    <t>中餐</t>
  </si>
  <si>
    <t>zhōngcān</t>
  </si>
  <si>
    <t>Bữa ăn (餐) kiểu Trung Quốc (中) = Món ăn Trung Hoa.</t>
  </si>
  <si>
    <t>重点</t>
  </si>
  <si>
    <t>zhòngdiǎn</t>
  </si>
  <si>
    <t>Những điểm (点) quan trọng (重) = Trọng điểm.</t>
  </si>
  <si>
    <t>中年</t>
  </si>
  <si>
    <t>zhōngnián</t>
  </si>
  <si>
    <t>Những năm tháng (年) ở giữa cuộc đời (中) = Trung niên.</t>
  </si>
  <si>
    <t>重视</t>
  </si>
  <si>
    <t>zhòngshì</t>
  </si>
  <si>
    <t>Nhìn nhận (视) một cách coi trọng (重) = Coi trọng.</t>
  </si>
  <si>
    <t>周围</t>
  </si>
  <si>
    <t>zhōuwéi</t>
  </si>
  <si>
    <t>Vòng quanh (围) các vùng đất (周) = Xung quanh.</t>
  </si>
  <si>
    <t>祝</t>
  </si>
  <si>
    <t>chúc</t>
  </si>
  <si>
    <t>Dùng lời nói (讠) cầu chúc trước bàn thờ thần (礻) = Chúc mừng.</t>
  </si>
  <si>
    <t>赚</t>
  </si>
  <si>
    <t>zhuàn</t>
  </si>
  <si>
    <t>Dùng tiền bạc (贝) để thu lợi nhuận (兼) = Kiếm tiền/Có lãi.</t>
  </si>
  <si>
    <t>zhuǎn</t>
  </si>
  <si>
    <t>chuyển</t>
  </si>
  <si>
    <t>Chiếc xe (车) thay đổi hướng đi = Chuyển/Xoay.</t>
  </si>
  <si>
    <t>转发</t>
  </si>
  <si>
    <t>zhuǎnfā</t>
  </si>
  <si>
    <t>chuyển tiếp</t>
  </si>
  <si>
    <t>Chuyển (转) và phát đi (发) = Chuyển tiếp/Chia sẻ.</t>
  </si>
  <si>
    <t>装</t>
  </si>
  <si>
    <t>zhuāng</t>
  </si>
  <si>
    <t>trang bị/đựng</t>
  </si>
  <si>
    <t>Trang phục (衣) dùng để làm dáng/đựng đồ = Trang bị/Đựng/Giả vờ.</t>
  </si>
  <si>
    <t>转机</t>
  </si>
  <si>
    <t>zhuǎnjī</t>
  </si>
  <si>
    <t>Sự thay đổi (转) của cơ hội/máy bay (机) = Chuyển máy bay/Bước ngoặt.</t>
  </si>
  <si>
    <t>专门</t>
  </si>
  <si>
    <t>zhuānmén</t>
  </si>
  <si>
    <t>chuyên môn</t>
  </si>
  <si>
    <t>Chỉ tập trung vào duy nhất một cánh cổng (门) = Chuyên môn/Riêng biệt.</t>
  </si>
  <si>
    <t>专业</t>
  </si>
  <si>
    <t>zhuānyè</t>
  </si>
  <si>
    <t>chuyên ngành</t>
  </si>
  <si>
    <t>Sự nghiệp (业) mang tính chuyên sâu (专) = Chuyên ngành.</t>
  </si>
  <si>
    <t>祝贺</t>
  </si>
  <si>
    <t>zhùhè</t>
  </si>
  <si>
    <t>Cầu chúc (祝) kèm theo quà tặng/tiền bạc (贺 - có bộ Bối 贝) = Chúc mừng.</t>
  </si>
  <si>
    <t>著名</t>
  </si>
  <si>
    <t>zhùmíng</t>
  </si>
  <si>
    <t>Cái tên (名) được ghi chép (著) rõ ràng = Nổi tiếng.</t>
  </si>
  <si>
    <t>准</t>
  </si>
  <si>
    <t>zhǔn</t>
  </si>
  <si>
    <t>chuẩn</t>
  </si>
  <si>
    <t>Chuẩn xác như mũi tên bắn vào mục tiêu = Chuẩn/Cho phép.</t>
  </si>
  <si>
    <t>准确</t>
  </si>
  <si>
    <t>zhǔnquè</t>
  </si>
  <si>
    <t>Chuẩn xác (准) và xác thực như đá (确) = Chính xác.</t>
  </si>
  <si>
    <t>准时</t>
  </si>
  <si>
    <t>zhǔnshí</t>
  </si>
  <si>
    <t>Đúng (准) thời gian (时) = Đúng giờ.</t>
  </si>
  <si>
    <t>主意</t>
  </si>
  <si>
    <t>zhǔyi</t>
  </si>
  <si>
    <t>Ý nghĩ (意) của người làm chủ (主) = Ý kiến/Cách hay.</t>
  </si>
  <si>
    <t>自</t>
  </si>
  <si>
    <t>Hình ảnh cái mũi, tự chỉ vào mình = Tự mình/Từ (đâu đó).</t>
  </si>
  <si>
    <t>资料</t>
  </si>
  <si>
    <t>zīliào</t>
  </si>
  <si>
    <t>Nguyên liệu (料) làm từ vốn liếng/tài sản (资) = Tài liệu.</t>
  </si>
  <si>
    <t>自然</t>
  </si>
  <si>
    <t>zìrán</t>
  </si>
  <si>
    <t>tự nhiên</t>
  </si>
  <si>
    <t>Tự bản thân nó (自) vốn dĩ như thế (然) = Tự nhiên.</t>
  </si>
  <si>
    <t>自习</t>
  </si>
  <si>
    <t>zìxí</t>
  </si>
  <si>
    <t>Tự mình (自) luyện tập/học tập (习) = Tự học/Tự ôn tập.</t>
  </si>
  <si>
    <t>仔细</t>
  </si>
  <si>
    <t>zǐxì</t>
  </si>
  <si>
    <t>cẩn thận</t>
  </si>
  <si>
    <t>Tự mình (自) tỉ mỉ như sợi tơ nhỏ (细) = Kỹ lưỡng/Cẩn thận.</t>
  </si>
  <si>
    <t>自信</t>
  </si>
  <si>
    <t>zìxìn</t>
  </si>
  <si>
    <t>动、名、形</t>
  </si>
  <si>
    <t>tự tin</t>
  </si>
  <si>
    <t>Tự mình (自) tin tưởng (信) vào bản thân = Tự tin.</t>
  </si>
  <si>
    <t>自学</t>
  </si>
  <si>
    <t>zìxué</t>
  </si>
  <si>
    <t>Tự mình (自) học (学) không cần thầy = Tự học.</t>
  </si>
  <si>
    <t>总结</t>
  </si>
  <si>
    <t>zǒngjié</t>
  </si>
  <si>
    <t>Tổng hợp (总) và thắt nút (结) vấn đề lại = Tổng kết.</t>
  </si>
  <si>
    <t>组</t>
  </si>
  <si>
    <t>zǔ</t>
  </si>
  <si>
    <t>名、（动、量）</t>
  </si>
  <si>
    <t>tổ/nhóm</t>
  </si>
  <si>
    <t>Dùng sợi tơ (纟) để kết nối các thành viên = Tổ/Nhóm.</t>
  </si>
  <si>
    <t>租</t>
  </si>
  <si>
    <t>zū</t>
  </si>
  <si>
    <t>Trả lúa gạo (禾) để mượn đất/nhà (且) = Thuê.</t>
  </si>
  <si>
    <t>最终</t>
  </si>
  <si>
    <t>zuìzhōng</t>
  </si>
  <si>
    <t>Cái cuối cùng (终) nhất (最) = Cuối cùng.</t>
  </si>
  <si>
    <t>尊重</t>
  </si>
  <si>
    <t>zūnzhòng</t>
  </si>
  <si>
    <t>tôn trọng</t>
  </si>
  <si>
    <t>Coi trọng (重) và tôn kính người vai trên (尊) = Tôn trọng.</t>
  </si>
  <si>
    <t>座</t>
  </si>
  <si>
    <t>Chỗ ngồi dưới mái nhà (广) trên nền đất (土) = Chỗ ngồi/Tòa (lượng từ).</t>
  </si>
  <si>
    <t>做法</t>
  </si>
  <si>
    <t>zuòfǎ</t>
  </si>
  <si>
    <t>cách làm</t>
  </si>
  <si>
    <t>Cách (法) làm (做) = Cách làm.</t>
  </si>
  <si>
    <t>作家</t>
  </si>
  <si>
    <t>zuòjiā</t>
  </si>
  <si>
    <t>Người chuyên sáng tác (作) trong nhà (家) = Nhà văn.</t>
  </si>
  <si>
    <t>做梦</t>
  </si>
  <si>
    <t>zuòmèng</t>
  </si>
  <si>
    <t>nằm mơ</t>
  </si>
  <si>
    <t>Thực hiện (做) một giấc mơ (梦) = Nằm mơ.</t>
  </si>
  <si>
    <t>作品</t>
  </si>
  <si>
    <t>zuòpǐn</t>
  </si>
  <si>
    <t>tác phẩm</t>
  </si>
  <si>
    <t>Những vật phẩm (品) được sáng tạo ra (作) = Tác phẩm.</t>
  </si>
  <si>
    <t>作为</t>
  </si>
  <si>
    <t>zuòwéi</t>
  </si>
  <si>
    <t>với tư cách là</t>
  </si>
  <si>
    <t>Lấy làm (作) vì mục đích gì đó (为) = Với tư cách là.</t>
  </si>
  <si>
    <t>座位</t>
  </si>
  <si>
    <t>zuòwèi</t>
  </si>
  <si>
    <t>Vị trí (位) để ngồi (座) = Chỗ ngồi.</t>
  </si>
  <si>
    <t>作文</t>
  </si>
  <si>
    <t>zuòwén</t>
  </si>
  <si>
    <t>viết văn</t>
  </si>
  <si>
    <t>Làm (作) một đoạn văn (文) = Viết văn/Bài văn.</t>
  </si>
  <si>
    <t>作用</t>
  </si>
  <si>
    <t>zuòyòng</t>
  </si>
  <si>
    <t>Tác dụng của việc làm (作) và sử dụng (用) = Tác dụng.</t>
  </si>
  <si>
    <t>左右</t>
  </si>
  <si>
    <t>zuǒyòu</t>
  </si>
  <si>
    <t>khoảng</t>
  </si>
  <si>
    <t>Bên trái (左) và bên phải (右) = Khoảng/Xấp xỉ.</t>
  </si>
  <si>
    <t>作者</t>
  </si>
  <si>
    <t>zuòzhě</t>
  </si>
  <si>
    <t>Người (者) sáng tác/viết (作) = Tác giả.</t>
  </si>
  <si>
    <t>1-2000 sheet HSK1,2.3.4</t>
  </si>
  <si>
    <t>唉</t>
  </si>
  <si>
    <t>Than ôi</t>
  </si>
  <si>
    <t>Khi một việc đã kết thúc (矣) mà không như ý, ta mở miệng (口) ra để thở dài.</t>
  </si>
  <si>
    <t>哎</t>
  </si>
  <si>
    <t>āi</t>
  </si>
  <si>
    <t>Ê/này</t>
  </si>
  <si>
    <t>Mở miệng (口) gọi người đang hái cỏ (艾)</t>
  </si>
  <si>
    <t>爱护</t>
  </si>
  <si>
    <t>àihù</t>
  </si>
  <si>
    <t>Yêu (爱) và bảo vệ, che chở (护) = Yêu quý/Bảo vệ.</t>
  </si>
  <si>
    <t>哎呀</t>
  </si>
  <si>
    <t>āiyā</t>
  </si>
  <si>
    <t>Tiếng thốt lên khi bất ngờ hoặc hoảng hốt = Ái chà/Ối chao.</t>
  </si>
  <si>
    <t>暗</t>
  </si>
  <si>
    <t>Mặt trời (日) đã bị âm thanh (音) che khuất, không còn sáng = Tối/U ám.</t>
  </si>
  <si>
    <t>安</t>
  </si>
  <si>
    <t>ān</t>
  </si>
  <si>
    <t>An (tâm)</t>
  </si>
  <si>
    <t>Người phụ nữ (女) ở dưới mái nhà (宀) thì sẽ cảm thấy Yên tâm/An toàn.</t>
  </si>
  <si>
    <t>安全带</t>
  </si>
  <si>
    <t>ānquándài</t>
  </si>
  <si>
    <t>Cái dây (带) dùng để giữ an toàn (安全) = Dây an toàn.</t>
  </si>
  <si>
    <t>安慰</t>
  </si>
  <si>
    <t>ānwèi</t>
  </si>
  <si>
    <t>Làm cho tâm hồn yên An và an Ủi (慰) = An ủi. 尉 (wèi) chỉ âm và Tâm (心 - trái tim) chỉ nghĩa</t>
  </si>
  <si>
    <t>安装</t>
  </si>
  <si>
    <t>ānzhuāng</t>
  </si>
  <si>
    <t>Đặt vào vị trí yên An và lắp Trang thiết bị (装) = Lắp đặt.</t>
  </si>
  <si>
    <t>熬夜</t>
  </si>
  <si>
    <t>áoyè</t>
  </si>
  <si>
    <t>Cố gắng chịu đựng qua đêm (夜) như đang bị đun trên lửa (灬) = Thức khuya.</t>
  </si>
  <si>
    <t>白</t>
  </si>
  <si>
    <t>bái</t>
  </si>
  <si>
    <t>Hình ảnh hạt gạo trắng hoặc ánh sáng mặt trời mới mọc = Trắng/Trống không.</t>
  </si>
  <si>
    <t>傍晚</t>
  </si>
  <si>
    <t>bàngwǎn</t>
  </si>
  <si>
    <t>Một người (亻) đứng bên cạnh (旁) buổi tối (晚) = Chạng vạng/Sẩm tối.</t>
  </si>
  <si>
    <t>半夜</t>
  </si>
  <si>
    <t>bànyè</t>
  </si>
  <si>
    <t>数量、名</t>
  </si>
  <si>
    <t>Một nửa (半) của đêm (夜) = Nửa đêm.</t>
  </si>
  <si>
    <t>薄</t>
  </si>
  <si>
    <t>báo</t>
  </si>
  <si>
    <t>mỏng</t>
  </si>
  <si>
    <t>Cỏ (艹) mọc trên vùng đất ngập nước mỏng manh = Mỏng/Nhạt.</t>
  </si>
  <si>
    <t>宝</t>
  </si>
  <si>
    <t>Trong nhà (宀) có ngọc (玉) quý = Quý giá/Bảo vật.</t>
  </si>
  <si>
    <t>保</t>
  </si>
  <si>
    <t>bảo (vệ)</t>
  </si>
  <si>
    <t>Một người (亻) đang bế đứa trẻ (口 ở đây tượng trưng cho đứa bé) để che chở = Bảo vệ/Giữ.</t>
  </si>
  <si>
    <t>保安</t>
  </si>
  <si>
    <t>bǎo'ān</t>
  </si>
  <si>
    <t>Người bảo vệ (保) sự bình an (安) = Bảo vệ (nghề nghiệp).</t>
  </si>
  <si>
    <t>宝贝</t>
  </si>
  <si>
    <t>bǎobèi</t>
  </si>
  <si>
    <t>bảo bối</t>
  </si>
  <si>
    <t>Đồ quý giá (宝) như vỏ sò/tiền bạc (贝) = Bảo bối/Em bé.</t>
  </si>
  <si>
    <t>保持</t>
  </si>
  <si>
    <t>bǎochí</t>
  </si>
  <si>
    <t>duy trì</t>
  </si>
  <si>
    <t>Bảo vệ (保) và nắm giữ (持 - dùng tay 扌 giữ ở chùa 寺) = Duy trì/Giữ vững.</t>
  </si>
  <si>
    <t>保存</t>
  </si>
  <si>
    <t>bǎocún</t>
  </si>
  <si>
    <t>bảo tồn</t>
  </si>
  <si>
    <t>Bảo vệ (保) để nó vẫn còn tồn tại (存) = Lưu trữ/Bảo quản./ bảo tồn</t>
  </si>
  <si>
    <t>报到</t>
  </si>
  <si>
    <t>bàodào</t>
  </si>
  <si>
    <t>báo danh</t>
  </si>
  <si>
    <t>Đến (到) nơi để báo (报) danh = Trình diện/Báo danh.</t>
  </si>
  <si>
    <t>报道</t>
  </si>
  <si>
    <t>bản tin</t>
  </si>
  <si>
    <t>Báo cáo (报) về một con đường/sự việc (道) = Đưa tin/Bản tin.</t>
  </si>
  <si>
    <t>报告</t>
  </si>
  <si>
    <t>bàogào</t>
  </si>
  <si>
    <t>Báo cáo (报) bằng miệng (告) = Báo cáo.</t>
  </si>
  <si>
    <t>宝贵</t>
  </si>
  <si>
    <t>bǎoguì</t>
  </si>
  <si>
    <t>quý báu</t>
  </si>
  <si>
    <t>Quý giá (宝) và đắt giá (贵) = Quý báu.</t>
  </si>
  <si>
    <t>包裹</t>
  </si>
  <si>
    <t>bāoguǒ</t>
  </si>
  <si>
    <t>bưu kiện</t>
  </si>
  <si>
    <t>Bao bọc (包) và vây quanh (裹 - như quần áo 衣 bao lấy trái cây 果) = Bưu kiện/Gói hàng.</t>
  </si>
  <si>
    <t>包含</t>
  </si>
  <si>
    <t>bāohán</t>
  </si>
  <si>
    <t>Bao bọc (包) và ngậm trong miệng (含) = Bao gồm/Chứa đựng.</t>
  </si>
  <si>
    <t>报警</t>
  </si>
  <si>
    <t>bàojǐng</t>
  </si>
  <si>
    <t>Báo (报) tình hình nguy cấp (景 trong Cảnh báo) = Báo cảnh sát.</t>
  </si>
  <si>
    <t>包括</t>
  </si>
  <si>
    <t>bāokuò</t>
  </si>
  <si>
    <t>Bao bọc (包) và tóm lược lại (括) = Bao quát/Bao gồm.</t>
  </si>
  <si>
    <t>保留</t>
  </si>
  <si>
    <t>bǎoliú</t>
  </si>
  <si>
    <t>bảo lưu</t>
  </si>
  <si>
    <t>Giữ lại (保) và lưu lại (留) = Dành riêng/Bảo lưu</t>
  </si>
  <si>
    <t>保险</t>
  </si>
  <si>
    <t>bǎoxiǎn</t>
  </si>
  <si>
    <t>Giữ (保) cho khỏi hiểm nghèo (险) = Bảo hiểm.</t>
  </si>
  <si>
    <t>暴雨</t>
  </si>
  <si>
    <t>bàoyǔ</t>
  </si>
  <si>
    <t>Cơn mưa (雨) tàn khốc và dữ dội (暴) = Mưa bão.</t>
  </si>
  <si>
    <t>抱怨</t>
  </si>
  <si>
    <t>bàoyuàn</t>
  </si>
  <si>
    <t>Ôm giữ (抱) sự oán hận (怨) trong lòng = Than phiền/Oán trách.</t>
  </si>
  <si>
    <t>保质期</t>
  </si>
  <si>
    <t>bǎozhìqī</t>
  </si>
  <si>
    <t>Thời hạn (期) giữ (保) được chất lượng (质) = Hạn sử dụng.</t>
  </si>
  <si>
    <t>包装</t>
  </si>
  <si>
    <t>bāozhuāng</t>
  </si>
  <si>
    <t>đóng gói, bao bì</t>
  </si>
  <si>
    <t>Bao bọc (包) bên ngoài lớp phục trang (装) = Đóng gói/Bao bì.</t>
  </si>
  <si>
    <t>把握</t>
  </si>
  <si>
    <t>bǎwò</t>
  </si>
  <si>
    <t>Dùng tay (扌) cầm lấy và nắm bắt (握) = Nắm bắt/Cơ hội.</t>
  </si>
  <si>
    <t>名、动、形</t>
  </si>
  <si>
    <t>Phần cơ thể (月) nằm phía dưới phía sau (北) = Cái lưng/Phía sau.</t>
  </si>
  <si>
    <t>背后</t>
  </si>
  <si>
    <t>bèihòu</t>
  </si>
  <si>
    <t>Phía sau (后) của cái lưng (背) = Sau lưng.</t>
  </si>
  <si>
    <t>背景</t>
  </si>
  <si>
    <t>bèijǐng</t>
  </si>
  <si>
    <t>bối cảnh</t>
  </si>
  <si>
    <t>Cảnh vật (景) ở phía sau lưng (背) = Bối cảnh.</t>
  </si>
  <si>
    <t>被子</t>
  </si>
  <si>
    <t>bèizi</t>
  </si>
  <si>
    <t>Đồ dùng bằng vải (衤) để đắp lên lưng/người = Cái chăn.</t>
  </si>
  <si>
    <t>gốc</t>
  </si>
  <si>
    <t>Cái cây (木) có vạch ở dưới gốc = Gốc/Rễ/Vốn dĩ/Quyển.</t>
  </si>
  <si>
    <t>本地</t>
  </si>
  <si>
    <t>běndì</t>
  </si>
  <si>
    <t>bản địa</t>
  </si>
  <si>
    <t>Vùng đất (地) gốc (本) tại đây = Địa phương/Bản địa.</t>
  </si>
  <si>
    <t>本领</t>
  </si>
  <si>
    <t>běnlǐng</t>
  </si>
  <si>
    <t>bản lĩnh</t>
  </si>
  <si>
    <t>Cái gốc (本) và cổ áo (cái quan trọng nhất 领) = Bản lĩnh/Kỹ năng.</t>
  </si>
  <si>
    <t>本人</t>
  </si>
  <si>
    <t>běnrén</t>
  </si>
  <si>
    <t>Chính (本) con người (人) đó = Bản thân tôi/Chính chủ.</t>
  </si>
  <si>
    <t>本质</t>
  </si>
  <si>
    <t>běnzhì</t>
  </si>
  <si>
    <t>bản chất</t>
  </si>
  <si>
    <t>Cái gốc (本) của chất lượng/đặc tính (质) = Bản chất.</t>
  </si>
  <si>
    <t>必</t>
  </si>
  <si>
    <t>bì</t>
  </si>
  <si>
    <t>Một nhát chém xuyên qua tim (心), thể hiện quyết tâm = Nhất định/Ắt hẳn.</t>
  </si>
  <si>
    <t>便</t>
  </si>
  <si>
    <t>tiện lợi</t>
  </si>
  <si>
    <t>Một người (亻) thay đổi tư thế cho thuận tiện (更) = Tiện lợi/Thì/Liền.</t>
  </si>
  <si>
    <t>变动</t>
  </si>
  <si>
    <t>biàndòng</t>
  </si>
  <si>
    <t>biến động</t>
  </si>
  <si>
    <t>Thay đổi (变) và chuyển động (动) = Biến động/Thay đổi.</t>
  </si>
  <si>
    <t>便利</t>
  </si>
  <si>
    <t>biànlì</t>
  </si>
  <si>
    <t>Thuận tiện (便) và có lợi (利) = Tiện lợi.</t>
  </si>
  <si>
    <t>便利店</t>
  </si>
  <si>
    <t>biànlìdiàn</t>
  </si>
  <si>
    <t>Cửa hàng (店) tiện lợi (便利).</t>
  </si>
  <si>
    <t>表达</t>
  </si>
  <si>
    <t>biǎodá</t>
  </si>
  <si>
    <t>Thể hiện ra bên ngoài (表) để đạt đến (达) tâm trí người khác = Bày tỏ/Diễn đạt.</t>
  </si>
  <si>
    <t>表面</t>
  </si>
  <si>
    <t>biǎomiàn</t>
  </si>
  <si>
    <t>Cái mặt (面) lộ ra bên ngoài (表) = Bề mặt/Vẻ bề ngoài.</t>
  </si>
  <si>
    <t>表明</t>
  </si>
  <si>
    <t>biǎomíng</t>
  </si>
  <si>
    <t>chứng tỏ</t>
  </si>
  <si>
    <t>Thể hiện ra (表) cho rõ ràng sáng tỏ (明) = Chứng tỏ/Bày tỏ rõ.</t>
  </si>
  <si>
    <t>表情</t>
  </si>
  <si>
    <t>biǎoqíng</t>
  </si>
  <si>
    <t>biểu cảm</t>
  </si>
  <si>
    <t>Tình cảm (情) lộ ra bên ngoài (表) = Biểu cảm (khuôn mặt).</t>
  </si>
  <si>
    <t>标题</t>
  </si>
  <si>
    <t>biāotí</t>
  </si>
  <si>
    <t>Cái cây đánh dấu (标) đề mục (题) = Tiêu đề/Tựa đề.</t>
  </si>
  <si>
    <t>标志</t>
  </si>
  <si>
    <t>biāozhì</t>
  </si>
  <si>
    <t>Cái cây đánh dấu (标) và ghi chép (志) lại = Ký hiệu/Biểu tượng.</t>
  </si>
  <si>
    <t>彼此</t>
  </si>
  <si>
    <t>bǐcǐ</t>
  </si>
  <si>
    <t>Người này (彼) và người kia (此) = Lẫn nhau/Cả hai bên.</t>
  </si>
  <si>
    <t>Dùng dao (刂) tách ra = Khác/Đừng/Đính vào.</t>
  </si>
  <si>
    <t>比分</t>
  </si>
  <si>
    <t>bǐfēn</t>
  </si>
  <si>
    <t>tỷ số</t>
  </si>
  <si>
    <t>So sánh (比) điểm số (分) = Tỉ số (trận đấu).</t>
  </si>
  <si>
    <t>毕竟</t>
  </si>
  <si>
    <t>bìjìng</t>
  </si>
  <si>
    <t>Cuối cùng (竟) cũng bước đi (辶) đến kết thúc = Rốt cuộc/Sau cùng.</t>
  </si>
  <si>
    <t>比例</t>
  </si>
  <si>
    <t>bǐlì</t>
  </si>
  <si>
    <t>So sánh (比) theo các ví dụ/mẫu (例) = Tỉ lệ.</t>
  </si>
  <si>
    <t>避免</t>
  </si>
  <si>
    <t>bìmiǎn</t>
  </si>
  <si>
    <t>Bước đi (辶) để tránh né và miễn (免) trừ = Tránh/Né tránh.</t>
  </si>
  <si>
    <t>闭幕式</t>
  </si>
  <si>
    <t>bìmùshì</t>
  </si>
  <si>
    <t>Hình thức (式) đóng (闭) tấm màn (幕) lại = Lễ bế mạc.</t>
  </si>
  <si>
    <t>饼</t>
  </si>
  <si>
    <t>bǐng</t>
  </si>
  <si>
    <t>bánh</t>
  </si>
  <si>
    <t>Đồ ăn (饣) làm từ bột được cán mỏng (并) = Bánh (dạng tròn, dẹt).</t>
  </si>
  <si>
    <t>病房</t>
  </si>
  <si>
    <t>bìngfáng</t>
  </si>
  <si>
    <t>phòng bệnh</t>
  </si>
  <si>
    <t>Căn phòng (房) dành cho người bị bệnh (病) = Phòng bệnh.</t>
  </si>
  <si>
    <t>病情</t>
  </si>
  <si>
    <t>bìngqíng</t>
  </si>
  <si>
    <t>bệnh tình</t>
  </si>
  <si>
    <t>Tình trạng (情) của căn bệnh (病) = Bệnh tình.</t>
  </si>
  <si>
    <t>必然</t>
  </si>
  <si>
    <t>bìrán</t>
  </si>
  <si>
    <t>tất yếu</t>
  </si>
  <si>
    <t>Nhất định (必) như thế (然) = Tất yếu/Chắc chắn.</t>
  </si>
  <si>
    <t>必需</t>
  </si>
  <si>
    <t>thiết yếu</t>
  </si>
  <si>
    <t>Nhất định (必) cần dùng đến (需 - có bộ Vũ 雨 đợi mưa) = Thiết yếu.</t>
  </si>
  <si>
    <t>必要</t>
  </si>
  <si>
    <t>bìyào</t>
  </si>
  <si>
    <t>Nhất định (必) quan trọng (要) = Cần thiết.</t>
  </si>
  <si>
    <t>比喻</t>
  </si>
  <si>
    <t>bǐyù</t>
  </si>
  <si>
    <t>So sánh (比) bằng lời nói (讠) ẩn dụ (喻) = So sánh/Ẩn dụ.</t>
  </si>
  <si>
    <t>拨打</t>
  </si>
  <si>
    <t>bōdǎ</t>
  </si>
  <si>
    <t>quay số/gọi điện</t>
  </si>
  <si>
    <t>Dùng tay (扌) gẩy/bấm và đánh (打) = Quay số/Gọi điện.</t>
  </si>
  <si>
    <t>玻璃</t>
  </si>
  <si>
    <t>bōli</t>
  </si>
  <si>
    <t>Loại ngọc (王) quý giá nhưng mong manh = Thủy tinh/Kính.</t>
  </si>
  <si>
    <t>博物馆</t>
  </si>
  <si>
    <t>bówùguǎn</t>
  </si>
  <si>
    <t>Tòa nhà (馆) chứa đủ loại đồ vật (物) phong phú (博) = Bảo tàng.</t>
  </si>
  <si>
    <t>补充</t>
  </si>
  <si>
    <t>bǔchōng</t>
  </si>
  <si>
    <t>May vá lại (补) cho đầy đủ (充) = Bổ sung.</t>
  </si>
  <si>
    <t>不得了</t>
  </si>
  <si>
    <t>bùdéliǎo</t>
  </si>
  <si>
    <t>Không (不) thể đạt đến (得) kết thúc (了) = Cực kỳ/Gớm ghiếc.</t>
  </si>
  <si>
    <t>不符</t>
  </si>
  <si>
    <t>bùfú</t>
  </si>
  <si>
    <t>Không (不) khớp/phù hợp (符 - thẻ tre chẻ đôi) = Không khớp/Không đúng.</t>
  </si>
  <si>
    <t>不利</t>
  </si>
  <si>
    <t>búlì</t>
  </si>
  <si>
    <t>Không (不) sắc bén/có lợi (利) = Bất lợi.</t>
  </si>
  <si>
    <t>不良</t>
  </si>
  <si>
    <t>bùliáng</t>
  </si>
  <si>
    <t>Không (不) tốt lành (良) = Xấu/Không tốt.</t>
  </si>
  <si>
    <t>不然</t>
  </si>
  <si>
    <t>bùrán</t>
  </si>
  <si>
    <t>连、（形）</t>
  </si>
  <si>
    <t>Không (不) như thế (然) = Nếu không thì.</t>
  </si>
  <si>
    <t>不幸</t>
  </si>
  <si>
    <t>búxìng</t>
  </si>
  <si>
    <t>Không (不) may mắn (幸) = Bất hạnh.</t>
  </si>
  <si>
    <t>步行</t>
  </si>
  <si>
    <t>Bước chân (步) di chuyển (行) = Đi bộ.</t>
  </si>
  <si>
    <t>不要紧</t>
  </si>
  <si>
    <t>búyàojǐn</t>
  </si>
  <si>
    <t>Không (不) cần thiết (要) phải căng thẳng (紧) = Không sao/Không nghiêm trọng.</t>
  </si>
  <si>
    <t>不足</t>
  </si>
  <si>
    <t>bùzú</t>
  </si>
  <si>
    <t>Không (不) đầy đủ/no chân (足) = Thiếu/Không đủ.</t>
  </si>
  <si>
    <t>才2</t>
  </si>
  <si>
    <t>Hình ảnh mầm cây mới nhú, thể hiện sự vừa mới = Mới/Chỉ/Tài năng.</t>
  </si>
  <si>
    <t>采访</t>
  </si>
  <si>
    <t>cǎifǎng</t>
  </si>
  <si>
    <t>Thu thập (采) qua việc đến hỏi thăm (访) = Phỏng vấn (báo chí).</t>
  </si>
  <si>
    <t>裁判</t>
  </si>
  <si>
    <t>cáipàn</t>
  </si>
  <si>
    <t>Người dùng dao (刂) phân định (判) sự cắt gọt (裁) = Trọng tài.</t>
  </si>
  <si>
    <t>采取</t>
  </si>
  <si>
    <t>cǎiqǔ</t>
  </si>
  <si>
    <t>Thu lượm (采) và lấy đi (取) = Áp dụng/Tiến hành.</t>
  </si>
  <si>
    <t>彩色</t>
  </si>
  <si>
    <t>cǎisè</t>
  </si>
  <si>
    <t>Màu sắc (色) đa dạng như hái hoa cỏ (采) = Đa màu sắc.</t>
  </si>
  <si>
    <t>采用</t>
  </si>
  <si>
    <t>cǎiyòng</t>
  </si>
  <si>
    <t>Thu chọn (采) và sử dụng (用) = Áp dụng/Sử dụng.</t>
  </si>
  <si>
    <t>藏</t>
  </si>
  <si>
    <t>cáng</t>
  </si>
  <si>
    <t>Trốn dưới lớp cỏ (艹) và các loại binh khí = Cất giấu/Trốn.</t>
  </si>
  <si>
    <t>参考</t>
  </si>
  <si>
    <t>cānkǎo</t>
  </si>
  <si>
    <t>Tham gia (参) để khảo sát (考) = Tham khảo.</t>
  </si>
  <si>
    <t>餐饮</t>
  </si>
  <si>
    <t>cānyǐn</t>
  </si>
  <si>
    <t>Ăn bữa cơm (餐) và uống nước (饮) = Ẩm thực/Ăn uống.</t>
  </si>
  <si>
    <t>参与</t>
  </si>
  <si>
    <t>cānyù</t>
  </si>
  <si>
    <t>Tham gia (参) cùng với (与) mọi người = Tham gia vào.</t>
  </si>
  <si>
    <t>操作</t>
  </si>
  <si>
    <t>cāozuò</t>
  </si>
  <si>
    <t>Dùng tay (扌) cầm nắm và làm việc (作) = Thao tác/Điều khiển.</t>
  </si>
  <si>
    <t>册</t>
  </si>
  <si>
    <t>cè</t>
  </si>
  <si>
    <t>Hình ảnh các thẻ tre được kết lại với nhau = Quyển/Tập.</t>
  </si>
  <si>
    <t>测</t>
  </si>
  <si>
    <t>Dùng nước (氵) và dao (刂) để đo đạc vỏ sò (贝) = Đo lường/Kiểm tra.</t>
  </si>
  <si>
    <t>曾</t>
  </si>
  <si>
    <t>Hình ảnh hơi nước bốc lên từ nồi, chỉ việc đã qua = Từng/Đã từng.</t>
  </si>
  <si>
    <t>曾经</t>
  </si>
  <si>
    <t>céngjīng</t>
  </si>
  <si>
    <t>Đã từng (曾) trải qua (经) = Đã từng.</t>
  </si>
  <si>
    <t>测试</t>
  </si>
  <si>
    <t>cèshì</t>
  </si>
  <si>
    <t>Đo lường (测) và thi cử (试) = Kiểm tra/Test.</t>
  </si>
  <si>
    <t>插</t>
  </si>
  <si>
    <t>chā</t>
  </si>
  <si>
    <t>Dùng tay (扌) cắm vào đống lúa mì (chi) = Cắm vào/Xen vào.</t>
  </si>
  <si>
    <t>差别</t>
  </si>
  <si>
    <t>chābié</t>
  </si>
  <si>
    <t>Sự sai lệch (差) và khác biệt (别) = Khác biệt/Chênh lệch.</t>
  </si>
  <si>
    <t>拆</t>
  </si>
  <si>
    <t>chāi</t>
  </si>
  <si>
    <t>Dùng tay (扌) rìu (斤) đập vào cái rìu khác để tháo ra = Tháo dỡ/Mở ra.</t>
  </si>
  <si>
    <t>差距</t>
  </si>
  <si>
    <t>chājù</t>
  </si>
  <si>
    <t>Khoảng cách (距) của sự sai khác (差) = Khoảng cách/Chênh lệch.</t>
  </si>
  <si>
    <t>产</t>
  </si>
  <si>
    <t>chǎn</t>
  </si>
  <si>
    <t>Hình ảnh vách núi và người đang đứng sản xuất = Sản xuất/Sinh ra.</t>
  </si>
  <si>
    <t>长处</t>
  </si>
  <si>
    <t>chángchù</t>
  </si>
  <si>
    <t>Điểm (处) dài/mạnh (长) của một người = Sở trường/Điểm mạnh.</t>
  </si>
  <si>
    <t>长度</t>
  </si>
  <si>
    <t>chángdù</t>
  </si>
  <si>
    <t>Mức độ (度) dài (长) của vật = Chiều dài.</t>
  </si>
  <si>
    <t>长久</t>
  </si>
  <si>
    <t>chángjiǔ</t>
  </si>
  <si>
    <t>Dài (长) và lâu (久) = Lâu dài.</t>
  </si>
  <si>
    <t>长期</t>
  </si>
  <si>
    <t>chángqī</t>
  </si>
  <si>
    <t>Thời hạn (期) dài (长) = Dài hạn.</t>
  </si>
  <si>
    <t>常识</t>
  </si>
  <si>
    <t>chángshí</t>
  </si>
  <si>
    <t>Những kiến thức (识) thường gặp (常) = Thường thức/Kiến thức phổ thông.</t>
  </si>
  <si>
    <t>尝试</t>
  </si>
  <si>
    <t>chángshì</t>
  </si>
  <si>
    <t>Dùng lời nói (讠) để thi thử (试) và nếm trải (尝) = Thử nghiệm.</t>
  </si>
  <si>
    <t>场所</t>
  </si>
  <si>
    <t>chǎngsuǒ</t>
  </si>
  <si>
    <t>Địa điểm (场) và nơi chốn (所) = Địa điểm/Nơi chốn.</t>
  </si>
  <si>
    <t>长途</t>
  </si>
  <si>
    <t>chángtú</t>
  </si>
  <si>
    <t>Con đường (途) dài (长) = Đường dài/Từ xa.</t>
  </si>
  <si>
    <t>长远</t>
  </si>
  <si>
    <t>chángyuǎn</t>
  </si>
  <si>
    <t>Dài (长) và xa (远) = Lâu dài/Xuyên suốt.</t>
  </si>
  <si>
    <t>产量</t>
  </si>
  <si>
    <t>chǎnliàng</t>
  </si>
  <si>
    <t>Số lượng (量) sản xuất (产) ra = Sản lượng.</t>
  </si>
  <si>
    <t>产品</t>
  </si>
  <si>
    <t>chǎnpǐn</t>
  </si>
  <si>
    <t>Những vật phẩm (品) được sản xuất (产) = Sản phẩm.</t>
  </si>
  <si>
    <t>产业</t>
  </si>
  <si>
    <t>chǎnyè</t>
  </si>
  <si>
    <t>Nghề nghiệp (业) liên quan đến sản xuất (产) = Ngành nghề/Kinh doanh.</t>
  </si>
  <si>
    <t>朝</t>
  </si>
  <si>
    <t>cháo</t>
  </si>
  <si>
    <t>Mặt trời (日) mọc giữa cỏ (艹) bên cạnh mặt trăng (月) = Hướng về/Triều đại.</t>
  </si>
  <si>
    <t>吵</t>
  </si>
  <si>
    <t>chǎo</t>
  </si>
  <si>
    <t>Cái miệng (口) nói ít (少) nhưng gây ồn ào = Ồn ào/Cãi nhau.</t>
  </si>
  <si>
    <t>炒</t>
  </si>
  <si>
    <t>Dùng lửa (火) nấu cho đến khi ít (少) nước đi = Rang/Xào.</t>
  </si>
  <si>
    <t>超</t>
  </si>
  <si>
    <t>chāo</t>
  </si>
  <si>
    <t>Chạy (走) vượt qua cả thanh đao (召 - tiếng gọi) = Vượt qua/Siêu.</t>
  </si>
  <si>
    <t>超出</t>
  </si>
  <si>
    <t>chāochū</t>
  </si>
  <si>
    <t>Vượt qua (超) và đi ra ngoài (出) = Vượt quá.</t>
  </si>
  <si>
    <t>超级</t>
  </si>
  <si>
    <t>chāojí</t>
  </si>
  <si>
    <t>Cấp bậc (级) vượt trội (超) = Siêu cấp.</t>
  </si>
  <si>
    <t>超速</t>
  </si>
  <si>
    <t>chāosù</t>
  </si>
  <si>
    <t>Tốc độ (速) vượt quá (超) mức quy định = Quá tốc độ.</t>
  </si>
  <si>
    <t>叉子</t>
  </si>
  <si>
    <t>chāzi</t>
  </si>
  <si>
    <t>Vật có hình dạng đan chéo (叉) = Cái nĩa.</t>
  </si>
  <si>
    <t>彻底</t>
  </si>
  <si>
    <t>chèdǐ</t>
  </si>
  <si>
    <t>Đi sâu xuống tận đáy (底) của dòng nước (氵) = Triệt để.</t>
  </si>
  <si>
    <t>车祸</t>
  </si>
  <si>
    <t>chēhuò</t>
  </si>
  <si>
    <t>Tai họa (祸) do xe cộ (车) gây ra = Tai nạn xe hơi.</t>
  </si>
  <si>
    <t>车库</t>
  </si>
  <si>
    <t>chēkù</t>
  </si>
  <si>
    <t>Cái kho (库) để chứa xe (车) = Gara xe.</t>
  </si>
  <si>
    <t>车辆</t>
  </si>
  <si>
    <t>chēliàng</t>
  </si>
  <si>
    <t>Lượng (辆) xe cộ (车) nói chung = Xe cộ.</t>
  </si>
  <si>
    <t>沉</t>
  </si>
  <si>
    <t>chén</t>
  </si>
  <si>
    <t>Vật rơi xuống nước (氵) dưới vách đá = Chìm/Nặng.</t>
  </si>
  <si>
    <t>称1</t>
  </si>
  <si>
    <t>chēng</t>
  </si>
  <si>
    <t>Tên gọi giống như hạt lúa (禾) gắn liền với mình = Gọi là/Xưng là.</t>
  </si>
  <si>
    <t>称2</t>
  </si>
  <si>
    <t>Cái cân dùng để cân lúa gạo (禾) = Cái cân.</t>
  </si>
  <si>
    <t>成本</t>
  </si>
  <si>
    <t>chéngběn</t>
  </si>
  <si>
    <t>Số tiền vốn (本) để hình thành (成) sản phẩm = Giá vốn/Chi phí.</t>
  </si>
  <si>
    <t>承担</t>
  </si>
  <si>
    <t>chéngdān</t>
  </si>
  <si>
    <t>Dùng tay (扌) gánh vác (担) để hoàn thành (成) = Đảm nhiệm/Gánh vác.</t>
  </si>
  <si>
    <t>程度</t>
  </si>
  <si>
    <t>chéngdù</t>
  </si>
  <si>
    <t>Mức độ (度) đạt được (程) = Mức độ/Trình độ.</t>
  </si>
  <si>
    <t>成分</t>
  </si>
  <si>
    <t>chéngfèn</t>
  </si>
  <si>
    <t>Các phần (分) hình thành (成) nên vật = Thành phần.</t>
  </si>
  <si>
    <t>成果</t>
  </si>
  <si>
    <t>chéngguǒ</t>
  </si>
  <si>
    <t>Kết quả (果) sau khi đã hoàn thành (成) = Thành quả.</t>
  </si>
  <si>
    <t>成就</t>
  </si>
  <si>
    <t>chéngjiù</t>
  </si>
  <si>
    <t>Đạt đến (就) sự thành công (成) = Thành tựu.</t>
  </si>
  <si>
    <t>成立</t>
  </si>
  <si>
    <t>chénglì</t>
  </si>
  <si>
    <t>Đứng vững (立) và hình thành (成) = Thành lập.</t>
  </si>
  <si>
    <t>成年1</t>
  </si>
  <si>
    <t>chéngnián</t>
  </si>
  <si>
    <t>Đạt đến số năm (年) để trưởng thành (成) = Trưởng thành.</t>
  </si>
  <si>
    <t>城区</t>
  </si>
  <si>
    <t>chéngqū</t>
  </si>
  <si>
    <t>Khu vực (区) trong thành phố (城) = Nội thành.</t>
  </si>
  <si>
    <t>成人</t>
  </si>
  <si>
    <t>chéngrén</t>
  </si>
  <si>
    <t>Người (人) đã trưởng thành (成) = Người lớn.</t>
  </si>
  <si>
    <t>承认</t>
  </si>
  <si>
    <t>chéngrèn</t>
  </si>
  <si>
    <t>Dùng lời nói (讠) để nhận (认) sự việc đã hình thành (成) = Thừa nhận.</t>
  </si>
  <si>
    <t>承受</t>
  </si>
  <si>
    <t>chéngshòu</t>
  </si>
  <si>
    <t>Nhận lấy (受) và hình thành (成) sức chịu đựng = Chịu đựng.</t>
  </si>
  <si>
    <t>成熟</t>
  </si>
  <si>
    <t>chéngshú</t>
  </si>
  <si>
    <t>Đã nấu chín kỹ (熟) và thành hình (成) = Chín chắn/Trưởng thành.</t>
  </si>
  <si>
    <t>称为</t>
  </si>
  <si>
    <t>chēngwéi</t>
  </si>
  <si>
    <t>Được gọi (称) là (为) = Gọi là.</t>
  </si>
  <si>
    <t>乘务员</t>
  </si>
  <si>
    <t>chéngwùyuán</t>
  </si>
  <si>
    <t>Nhân viên (员) làm nhiệm vụ (务) trên xe/tàu (乘) = Tiếp viên.</t>
  </si>
  <si>
    <t>程序</t>
  </si>
  <si>
    <t>chéngxù</t>
  </si>
  <si>
    <t>Thứ tự (序) của một quy trình (程) = Quy trình/Chương trình.</t>
  </si>
  <si>
    <t>成员</t>
  </si>
  <si>
    <t>chéngyuán</t>
  </si>
  <si>
    <t>Thành viên (员) hình thành (成) nên nhóm = Thành viên.</t>
  </si>
  <si>
    <t>称赞</t>
  </si>
  <si>
    <t>chēngzàn</t>
  </si>
  <si>
    <t>Dùng lời nói (讠) để tán thưởng (赞) tên tuổi (称) = Khen ngợi.</t>
  </si>
  <si>
    <t>成长</t>
  </si>
  <si>
    <t>chéngzhǎng</t>
  </si>
  <si>
    <t>Lớn lên (长) và trưởng thành (成) = Trưởng thành/Lớn lên.</t>
  </si>
  <si>
    <t>橙子</t>
  </si>
  <si>
    <t>chéngzi</t>
  </si>
  <si>
    <t>Loại cây (木) cho quả màu cam (橙) = Quả cam.</t>
  </si>
  <si>
    <t>沉默</t>
  </si>
  <si>
    <t>chénmò</t>
  </si>
  <si>
    <t>Chìm xuống (沉) và im lặng (默 - con chó đứng im trong bóng tối) = Trầm mặc/Im lặng.</t>
  </si>
  <si>
    <t>车厢</t>
  </si>
  <si>
    <t>chēxiāng</t>
  </si>
  <si>
    <t>Cái hòm gỗ (厢) của chiếc xe (车) = Toa xe/Thùng xe.</t>
  </si>
  <si>
    <t>车主</t>
  </si>
  <si>
    <t>chēzhǔ</t>
  </si>
  <si>
    <t>Người chủ (主) của chiếc xe (车).</t>
  </si>
  <si>
    <t>池</t>
  </si>
  <si>
    <t>Nơi có nước (氵) và đất đai (也) bao quanh = Cái ao/Hồ.</t>
  </si>
  <si>
    <t>翅膀</t>
  </si>
  <si>
    <t>chìbǎng</t>
  </si>
  <si>
    <t>Cái cánh (翅) và phần vai (膀) = Cánh (chim, máy bay).</t>
  </si>
  <si>
    <t>持续</t>
  </si>
  <si>
    <t>chíxù</t>
  </si>
  <si>
    <t>Nắm giữ (持) và nối tiếp (续 - sợi tơ nối dài) = Duy trì/Tiếp tục.</t>
  </si>
  <si>
    <t>尺子</t>
  </si>
  <si>
    <t>chǐzi</t>
  </si>
  <si>
    <t>Vật dụng dùng để đo độ dài = Thước kẻ.</t>
  </si>
  <si>
    <t>冲</t>
  </si>
  <si>
    <t>chōng</t>
  </si>
  <si>
    <t>Dòng nước chảy mạnh qua băng giá (冫) = Lao đến/Xung kích.</t>
  </si>
  <si>
    <t>充电</t>
  </si>
  <si>
    <t>chōngdiàn</t>
  </si>
  <si>
    <t>Làm cho đầy (充) điện (电) = Sạc điện.</t>
  </si>
  <si>
    <t>充分</t>
  </si>
  <si>
    <t>chōngfèn</t>
  </si>
  <si>
    <t>Đầy đủ (充) từng phần (分) = Đầy đủ/Dồi dào.</t>
  </si>
  <si>
    <t>重复</t>
  </si>
  <si>
    <t>chóngfù</t>
  </si>
  <si>
    <t>Lại một lần nữa (重) quay lại (复) = Lặp lại.</t>
  </si>
  <si>
    <t>充满</t>
  </si>
  <si>
    <t>chōngmǎn</t>
  </si>
  <si>
    <t>Đầy rẫy (充) và tràn trề (满) = Tràn đầy.</t>
  </si>
  <si>
    <t>宠物</t>
  </si>
  <si>
    <t>chǒngwù</t>
  </si>
  <si>
    <t>Con vật (物) được nuôi nấng, yêu chiều (宠) = Thú cưng.</t>
  </si>
  <si>
    <t>充值</t>
  </si>
  <si>
    <t>chōngzhí</t>
  </si>
  <si>
    <t>Làm cho đầy (充) giá trị (值) vào tài khoản = Nạp tiền/Nạp thẻ.</t>
  </si>
  <si>
    <t>虫子</t>
  </si>
  <si>
    <t>chóngzi</t>
  </si>
  <si>
    <t>Hình ảnh con sâu đang bò = Côn trùng/Sâu bọ.</t>
  </si>
  <si>
    <t>充足</t>
  </si>
  <si>
    <t>chōngzú</t>
  </si>
  <si>
    <t>Đầy đủ (充) đến mức thỏa mãn cái chân (足) = Sung túc/Đầy đủ.</t>
  </si>
  <si>
    <t>臭</t>
  </si>
  <si>
    <t>chòu</t>
  </si>
  <si>
    <t>Cái mũi (自) ngửi thấy mùi con chó (犬) chết = Hôi thối.</t>
  </si>
  <si>
    <t>丑</t>
  </si>
  <si>
    <t>chǒu</t>
  </si>
  <si>
    <t>Hình ảnh bàn tay co quắp, không đẹp mắt = Xấu xí/Hổ thẹn.</t>
  </si>
  <si>
    <t>抽</t>
  </si>
  <si>
    <t>chōu</t>
  </si>
  <si>
    <t>Dùng tay (扌) rút một vật từ trong ống ra = Rút/Hút (thuốc).</t>
  </si>
  <si>
    <t>处</t>
  </si>
  <si>
    <t>chù</t>
  </si>
  <si>
    <t>Một nơi chốn dừng chân (止) bên ghế dài (几) = Nơi/Chỗ.</t>
  </si>
  <si>
    <t>chǔ</t>
  </si>
  <si>
    <t>(Động từ) Giải quyết/Xử lý sự việc ở một nơi nào đó = Xử lý/Ăn ở.</t>
  </si>
  <si>
    <t>初</t>
  </si>
  <si>
    <t>名、副、前缀</t>
  </si>
  <si>
    <t>Dùng dao (刀) cắt vải (衣) là bước đầu tiên để may áo = Đầu tiên/Sơ khai.</t>
  </si>
  <si>
    <t>传</t>
  </si>
  <si>
    <t>Một người (亻) nối tiếp truyền đi chuyên môn (专) = Truyền đạt/Lan truyền.</t>
  </si>
  <si>
    <t>传播</t>
  </si>
  <si>
    <t>chuánbō</t>
  </si>
  <si>
    <t>Truyền đi (传) và gieo rắc (播 - dùng tay 扌 gieo hạt) = Truyền bá/Lan tỏa.</t>
  </si>
  <si>
    <t>传递</t>
  </si>
  <si>
    <t>chuándì</t>
  </si>
  <si>
    <t>Truyền đi (传) và đưa tận tay (递 - bước chân 辶 mang vật đến) = Chuyển giao.</t>
  </si>
  <si>
    <t>床单</t>
  </si>
  <si>
    <t>chuángdān</t>
  </si>
  <si>
    <t>Tấm vải đơn (单) trải trên giường (床).</t>
  </si>
  <si>
    <t>窗台</t>
  </si>
  <si>
    <t>chuāngtái</t>
  </si>
  <si>
    <t>Cái bục (台) ở nơi cửa sổ (窗).</t>
  </si>
  <si>
    <t>创新</t>
  </si>
  <si>
    <t>chuàngxīn</t>
  </si>
  <si>
    <t>Sáng tạo ra (创 - dùng dao 刂 cắt bỏ cái cũ) cái mới (新) = Đổi mới/Sáng tạo.</t>
  </si>
  <si>
    <t>创业</t>
  </si>
  <si>
    <t>chuàngyè</t>
  </si>
  <si>
    <t>Sáng lập (创) ra sự nghiệp (业) = Khởi nghiệp.</t>
  </si>
  <si>
    <t>创造</t>
  </si>
  <si>
    <t>chuàngzào</t>
  </si>
  <si>
    <t>Sáng tác (创) và chế tạo (造) = Sáng tạo.</t>
  </si>
  <si>
    <t>创作</t>
  </si>
  <si>
    <t>chuàngzuò</t>
  </si>
  <si>
    <t>Sáng tạo (创) và làm việc (作) = Sáng tác (nghệ thuật).</t>
  </si>
  <si>
    <t>传说</t>
  </si>
  <si>
    <t>chuánshuō</t>
  </si>
  <si>
    <t>Lời nói (说) được truyền (传) từ đời này sang đời khác = Truyền thuyết.</t>
  </si>
  <si>
    <t>传统</t>
  </si>
  <si>
    <t>chuántǒng</t>
  </si>
  <si>
    <t>Truyền lại (传) và thống nhất (统 - sợi tơ kết nối) = Truyền thống.</t>
  </si>
  <si>
    <t>出版</t>
  </si>
  <si>
    <t>chūbǎn</t>
  </si>
  <si>
    <t>Đưa ra (出) bản in (版) = Xuất bản.</t>
  </si>
  <si>
    <t>初级</t>
  </si>
  <si>
    <t>chūjí</t>
  </si>
  <si>
    <t>Cấp bậc (级) đầu tiên (初) = Sơ cấp.</t>
  </si>
  <si>
    <t>处理</t>
  </si>
  <si>
    <t>chǔlǐ</t>
  </si>
  <si>
    <t>Xử lý (处) và sắp xếp theo lý lẽ (理) = Giải quyết/Xử lý.</t>
  </si>
  <si>
    <t>初期</t>
  </si>
  <si>
    <t>chūqī</t>
  </si>
  <si>
    <t>Thời kỳ (期) ban đầu (初).</t>
  </si>
  <si>
    <t>出色</t>
  </si>
  <si>
    <t>chūsè</t>
  </si>
  <si>
    <t>Vượt ra khỏi (出) những màu sắc (色) thông thường = Xuất sắc.</t>
  </si>
  <si>
    <t>出售</t>
  </si>
  <si>
    <t>chūshòu</t>
  </si>
  <si>
    <t>Đưa ra (出) để bán (售) = Rao bán.</t>
  </si>
  <si>
    <t>除夕</t>
  </si>
  <si>
    <t>chúxī</t>
  </si>
  <si>
    <t>Đêm cuối năm (夕) để loại bỏ (除) cái cũ = Giao thừa.</t>
  </si>
  <si>
    <t>出席</t>
  </si>
  <si>
    <t>chūxí</t>
  </si>
  <si>
    <t>Bước ra (出) và ngồi vào vị trí chiếu (席) = Có mặt/Tham dự.</t>
  </si>
  <si>
    <t>处于</t>
  </si>
  <si>
    <t>chǔyú</t>
  </si>
  <si>
    <t>Đang xử lý/nằm ở (处) tại một vị trí (于) = Ở vào (tình trạng).</t>
  </si>
  <si>
    <t>出自</t>
  </si>
  <si>
    <t>chūzì</t>
  </si>
  <si>
    <t>Xuất phát (出) từ (自) = Đến từ/Từ... mà ra.</t>
  </si>
  <si>
    <t>此后</t>
  </si>
  <si>
    <t>cǐhòu</t>
  </si>
  <si>
    <t>Sau (后) cái này (此) = Từ đó về sau.</t>
  </si>
  <si>
    <t>词汇</t>
  </si>
  <si>
    <t>cíhuì</t>
  </si>
  <si>
    <t>Từ ngữ (词) hội tụ (汇 - nước chảy về một chỗ) lại = Từ vựng.</t>
  </si>
  <si>
    <t>刺激</t>
  </si>
  <si>
    <t>cìjī</t>
  </si>
  <si>
    <t>Đâm vào (刺 - có bộ đao 刂) làm bắn nước (激) = Kích thích.</t>
  </si>
  <si>
    <t>此前</t>
  </si>
  <si>
    <t>cǐqián</t>
  </si>
  <si>
    <t>Trước (前) cái này (此) = Trước đó.</t>
  </si>
  <si>
    <t>此时</t>
  </si>
  <si>
    <t>cǐshí</t>
  </si>
  <si>
    <t>Lúc (时) này (此).</t>
  </si>
  <si>
    <t>辞职</t>
  </si>
  <si>
    <t>cízhí</t>
  </si>
  <si>
    <t>Từ giã (辞) chức vụ (职) = Nghỉ việc.</t>
  </si>
  <si>
    <t>从不</t>
  </si>
  <si>
    <t>cóng bù</t>
  </si>
  <si>
    <t>Theo (从) quy luật là không (不) bao giờ = Chưa từng.</t>
  </si>
  <si>
    <t>从而</t>
  </si>
  <si>
    <t>cóng’ér</t>
  </si>
  <si>
    <t>Theo đó (从) mà (And - 而) dẫn đến kết quả = Do đó/Vì vậy.</t>
  </si>
  <si>
    <t>从前</t>
  </si>
  <si>
    <t>cóngqián</t>
  </si>
  <si>
    <t>Theo (从) dòng thời gian về phía trước (前) = Trước đây/Ngày xưa.</t>
  </si>
  <si>
    <t>从事</t>
  </si>
  <si>
    <t>cóngshì</t>
  </si>
  <si>
    <t>Theo (从) đuổi một sự việc/công việc (事) = Làm/Theo đuổi nghề.</t>
  </si>
  <si>
    <t>催</t>
  </si>
  <si>
    <t>cuī</t>
  </si>
  <si>
    <t>Một người (亻) đứng dưới núi (山) thúc giục chim (隹) bay đi = Thúc giục.</t>
  </si>
  <si>
    <t>促进</t>
  </si>
  <si>
    <t>cùjìn</t>
  </si>
  <si>
    <t>Thúc đẩy (促) cho sự việc tiến (进) lên = Xúc tiến/Thúc đẩy.</t>
  </si>
  <si>
    <t>存放</t>
  </si>
  <si>
    <t>cúnfàng</t>
  </si>
  <si>
    <t>Tồn tại (存) và đặt để (放) tại đó = Gửi/Cất giữ.</t>
  </si>
  <si>
    <t>存款</t>
  </si>
  <si>
    <t>cúnkuǎn</t>
  </si>
  <si>
    <t>Tiền (款) đang tồn tại (存) trong tài khoản = Tiền tiết kiệm/Gửi tiền.</t>
  </si>
  <si>
    <t>存在</t>
  </si>
  <si>
    <t>cúnzài</t>
  </si>
  <si>
    <t>Đang còn tồn tại (存) và hiện diện (在) = Tồn tại.</t>
  </si>
  <si>
    <t>措施</t>
  </si>
  <si>
    <t>cuòshī</t>
  </si>
  <si>
    <t>Dùng tay (扌) sắp xếp (措) và thi hành (施) = Biện pháp/Cách xử lý.</t>
  </si>
  <si>
    <t>促使</t>
  </si>
  <si>
    <t>cùshǐ</t>
  </si>
  <si>
    <t>Thúc đẩy (促) khiến cho (使) điều gì đó xảy ra = Thúc đẩy/Làm cho.</t>
  </si>
  <si>
    <t>促销</t>
  </si>
  <si>
    <t>cùxiāo</t>
  </si>
  <si>
    <t>Thúc đẩy (促) việc tiêu thụ/bán hàng (销) = Khuyến mãi.</t>
  </si>
  <si>
    <t>打扮</t>
  </si>
  <si>
    <t>dǎban</t>
  </si>
  <si>
    <t>Dùng tay (打 - động tác chung) để trang trí cho một nửa (扮 - có chữ 半) cơ thể = Trang điểm/Diện đồ.</t>
  </si>
  <si>
    <t>打包</t>
  </si>
  <si>
    <t>dǎbāo</t>
  </si>
  <si>
    <t>Động tác (打) bao bọc (包) đồ lại = Gói đồ/Đóng gói mang về.</t>
  </si>
  <si>
    <t>达成</t>
  </si>
  <si>
    <t>dáchéng</t>
  </si>
  <si>
    <t>Đạt đến (达) mức hoàn thành (成) = Đạt được (thỏa thuận).</t>
  </si>
  <si>
    <t>大胆</t>
  </si>
  <si>
    <t>dàdǎn</t>
  </si>
  <si>
    <t>Có cái gan (胆) lớn (大) = Táo bạo/Mạnh dạn.</t>
  </si>
  <si>
    <t>打断</t>
  </si>
  <si>
    <t>dǎduàn</t>
  </si>
  <si>
    <t>Động tác (打) làm cho đứt đoạn (断) = Ngắt lời/Làm gián đoạn.</t>
  </si>
  <si>
    <t>大多</t>
  </si>
  <si>
    <t>dàduō</t>
  </si>
  <si>
    <t>Phần lớn (大) và nhiều (多) = Đa số.</t>
  </si>
  <si>
    <t>大会</t>
  </si>
  <si>
    <t>dàhuì</t>
  </si>
  <si>
    <t>Một cuộc họp/hội nghị (会) quy mô lớn (大).</t>
  </si>
  <si>
    <t>Một người (亻) thay thế bằng một mũi tên/cái cọc đánh dấu (弋) = Thay thế/Thời đại.</t>
  </si>
  <si>
    <t>代表</t>
  </si>
  <si>
    <t>dàibiǎo</t>
  </si>
  <si>
    <t>Người thay mặt (代) để thể hiện ra bên ngoài (表) = Đại biểu/Đại diện.</t>
  </si>
  <si>
    <t>带动</t>
  </si>
  <si>
    <t>dàidòng</t>
  </si>
  <si>
    <t>Dẫn dắt (带) làm cho chuyển động (动) = Kéo theo/Thúc đẩy.</t>
  </si>
  <si>
    <t>代替</t>
  </si>
  <si>
    <t>dàitì</t>
  </si>
  <si>
    <t>Thay thế (代) cho người đang đứng phía trước (替) = Thay thế.</t>
  </si>
  <si>
    <t>待遇</t>
  </si>
  <si>
    <t>dàiyù</t>
  </si>
  <si>
    <t>Sự tiếp đãi (待遇) mà một người nhận được khi đi trên con đường sự nghiệp = Chế độ đãi ngộ.</t>
  </si>
  <si>
    <t>大力</t>
  </si>
  <si>
    <t>dàlì</t>
  </si>
  <si>
    <t>Dùng sức lực (力) to lớn (大) = Hết sức/Mạnh mẽ.</t>
  </si>
  <si>
    <t>大妈</t>
  </si>
  <si>
    <t>dàmā</t>
  </si>
  <si>
    <t>Người mẹ (妈) lớn tuổi = Bác gái/Cách gọi phụ nữ trung niên.</t>
  </si>
  <si>
    <t>大米</t>
  </si>
  <si>
    <t>dàmǐ</t>
  </si>
  <si>
    <t>Hạt gạo (米) to tròn = Gạo (đã xát vỏ).</t>
  </si>
  <si>
    <t>淡</t>
  </si>
  <si>
    <t>Nước (氵) dập tắt hai ngọn lửa (炎) = Nhạt/Loãng/Vắng vẻ.</t>
  </si>
  <si>
    <t>单</t>
  </si>
  <si>
    <t>dān</t>
  </si>
  <si>
    <t>形、副、名、量</t>
  </si>
  <si>
    <t>Hình ảnh một chiếc ná bắn chim, nay chỉ sự đơn lẻ = Đơn/Lẻ/Đơn độc.</t>
  </si>
  <si>
    <t>大脑</t>
  </si>
  <si>
    <t>dànǎo</t>
  </si>
  <si>
    <t>Cái bộ não (脑) to lớn (大) chỉ huy cơ thể.</t>
  </si>
  <si>
    <t>单独</t>
  </si>
  <si>
    <t>dāndú</t>
  </si>
  <si>
    <t>Đơn độc (单) và lẻ loi (独) = Riêng lẻ/Một mình.</t>
  </si>
  <si>
    <t>dàng</t>
  </si>
  <si>
    <t>Hình ảnh mái nhà có các vạch ngăn chia = Lúc/Khi/Đảm đương.</t>
  </si>
  <si>
    <t>挡</t>
  </si>
  <si>
    <t>dǎng</t>
  </si>
  <si>
    <t>Dùng tay (扌) ngăn cản một cái kho (当) = Chặn/Cản.</t>
  </si>
  <si>
    <t>当成</t>
  </si>
  <si>
    <t>dàngchéng</t>
  </si>
  <si>
    <t>Coi như (当) đã trở thành (成) = Coi là/Trở thành.</t>
  </si>
  <si>
    <t>当地</t>
  </si>
  <si>
    <t>dāngdì</t>
  </si>
  <si>
    <t>Tại ngay vùng đất (地) đó (当) = Địa phương/Sở tại.</t>
  </si>
  <si>
    <t>当年</t>
  </si>
  <si>
    <t>dāngnián</t>
  </si>
  <si>
    <t>Ngay cái năm (年) đó (当) = Năm đó/Ngày ấy.</t>
  </si>
  <si>
    <t>当前</t>
  </si>
  <si>
    <t>dāngqián</t>
  </si>
  <si>
    <t>Ngay trước mắt (前) hiện tại (当) = Hiện nay/Trước mắt.</t>
  </si>
  <si>
    <t>当中</t>
  </si>
  <si>
    <t>dāngzhōng</t>
  </si>
  <si>
    <t>Ở ngay trong (中) lòng sự việc (当) = Ở giữa/Trong số.</t>
  </si>
  <si>
    <t>当作</t>
  </si>
  <si>
    <t>dàngzuò</t>
  </si>
  <si>
    <t>Coi (当) như là việc làm (作) = Coi như là.</t>
  </si>
  <si>
    <t>担任</t>
  </si>
  <si>
    <t>dānrèn</t>
  </si>
  <si>
    <t>Gánh vác (任) công việc hiện tại (当) = Đảm nhiệm/Giữ chức.</t>
  </si>
  <si>
    <t>胆小</t>
  </si>
  <si>
    <t>dǎnxiǎo</t>
  </si>
  <si>
    <t>Cái gan (胆) nhỏ bé (小) = Nhát gan.</t>
  </si>
  <si>
    <t>单一</t>
  </si>
  <si>
    <t>dānyī</t>
  </si>
  <si>
    <t>Đơn lẻ (单) và duy nhất (一) = Đơn nhất/Chỉ có một.</t>
  </si>
  <si>
    <t>单元</t>
  </si>
  <si>
    <t>dānyuán</t>
  </si>
  <si>
    <t>Một đơn vị (元) đơn lẻ (单) = Đơn vị/Căn hộ/Bài học.</t>
  </si>
  <si>
    <t>dǎo</t>
  </si>
  <si>
    <t>Một người (亻) đến điểm cuối (到) thì ngã xuống = Ngã/Đảo ngược/Đổ.</t>
  </si>
  <si>
    <t>到达</t>
  </si>
  <si>
    <t>dàodá</t>
  </si>
  <si>
    <t>Đi đến nơi (到) và đạt tới (达) = Đến nơi.</t>
  </si>
  <si>
    <t>道理</t>
  </si>
  <si>
    <t>dàolǐ</t>
  </si>
  <si>
    <t>Cái lý lẽ (理) của con đường/đạo lý (道) = Đạo lý/Lý lẽ.</t>
  </si>
  <si>
    <t>到期</t>
  </si>
  <si>
    <t>dàoqī</t>
  </si>
  <si>
    <t>Đạt đến (到) thời hạn (期) = Đến hạn.</t>
  </si>
  <si>
    <t>导演</t>
  </si>
  <si>
    <t>dǎoyǎn</t>
  </si>
  <si>
    <t>Người dẫn dắt (导) sự biểu diễn (演) = Đạo diễn.</t>
  </si>
  <si>
    <t>导致</t>
  </si>
  <si>
    <t>dǎozhì</t>
  </si>
  <si>
    <t>Dẫn dắt (导) dẫn đến kết quả (致) = Dẫn đến/Gây ra.</t>
  </si>
  <si>
    <t>大批</t>
  </si>
  <si>
    <t>dàpī</t>
  </si>
  <si>
    <t>Một xấp lớn (批 - bộ tay 扌) số lượng lớn (大) = Số lượng lớn/Hàng loạt.</t>
  </si>
  <si>
    <t>打破</t>
  </si>
  <si>
    <t>dǎpò</t>
  </si>
  <si>
    <t>Động tác (打) làm cho vỡ nát như đá (破 - bộ Thạch 石) = Phá vỡ.</t>
  </si>
  <si>
    <t>大厦</t>
  </si>
  <si>
    <t>dàshà</t>
  </si>
  <si>
    <t>Ngôi nhà (厦) to lớn (大) như một tòa thành = Tòa nhà lớn/Cao ốc.</t>
  </si>
  <si>
    <t>大事</t>
  </si>
  <si>
    <t>dàshì</t>
  </si>
  <si>
    <t>Sự việc (事) to lớn (大) = Việc lớn/Chuyện quan trọng.</t>
  </si>
  <si>
    <t>打听</t>
  </si>
  <si>
    <t>dǎting</t>
  </si>
  <si>
    <t>Dùng hành động (打) để nghe ngóng (听) tin tức = Hỏi thăm/Nghe ngóng.</t>
  </si>
  <si>
    <t>大象</t>
  </si>
  <si>
    <t>dàxiàng</t>
  </si>
  <si>
    <t>Con thú có hình dáng (象) to lớn (大) = Con voi.</t>
  </si>
  <si>
    <t>大型</t>
  </si>
  <si>
    <t>dàxíng</t>
  </si>
  <si>
    <t>Khuôn mẫu/Kiểu dáng (型) quy mô lớn (大) = Loại lớn/Quy mô lớn.</t>
  </si>
  <si>
    <t>大爷</t>
  </si>
  <si>
    <t>dàye</t>
  </si>
  <si>
    <t>Người cha/ông (爷) lớn tuổi = Bác/Cụ ông.</t>
  </si>
  <si>
    <t>大于</t>
  </si>
  <si>
    <t>dàyú</t>
  </si>
  <si>
    <t>Lớn (大) hơn so với (于) = Lớn hơn.</t>
  </si>
  <si>
    <t>大众</t>
  </si>
  <si>
    <t>dàzhòng</t>
  </si>
  <si>
    <t>Đám đông (众 - 3 người đứng cùng nhau) to lớn = Đại chúng/Công chúng.</t>
  </si>
  <si>
    <t>登</t>
  </si>
  <si>
    <t>Hai bàn chân giẫm lên dụng cụ để leo lên cao = Leo/Lên/Đăng tải.</t>
  </si>
  <si>
    <t>等待</t>
  </si>
  <si>
    <t>děngdài</t>
  </si>
  <si>
    <t>Chờ đợi (待) trong lúc xếp các thẻ tre (等) = Chờ đợi.</t>
  </si>
  <si>
    <t>灯光</t>
  </si>
  <si>
    <t>dēngguāng</t>
  </si>
  <si>
    <t>Ánh sáng (光) của ngọn đèn (灯 - có bộ Hỏa 火) = Ánh đèn.</t>
  </si>
  <si>
    <t>等候</t>
  </si>
  <si>
    <t>děnghòu</t>
  </si>
  <si>
    <t>Xếp hàng (等) và đứng ngóng trông (候) = Chờ đợi/Ngóng chờ.</t>
  </si>
  <si>
    <t>登记</t>
  </si>
  <si>
    <t>dēngjì</t>
  </si>
  <si>
    <t>Lên danh sách (登) và ghi chép (记) lại = Đăng ký.</t>
  </si>
  <si>
    <t>登录</t>
  </si>
  <si>
    <t>dēnglù</t>
  </si>
  <si>
    <t>Lên mạng (登) và ghi lại (录) thông tin truy cập = Đăng nhập.</t>
  </si>
  <si>
    <t>等于</t>
  </si>
  <si>
    <t>děngyú</t>
  </si>
  <si>
    <t>Bằng (等) so với (于) = Bằng với.</t>
  </si>
  <si>
    <t>递</t>
  </si>
  <si>
    <t>Bước đi (辶) để trao tận tay một vật = Đưa cho/Chuyền cho.</t>
  </si>
  <si>
    <t>电池</t>
  </si>
  <si>
    <t>diànchí</t>
  </si>
  <si>
    <t>Cái ao (池) chứa năng lượng điện (电) = Pin/Ắc quy.</t>
  </si>
  <si>
    <t>电动</t>
  </si>
  <si>
    <t>diàndòng</t>
  </si>
  <si>
    <t>Chuyển động (动) bằng điện (电) = Chạy bằng điện.</t>
  </si>
  <si>
    <t>电器</t>
  </si>
  <si>
    <t>diànqì</t>
  </si>
  <si>
    <t>Công cụ (器) sử dụng điện (电) = Đồ điện.</t>
  </si>
  <si>
    <t>电商</t>
  </si>
  <si>
    <t>diànshāng</t>
  </si>
  <si>
    <t>Thương nhân/Kinh doanh (商) trên mạng điện tử (电) = Thương mại điện tử.</t>
  </si>
  <si>
    <t>电视台</t>
  </si>
  <si>
    <t>diànshìtái</t>
  </si>
  <si>
    <t>Cái đài/bục (台) phát hình ảnh (视) điện tử (电) = Đài truyền hình.</t>
  </si>
  <si>
    <t>点心</t>
  </si>
  <si>
    <t>diǎnxin</t>
  </si>
  <si>
    <t>Chút ít đồ ăn điểm (点) nhẹ vào trái tim (心) = Điểm tâm/Món tráng miệng.</t>
  </si>
  <si>
    <t>点赞</t>
  </si>
  <si>
    <t>diǎnzàn</t>
  </si>
  <si>
    <t>Chạm điểm (点) để tán thưởng (赞) = Thích/Like (mạng xã hội).</t>
  </si>
  <si>
    <t>电子版</t>
  </si>
  <si>
    <t>diànzǐbǎn</t>
  </si>
  <si>
    <t>Bản (版) in dạng điện tử (电子) = Bản điện tử.</t>
  </si>
  <si>
    <t>调1</t>
  </si>
  <si>
    <t>Dùng lời nói (讠) để điều chỉnh hoặc điều tra = Điều chỉnh/Điều động.</t>
  </si>
  <si>
    <t>调研</t>
  </si>
  <si>
    <t>diàoyán</t>
  </si>
  <si>
    <t>Điều tra (调) và nghiên cứu (研) = Điều tra nghiên cứu.</t>
  </si>
  <si>
    <t>地理</t>
  </si>
  <si>
    <t>dìlǐ</t>
  </si>
  <si>
    <t>Đạo lý/Quy luật (理) của đất đai (地) = Địa lý.</t>
  </si>
  <si>
    <t>地面</t>
  </si>
  <si>
    <t>dìmiàn</t>
  </si>
  <si>
    <t>Cái mặt (面) của vùng đất (地) = Mặt đất.</t>
  </si>
  <si>
    <t>定期</t>
  </si>
  <si>
    <t>dìngqī</t>
  </si>
  <si>
    <t>Thời hạn (期) đã được ấn định (定) = Định kỳ.</t>
  </si>
  <si>
    <t>地区</t>
  </si>
  <si>
    <t>dìqū</t>
  </si>
  <si>
    <t>Khu vực (区) đất đai (地) nhất định = Vùng miền/Khu vực.</t>
  </si>
  <si>
    <t>的确</t>
  </si>
  <si>
    <t>díquè</t>
  </si>
  <si>
    <t>Thật sự đúng là (确 - bộ Thạch 石 chắc như đá) = Thật sự/Quả thực.</t>
  </si>
  <si>
    <t>敌人</t>
  </si>
  <si>
    <t>dírén</t>
  </si>
  <si>
    <t>Người (人) có sự thù địch (敌) = Kẻ thù.</t>
  </si>
  <si>
    <t>低头</t>
  </si>
  <si>
    <t>dītóu</t>
  </si>
  <si>
    <t>Cái đầu (头) cúi thấp (低) = Cúi đầu.</t>
  </si>
  <si>
    <t>丢失</t>
  </si>
  <si>
    <t>diūshī</t>
  </si>
  <si>
    <t>Đánh mất (丢) và thất lạc (失) = Mất/Thất lạc.</t>
  </si>
  <si>
    <t>地位</t>
  </si>
  <si>
    <t>dìwèi</t>
  </si>
  <si>
    <t>Vị trí (位) đứng trên đất (地) = Địa vị.</t>
  </si>
  <si>
    <t>地下</t>
  </si>
  <si>
    <t>dìxià</t>
  </si>
  <si>
    <t>Ở phía dưới (下) mặt đất (地) = Dưới lòng đất/Ngầm.</t>
  </si>
  <si>
    <t>地震</t>
  </si>
  <si>
    <t>dìzhèn</t>
  </si>
  <si>
    <t>Đất (地) bị chấn động/rung chuyển (震) = Động đất.</t>
  </si>
  <si>
    <t>冻</t>
  </si>
  <si>
    <t>Nước biến thành băng (冫) phía đông (东) = Đông cứng/Lạnh cóng.</t>
  </si>
  <si>
    <t>洞</t>
  </si>
  <si>
    <t>Nước (氵) chảy vào cái hang đồng (同) = Cái hang/Cái lỗ.</t>
  </si>
  <si>
    <t>动画</t>
  </si>
  <si>
    <t>dònghuà</t>
  </si>
  <si>
    <t>Những bức tranh (画) có thể chuyển động (动) = Phim hoạt hình.</t>
  </si>
  <si>
    <t>动人</t>
  </si>
  <si>
    <t>dòngrén</t>
  </si>
  <si>
    <t>Làm cho con người (人) bị lay động (动) tâm hồn = Cảm động/Quyến rũ.</t>
  </si>
  <si>
    <t>动手</t>
  </si>
  <si>
    <t>dòngshǒu</t>
  </si>
  <si>
    <t>Bắt đầu sử dụng cái tay (手) để làm = Bắt tay vào làm/Đánh nhau.</t>
  </si>
  <si>
    <t>豆腐</t>
  </si>
  <si>
    <t>dòufu</t>
  </si>
  <si>
    <t>Hạt đậu (豆) để lâu bị lên men, mềm thối (腐) = Đậu phụ.</t>
  </si>
  <si>
    <t>豆浆</t>
  </si>
  <si>
    <t>dòujiāng</t>
  </si>
  <si>
    <t>Nước uống (浆) làm từ hạt đậu (豆) = Sữa đậu nành.</t>
  </si>
  <si>
    <t>度</t>
  </si>
  <si>
    <t>dù</t>
  </si>
  <si>
    <t>量、名、动、后缀</t>
  </si>
  <si>
    <t>Có 21 (廿) người đang hội họp dưới mái nhà (广) để đo mức độ = Mức độ/Độ.</t>
  </si>
  <si>
    <t>堵</t>
  </si>
  <si>
    <t>dǔ</t>
  </si>
  <si>
    <t>动、形、量</t>
  </si>
  <si>
    <t>Đắp đất (土) lên để ngăn chặn con đường = Tắc nghẽn/Ngăn chặn.</t>
  </si>
  <si>
    <t>断</t>
  </si>
  <si>
    <t>Dùng rìu (斤) chặt đứt sợi tơ và mễ = Đứt/Gãy/Cắt đoạn.</t>
  </si>
  <si>
    <t>短处</t>
  </si>
  <si>
    <t>duǎnchù</t>
  </si>
  <si>
    <t>Cái điểm (处) ngắn/kém (短) của một người = Điểm yếu/Nhược điểm.</t>
  </si>
  <si>
    <t>短期</t>
  </si>
  <si>
    <t>duǎnqī</t>
  </si>
  <si>
    <t>Thời kỳ/Thời hạn (期) ngắn (短) = Ngắn hạn.</t>
  </si>
  <si>
    <t>堆</t>
  </si>
  <si>
    <t>duī</t>
  </si>
  <si>
    <t>Đất (土) đắp lên cao như con chim nhỏ (隹) đậu trên gò = Đống/Chồng/Tích tụ.</t>
  </si>
  <si>
    <t>对比</t>
  </si>
  <si>
    <t>duìbǐ</t>
  </si>
  <si>
    <t>Đứng đối diện (对) để so sánh (比) xem ai hơn ai = So sánh/Đối chiếu.</t>
  </si>
  <si>
    <t>对待</t>
  </si>
  <si>
    <t>duìdài</t>
  </si>
  <si>
    <t>Đối diện (对) và tiếp đãi/đối xử (待) = Đối xử/Đối đãi.</t>
  </si>
  <si>
    <t>对手</t>
  </si>
  <si>
    <t>duìshǒu</t>
  </si>
  <si>
    <t>Người ở phía đối diện (对) cái tay (手) mình khi đấu = Đối thủ.</t>
  </si>
  <si>
    <t>队伍</t>
  </si>
  <si>
    <t>duìwu</t>
  </si>
  <si>
    <t>Đội ngũ gồm 5 người (五) đứng đối diện (对) nhau = Đội ngũ/Hàng ngũ.</t>
  </si>
  <si>
    <t>对象</t>
  </si>
  <si>
    <t>duìxiàng</t>
  </si>
  <si>
    <t>Hình tượng (象) mình đang đối mặt (对) để quan tâm = Đối tượng/Người yêu.</t>
  </si>
  <si>
    <t>独立</t>
  </si>
  <si>
    <t>dúlì</t>
  </si>
  <si>
    <t>Đứng (立) một mình (独 - hình con chó 犭 và sâu 虫 độc lập) = Độc lập.</t>
  </si>
  <si>
    <t>吨</t>
  </si>
  <si>
    <t>dūn</t>
  </si>
  <si>
    <t>Cái miệng (口) phải há to khi mang vác vật nặng nghìn cân = Tấn (khối lượng).</t>
  </si>
  <si>
    <t>朵</t>
  </si>
  <si>
    <t>duǒ</t>
  </si>
  <si>
    <t>Hình ảnh bông hoa nở trên cành cây (木) = Đóa/Bông (lượng từ).</t>
  </si>
  <si>
    <t>躲</t>
  </si>
  <si>
    <t>Thân thể (身) nép vào một góc để tránh đóa hoa (朵) rơi trúng = Né tránh/Ẩn nấp.</t>
  </si>
  <si>
    <t>独特</t>
  </si>
  <si>
    <t>dútè</t>
  </si>
  <si>
    <t>Một mình (独) mình đặc biệt (特) khác người = Độc đáo/Đặc sắc.</t>
  </si>
  <si>
    <t>读音</t>
  </si>
  <si>
    <t>dúyīn</t>
  </si>
  <si>
    <t>Âm thanh (音) phát ra khi đọc (读) = Cách phát âm.</t>
  </si>
  <si>
    <t>独自</t>
  </si>
  <si>
    <t>dúzì</t>
  </si>
  <si>
    <t>Tự (自) bản thân một mình (独) = Một mình/Đơn độc.</t>
  </si>
  <si>
    <t>儿女</t>
  </si>
  <si>
    <t>érnǚ</t>
  </si>
  <si>
    <t>Con trai (儿) và con gái (女) = Con cái.</t>
  </si>
  <si>
    <t>二手</t>
  </si>
  <si>
    <t>èrshǒu</t>
  </si>
  <si>
    <t>Cái gì đó đã qua tay (手) người thứ hai (二) = Đồ cũ/Dùng rồi.</t>
  </si>
  <si>
    <t>二维码</t>
  </si>
  <si>
    <t>èrwéimǎ</t>
  </si>
  <si>
    <t>Mã số (码) có hai (二) chiều (维) không gian = Mã QR.</t>
  </si>
  <si>
    <t>罚</t>
  </si>
  <si>
    <t>fá</t>
  </si>
  <si>
    <t>Dùng mắt (罒) nhìn lỗi, dùng lời nói (讠) và dao (刂) để xử lý = Phạt.</t>
  </si>
  <si>
    <t>发表</t>
  </si>
  <si>
    <t>fābiǎo</t>
  </si>
  <si>
    <t>Phát ra (发) và biểu đạt ra bên ngoài (表) = Phát biểu/Đưa ra.</t>
  </si>
  <si>
    <t>发布</t>
  </si>
  <si>
    <t>fābù</t>
  </si>
  <si>
    <t>Phát ra (发) và tuyên bố rộng rãi như trải vải (布) = Công bố/Ban bố.</t>
  </si>
  <si>
    <t>发达</t>
  </si>
  <si>
    <t>fādá</t>
  </si>
  <si>
    <t>Phát triển (发) đạt đến (达) trình độ cao = Phát triển/Thịnh vượng.</t>
  </si>
  <si>
    <t>发挥</t>
  </si>
  <si>
    <t>fāhuī</t>
  </si>
  <si>
    <t>Phát ra (发) sức mạnh như vung tay (挥) mạnh mẽ = Phát huy.</t>
  </si>
  <si>
    <t>罚款</t>
  </si>
  <si>
    <t>fákuǎn</t>
  </si>
  <si>
    <t>Một khoản tiền (款) dùng để phạt (罚) = Tiền phạt.</t>
  </si>
  <si>
    <t>发明</t>
  </si>
  <si>
    <t>fāmíng</t>
  </si>
  <si>
    <t>Làm cho phát ra (发) sự sáng tỏ (明) cái mới = Phát minh.</t>
  </si>
  <si>
    <t>反</t>
  </si>
  <si>
    <t>fǎn</t>
  </si>
  <si>
    <t>形、动、副</t>
  </si>
  <si>
    <t>Hình ảnh bàn tay lật ngược lại = Ngược lại/Phản đối.</t>
  </si>
  <si>
    <t>翻</t>
  </si>
  <si>
    <t>fān</t>
  </si>
  <si>
    <t>Dùng lông chim (羽) để lật qua lật lại giữa các hạt lúa (番) = Lật/Dịch/Giở.</t>
  </si>
  <si>
    <t>反而</t>
  </si>
  <si>
    <t>fǎn’ér</t>
  </si>
  <si>
    <t>Ngược lại (反) mà (而) lại như thế = Trái lại/Ngược lại.</t>
  </si>
  <si>
    <t>反复</t>
  </si>
  <si>
    <t>fǎnfù</t>
  </si>
  <si>
    <t>副、动、名</t>
  </si>
  <si>
    <t>Quay ngược lại (反) rồi lại lặp lại (复) = Lặp đi lặp lại.</t>
  </si>
  <si>
    <t>防</t>
  </si>
  <si>
    <t>fáng</t>
  </si>
  <si>
    <t>Đứng bên gò đất (阝) để ngăn phương hướng (方) xấu = Phòng thủ/Đề phòng.</t>
  </si>
  <si>
    <t>方</t>
  </si>
  <si>
    <t>fāng</t>
  </si>
  <si>
    <t>方案</t>
  </si>
  <si>
    <t>fāng'àn</t>
  </si>
  <si>
    <t>Phương pháp (方) được ghi trên bàn gỗ (案) = Phương án.</t>
  </si>
  <si>
    <t>仿佛</t>
  </si>
  <si>
    <t>fǎngfú</t>
  </si>
  <si>
    <t>Giống như hai người (亻) đứng sát bên nhau rất khó phân biệt = Hình như/Dường như.</t>
  </si>
  <si>
    <t>访问</t>
  </si>
  <si>
    <t>fǎngwèn</t>
  </si>
  <si>
    <t>Đến hỏi thăm (问) bằng lời nói (访 - có bộ ngôn 讠) = Phỏng vấn/Ghé thăm.</t>
  </si>
  <si>
    <t>房屋</t>
  </si>
  <si>
    <t>fángwū</t>
  </si>
  <si>
    <t>Căn phòng (房) và ngôi nhà (屋) = Nhà cửa.</t>
  </si>
  <si>
    <t>防止</t>
  </si>
  <si>
    <t>fángzhǐ</t>
  </si>
  <si>
    <t>Đề phòng (防) để ngăn chặn (止) lại = Phòng ngừa/Ngăn chặn.</t>
  </si>
  <si>
    <t>返回</t>
  </si>
  <si>
    <t>fǎnhuí</t>
  </si>
  <si>
    <t>Quay trở lại (回) bằng cách bước đi (返 - có bộ sước 辶) = Trở về.</t>
  </si>
  <si>
    <t>番茄</t>
  </si>
  <si>
    <t>fānqié</t>
  </si>
  <si>
    <t>Loại cà (茄) có nguồn gốc nước ngoài (番) = Cà chua.</t>
  </si>
  <si>
    <t>繁荣</t>
  </si>
  <si>
    <t>fánróng</t>
  </si>
  <si>
    <t>Hoa cỏ mọc nhiều (繁) và tươi tốt, vinh hiển (荣) = Phồn vinh.</t>
  </si>
  <si>
    <t>范围</t>
  </si>
  <si>
    <t>fànwéi</t>
  </si>
  <si>
    <t>Cái khuôn khổ (范) bao quanh (围) một khu vực = Phạm vi.</t>
  </si>
  <si>
    <t>反应</t>
  </si>
  <si>
    <t>fǎnyìng</t>
  </si>
  <si>
    <t>Đáp ứng (应) lại sự tác động ngược (反) = Phản ứng.</t>
  </si>
  <si>
    <t>反映</t>
  </si>
  <si>
    <t>Phản chiếu (反) lại hình ảnh (映 - có bộ nhật 日) = Phản ánh.</t>
  </si>
  <si>
    <t>反正</t>
  </si>
  <si>
    <t>fǎnzhèng</t>
  </si>
  <si>
    <t>Dù ngược (反) hay xuôi (正) thì cũng thế = Dù sao thì/Dù thế nào.</t>
  </si>
  <si>
    <t>发起</t>
  </si>
  <si>
    <t>fāqǐ</t>
  </si>
  <si>
    <t>Phát ra (发) làm cho trỗi dậy (起) = Khởi xướng/Bắt đầu.</t>
  </si>
  <si>
    <t>发言</t>
  </si>
  <si>
    <t>fāyán</t>
  </si>
  <si>
    <t>Phát ra (发) những lời nói (言) = Phát biểu.</t>
  </si>
  <si>
    <t>发音</t>
  </si>
  <si>
    <t>fāyīn</t>
  </si>
  <si>
    <t>Phát ra (发) những âm thanh (音) = Phát âm.</t>
  </si>
  <si>
    <t>法院</t>
  </si>
  <si>
    <t>fǎyuàn</t>
  </si>
  <si>
    <t>Tòa viện (院) thực thi pháp luật (法) = Tòa án.</t>
  </si>
  <si>
    <t>飞行</t>
  </si>
  <si>
    <t>fēixíng</t>
  </si>
  <si>
    <t>Di chuyển (行) bằng cách bay (飞) = Bay/Phi hành.</t>
  </si>
  <si>
    <t>飞行员</t>
  </si>
  <si>
    <t>fēixíngyuán</t>
  </si>
  <si>
    <t>Nhân viên (员) thực hiện việc bay (飞行) = Phi công.</t>
  </si>
  <si>
    <t>非洲</t>
  </si>
  <si>
    <t>Fēizhōu</t>
  </si>
  <si>
    <t>Vùng đất/châu lục (洲) mang tên Phi (非) = Châu Phi.</t>
  </si>
  <si>
    <t>分别</t>
  </si>
  <si>
    <t>fēnbié</t>
  </si>
  <si>
    <t>动、副、名</t>
  </si>
  <si>
    <t>Chia ra (分) cho khác biệt (别) = Phân biệt/Chia tay.</t>
  </si>
  <si>
    <t>分布</t>
  </si>
  <si>
    <t>fēnbù</t>
  </si>
  <si>
    <t>Phân chia (分) và trải rộng ra như tấm vải (布) = Phân bố.</t>
  </si>
  <si>
    <t>奋斗</t>
  </si>
  <si>
    <t>fèndòu</t>
  </si>
  <si>
    <t>Chim dang cánh bay mạnh (奋) để chiến đấu (斗) = Phấn đấu.</t>
  </si>
  <si>
    <t>纷纷</t>
  </si>
  <si>
    <t>fēnfēn</t>
  </si>
  <si>
    <t>Chia nhỏ (分) như những sợi tơ (纟) rơi lả tả = Nườm nượp/Tới tấp.</t>
  </si>
  <si>
    <t>丰富多彩</t>
  </si>
  <si>
    <t>fēngfù-duōcǎi</t>
  </si>
  <si>
    <t>Đầy đủ (丰富) và nhiều màu sắc (多彩) = Phong phú đa dạng.</t>
  </si>
  <si>
    <t>风格</t>
  </si>
  <si>
    <t>fēnggé</t>
  </si>
  <si>
    <t>Cái khung (格) mang hơi hướng phong thái (风) = Phong cách.</t>
  </si>
  <si>
    <t>疯狂</t>
  </si>
  <si>
    <t>fēngkuáng</t>
  </si>
  <si>
    <t>Điên rồ như cơn gió (风) và con chó dại (狂) = Điên cuồng.</t>
  </si>
  <si>
    <t>风俗</t>
  </si>
  <si>
    <t>fēngsú</t>
  </si>
  <si>
    <t>Thói tục (俗) mang tính địa phương (风) = Phong tục.</t>
  </si>
  <si>
    <t>风险</t>
  </si>
  <si>
    <t>fēngxiǎn</t>
  </si>
  <si>
    <t>Nguy hiểm (险) đến như cơn gió (风) bất ngờ = Rủi ro.</t>
  </si>
  <si>
    <t>分类</t>
  </si>
  <si>
    <t>fēnlèi</t>
  </si>
  <si>
    <t>Phân chia (分) theo từng chủng loại (类) = Phân loại.</t>
  </si>
  <si>
    <t>分离</t>
  </si>
  <si>
    <t>fēnlí</t>
  </si>
  <si>
    <t>Phân chia (分) và rời xa (离) = Phân ly/Chia cách.</t>
  </si>
  <si>
    <t>分配</t>
  </si>
  <si>
    <t>fēnpèi</t>
  </si>
  <si>
    <t>Phân chia (分) và phối hợp (配) cho từng người = Phân phối.</t>
  </si>
  <si>
    <t>分手</t>
  </si>
  <si>
    <t>fēnshǒu</t>
  </si>
  <si>
    <t>Chia (分) cái tay (手) nhau ra = Chia tay.</t>
  </si>
  <si>
    <t>分析</t>
  </si>
  <si>
    <t>fēnxī</t>
  </si>
  <si>
    <t>Dùng rìu (斤) chẻ củi (木) ra từng phần để xem = Phân tích.</t>
  </si>
  <si>
    <t>分享</t>
  </si>
  <si>
    <t>fēnxiǎng</t>
  </si>
  <si>
    <t>Chia ra (分) để cùng hưởng thụ (享) = Chia sẻ.</t>
  </si>
  <si>
    <t>否定</t>
  </si>
  <si>
    <t>fǒudìng</t>
  </si>
  <si>
    <t>Nói không (否 - bộ khẩu 口 và bất 不) để xác định lại (定) = Phủ định.</t>
  </si>
  <si>
    <t>否认</t>
  </si>
  <si>
    <t>fǒurèn</t>
  </si>
  <si>
    <t>Không (否) thừa nhận (认) sự việc = Phủ nhận.</t>
  </si>
  <si>
    <t>扶</t>
  </si>
  <si>
    <t>Dùng tay (扌) đỡ một người đàn ông (夫) = Vịn/Đỡ/Phù hộ.</t>
  </si>
  <si>
    <t>福</t>
  </si>
  <si>
    <t>Có đất, có ruộng (田) và sự che chở của thần linh (礻) = Hạnh phúc/Phúc.</t>
  </si>
  <si>
    <t>副1</t>
  </si>
  <si>
    <t>Dùng dao (刂) chia ruộng (田) làm hai phần bằng nhau = Phó/Phụ/Lượng từ (bộ/đôi).</t>
  </si>
  <si>
    <t>富</t>
  </si>
  <si>
    <t>Dưới mái nhà (宀) có đầy đủ rượu và ruộng đất = Giàu có.</t>
  </si>
  <si>
    <t>付出</t>
  </si>
  <si>
    <t>fùchū</t>
  </si>
  <si>
    <t>Giao phó (付) và đưa ra (出) tâm sức = Bỏ ra/Trả giá.</t>
  </si>
  <si>
    <t>负担</t>
  </si>
  <si>
    <t>fùdān</t>
  </si>
  <si>
    <t>Gánh vác (担) trách nhiệm đè trên người (负) = Gánh nặng.</t>
  </si>
  <si>
    <t>夫妇</t>
  </si>
  <si>
    <t>fūfù</t>
  </si>
  <si>
    <t>Người chồng (夫) và người vợ (妇) = Vợ chồng.</t>
  </si>
  <si>
    <t>妇女</t>
  </si>
  <si>
    <t>Người phụ nữ (女) đã có gia đình (tay cầm chổi 妇) = Phụ nữ.</t>
  </si>
  <si>
    <t>富有</t>
  </si>
  <si>
    <t>fùyǒu</t>
  </si>
  <si>
    <t>Giàu có (富) và sở hữu (有) nhiều = Giàu có/Dồi dào.</t>
  </si>
  <si>
    <t>复制</t>
  </si>
  <si>
    <t>fùzhì</t>
  </si>
  <si>
    <t>Làm lại (复) theo một khuôn mẫu chế tạo (制) = Sao chép (Copy).</t>
  </si>
  <si>
    <t>服装</t>
  </si>
  <si>
    <t>fúzhuāng</t>
  </si>
  <si>
    <t>Quần áo (服) và cách trang bị (装) = Trang phục.</t>
  </si>
  <si>
    <t>盖</t>
  </si>
  <si>
    <t>gài</t>
  </si>
  <si>
    <t>Dùng cỏ (艹) để che đậy cái bát/đĩa (皿) = Đậy/Nắp/Xây dựng.</t>
  </si>
  <si>
    <t>改革</t>
  </si>
  <si>
    <t>gǎigé</t>
  </si>
  <si>
    <t>Sửa đổi (改) và thay đổi lớp da mới (革) = Cải cách.</t>
  </si>
  <si>
    <t>改进</t>
  </si>
  <si>
    <t>gǎijìn</t>
  </si>
  <si>
    <t>Sửa đổi (改) để tiến bộ (进) hơn = Cải tiến.</t>
  </si>
  <si>
    <t>概括</t>
  </si>
  <si>
    <t>gàikuò</t>
  </si>
  <si>
    <t>Dùng cây (木) để gạt phẳng và tóm lược lại (括) = Khái quát.</t>
  </si>
  <si>
    <t>概念</t>
  </si>
  <si>
    <t>gàiniàn</t>
  </si>
  <si>
    <t>Khái quát (概) những ý niệm (念) trong đầu = Khái niệm.</t>
  </si>
  <si>
    <t>改善</t>
  </si>
  <si>
    <t>gǎishàn</t>
  </si>
  <si>
    <t>Sửa đổi (改) cho trở nên tốt đẹp (善) hơn = Cải thiện.</t>
  </si>
  <si>
    <t>改天</t>
  </si>
  <si>
    <t>gǎitiān</t>
  </si>
  <si>
    <t>Đổi (改) sang một ngày (天) khác = Hôm khác.</t>
  </si>
  <si>
    <t>改正</t>
  </si>
  <si>
    <t>gǎizhèng</t>
  </si>
  <si>
    <t>Sửa đổi (改) cho đúng đắn (正) = Sửa lỗi/Sửa cho đúng.</t>
  </si>
  <si>
    <t>刚好</t>
  </si>
  <si>
    <t>gānghǎo</t>
  </si>
  <si>
    <t>Vừa mới (刚) tốt đẹp (好) = Vừa vặn/Vừa hay.</t>
  </si>
  <si>
    <t>敢于</t>
  </si>
  <si>
    <t>gǎnyú</t>
  </si>
  <si>
    <t>Dũng cảm (敢) đối với (于) một việc gì đó = Dám.</t>
  </si>
  <si>
    <t>搞</t>
  </si>
  <si>
    <t>gǎo</t>
  </si>
  <si>
    <t>Dùng tay (扌) làm việc một cách cao tay (高) = Làm/Thực hiện.</t>
  </si>
  <si>
    <t>告别</t>
  </si>
  <si>
    <t>gàobié</t>
  </si>
  <si>
    <t>Dùng miệng báo (告) để chia biệt (别) = Từ biệt/Chào tạm biệt.</t>
  </si>
  <si>
    <t>高大</t>
  </si>
  <si>
    <t>gāodà</t>
  </si>
  <si>
    <t>Cao (高) và to lớn (大).</t>
  </si>
  <si>
    <t>高档</t>
  </si>
  <si>
    <t>gāodàng</t>
  </si>
  <si>
    <t>Những đồ vật xếp trên giá gỗ (档) ở vị trí cao (高) = Cao cấp/Sang trọng.</t>
  </si>
  <si>
    <t>高度</t>
  </si>
  <si>
    <t>gāodù</t>
  </si>
  <si>
    <t>Mức độ (度) của chiều cao (高) = Độ cao/Mức độ cao.</t>
  </si>
  <si>
    <t>高级</t>
  </si>
  <si>
    <t>gāojí</t>
  </si>
  <si>
    <t>Cấp bậc (级) cao (高) = Cao cấp.</t>
  </si>
  <si>
    <t>高科技</t>
  </si>
  <si>
    <t>gāokējì</t>
  </si>
  <si>
    <t>Khoa học kỹ thuật (科技) trình độ cao (高) = Công nghệ cao.</t>
  </si>
  <si>
    <t>高效</t>
  </si>
  <si>
    <t>gāoxiào</t>
  </si>
  <si>
    <t>Hiệu quả (效) cao (高) = Hiệu quả cao.</t>
  </si>
  <si>
    <t>隔</t>
  </si>
  <si>
    <t>gé</t>
  </si>
  <si>
    <t>Dùng vách ngăn (阝) để cách biệt một cái nồi nấu (鬲) = Cách quãng/Ngăn cách.</t>
  </si>
  <si>
    <t>个别</t>
  </si>
  <si>
    <t>gèbié</t>
  </si>
  <si>
    <t>Cái cá nhân (个) khác biệt (别) = Cá biệt/Riêng biệt.</t>
  </si>
  <si>
    <t>歌词</t>
  </si>
  <si>
    <t>gēcí</t>
  </si>
  <si>
    <t>Từ ngữ (词) của bài hát (歌) = Lời bài hát.</t>
  </si>
  <si>
    <t>各行各业</t>
  </si>
  <si>
    <t>gèháng-gèyè</t>
  </si>
  <si>
    <t>Mọi (各) ngành (行) mọi nghề (业) = Mọi ngành nghề.</t>
  </si>
  <si>
    <t>根</t>
  </si>
  <si>
    <t>Cái gốc của cái cây (木) dừng lại dưới đất (艮) = Rễ/Gốc/Lượng từ (chiếc/sợi).</t>
  </si>
  <si>
    <t>根本</t>
  </si>
  <si>
    <t>gēnběn</t>
  </si>
  <si>
    <t>Cái rễ (根) và cái gốc (本) = Căn bản/Hoàn toàn (không).</t>
  </si>
  <si>
    <t>更换</t>
  </si>
  <si>
    <t>gēnghuàn</t>
  </si>
  <si>
    <t>Thay đổi (更) và hoán đổi (换 - có bộ tay 扌) = Thay thế/Đổi mới.</t>
  </si>
  <si>
    <t>更新</t>
  </si>
  <si>
    <t>gēngxīn</t>
  </si>
  <si>
    <t>Thay đổi (更) cái cũ để trở nên mới mẻ (新) = Cập nhật/Đổi mới.</t>
  </si>
  <si>
    <t>歌曲</t>
  </si>
  <si>
    <t>gēqǔ</t>
  </si>
  <si>
    <t>Bài hát (歌) có những giai điệu uốn khúc (曲) = Bài hát.</t>
  </si>
  <si>
    <t>个人</t>
  </si>
  <si>
    <t>gèrén</t>
  </si>
  <si>
    <t>Cái (个) con người (人) cụ thể = Cá nhân.</t>
  </si>
  <si>
    <t>格外</t>
  </si>
  <si>
    <t>géwài</t>
  </si>
  <si>
    <t>Nằm ngoài (外) những quy tắc/khuôn mẫu (格) thông thường = Đặc biệt/Khác thường.</t>
  </si>
  <si>
    <t>个性</t>
  </si>
  <si>
    <t>gèxìng</t>
  </si>
  <si>
    <t>Tính cách (性) riêng biệt của mỗi cá nhân (个) = Cá tính.</t>
  </si>
  <si>
    <t>各自</t>
  </si>
  <si>
    <t>gèzì</t>
  </si>
  <si>
    <t>Mỗi (各) người tự (自) mình = Mỗi người/Phần ai nấy làm.</t>
  </si>
  <si>
    <t>公布</t>
  </si>
  <si>
    <t>gōngbù</t>
  </si>
  <si>
    <t>Công khai (公) và tuyên bố rộng rãi như trải tấm vải (布) = Công bố.</t>
  </si>
  <si>
    <t>工程</t>
  </si>
  <si>
    <t>gōngchéng</t>
  </si>
  <si>
    <t>Quy trình (程) làm việc (工) có hệ thống = Công trình/Kỹ thuật.</t>
  </si>
  <si>
    <t>工程师</t>
  </si>
  <si>
    <t>gōngchéngshī</t>
  </si>
  <si>
    <t>Người thầy (师) phụ trách công trình (工程) = Kỹ sư.</t>
  </si>
  <si>
    <t>工具</t>
  </si>
  <si>
    <t>gōngjù</t>
  </si>
  <si>
    <t>Các đạo cụ (具) phục vụ cho công việc (工) = Công cụ.</t>
  </si>
  <si>
    <t>功能</t>
  </si>
  <si>
    <t>gōngnéng</t>
  </si>
  <si>
    <t>Năng lực (能) làm việc (工) của một vật = Chức năng.</t>
  </si>
  <si>
    <t>公平</t>
  </si>
  <si>
    <t>gōngpíng</t>
  </si>
  <si>
    <t>Công bằng (公) và bằng phẳng (平) = Công bằng.</t>
  </si>
  <si>
    <t>公务员</t>
  </si>
  <si>
    <t>gōngwùyuán</t>
  </si>
  <si>
    <t>Nhân viên (员) làm các sự vụ (务) cho công chúng (公) = Công chức.</t>
  </si>
  <si>
    <t>恭喜</t>
  </si>
  <si>
    <t>gōngxǐ</t>
  </si>
  <si>
    <t>Trái tim (㣺) cung kính (共) chúc mừng niềm vui (喜) = Chúc mừng.</t>
  </si>
  <si>
    <t>贡献</t>
  </si>
  <si>
    <t>gòngxiàn</t>
  </si>
  <si>
    <t>Cùng nhau (共) dâng hiến vật quý như sừng tê giác (献) = Cống hiến.</t>
  </si>
  <si>
    <t>共享</t>
  </si>
  <si>
    <t>gòngxiǎng</t>
  </si>
  <si>
    <t>Cùng nhau (共) hưởng thụ (享) một giá trị = Chia sẻ/Dùng chung.</t>
  </si>
  <si>
    <t>工业</t>
  </si>
  <si>
    <t>gōngyè</t>
  </si>
  <si>
    <t>Sự nghiệp (业) sản xuất làm việc (工) = Công nghiệp.</t>
  </si>
  <si>
    <t>工艺</t>
  </si>
  <si>
    <t>gōngyì</t>
  </si>
  <si>
    <t>Kỹ thuật (艺) khéo léo trong công việc (工) = Thủ công/Công nghệ.</t>
  </si>
  <si>
    <t>公寓</t>
  </si>
  <si>
    <t>gōngyù</t>
  </si>
  <si>
    <t>Tòa nhà nơi công chúng (公) ngụ lại (寓) = Chung cư.</t>
  </si>
  <si>
    <t>构成</t>
  </si>
  <si>
    <t>gòuchéng</t>
  </si>
  <si>
    <t>Bao quanh (构) để hình thành (成) nên vật = Cấu thành/Tạo nên.</t>
  </si>
  <si>
    <t>沟通</t>
  </si>
  <si>
    <t>gōutōng</t>
  </si>
  <si>
    <t>Khai thông (通) các rãnh nước (沟) bị tắc giữa hai bên = Giao tiếp/Kết nối.</t>
  </si>
  <si>
    <t>古</t>
  </si>
  <si>
    <t>gǔ</t>
  </si>
  <si>
    <t>Lời nói truyền qua mười (十) cái miệng (口) thì thành = Cổ/Cũ.</t>
  </si>
  <si>
    <t>鼓</t>
  </si>
  <si>
    <t>Một tay cầm dùi đánh vào cái trống có chân đế = Cái trống/Đánh trống.</t>
  </si>
  <si>
    <t>挂号</t>
  </si>
  <si>
    <t>guàhào</t>
  </si>
  <si>
    <t>Treo (挂) cái số thứ tự (号) của mình lên = Đăng ký số/Lấy số khám.</t>
  </si>
  <si>
    <t>怪</t>
  </si>
  <si>
    <t>guài</t>
  </si>
  <si>
    <t>Trái tim (忄) cảm thấy điều đó cực kỳ (圣) lạ lùng = Quái lạ/Trách móc.</t>
  </si>
  <si>
    <t>关闭</t>
  </si>
  <si>
    <t>guānbì</t>
  </si>
  <si>
    <t>Dựng rào chắn trước cửa (关) và đóng (闭) chốt lại = Đóng/Tắt.</t>
  </si>
  <si>
    <t>观察</t>
  </si>
  <si>
    <t>guānchá</t>
  </si>
  <si>
    <t>Nhìn kỹ (观) dưới mái nhà (察 - có bộ Miên 宀) = Quan sát.</t>
  </si>
  <si>
    <t>观点</t>
  </si>
  <si>
    <t>guāndiǎn</t>
  </si>
  <si>
    <t>Điểm (点) nhìn nhận (观) một vấn đề = Quan điểm.</t>
  </si>
  <si>
    <t>广</t>
  </si>
  <si>
    <t>guǎng</t>
  </si>
  <si>
    <t>Hình ảnh một mái nhà lớn bao trùm một khu vực = Rộng/Rộng rãi.</t>
  </si>
  <si>
    <t>广场</t>
  </si>
  <si>
    <t>guǎngchǎng</t>
  </si>
  <si>
    <t>Một địa điểm (场) rộng lớn (广) = Quảng trường.</t>
  </si>
  <si>
    <t>广大</t>
  </si>
  <si>
    <t>guǎngdà</t>
  </si>
  <si>
    <t>Rộng (广) và to lớn (大) = Rộng lớn/Đông đảo.</t>
  </si>
  <si>
    <t>广泛</t>
  </si>
  <si>
    <t>guǎngfàn</t>
  </si>
  <si>
    <t>Rộng (广) và tràn lan như nước (泛 - có bộ Thủy 氵) = Rộng rãi/Phổ biến.</t>
  </si>
  <si>
    <t>光临</t>
  </si>
  <si>
    <t>guānglín</t>
  </si>
  <si>
    <t>Sự hiện diện của bạn mang lại ánh sáng (光) khi tới thăm (临) = Ghé thăm/Quang lâm.</t>
  </si>
  <si>
    <t>光明</t>
  </si>
  <si>
    <t>guāngmíng</t>
  </si>
  <si>
    <t>Ánh sáng (光) và sự sáng sủa (明) = Ánh sáng/Tươi sáng.</t>
  </si>
  <si>
    <t>光线</t>
  </si>
  <si>
    <t>guāngxiàn</t>
  </si>
  <si>
    <t>Sợi tơ (线) của ánh sáng (光) = Tia sáng/Ánh sáng.</t>
  </si>
  <si>
    <t>冠军</t>
  </si>
  <si>
    <t>guànjūn</t>
  </si>
  <si>
    <t>Người đứng đầu đội quân (军) và được đội mũ vương miện (冠) = Quán quân.</t>
  </si>
  <si>
    <t>观念</t>
  </si>
  <si>
    <t>guānniàn</t>
  </si>
  <si>
    <t>Ý niệm (念) về cách nhìn nhận (观) thế giới = Quan niệm.</t>
  </si>
  <si>
    <t>古代</t>
  </si>
  <si>
    <t>gǔdài</t>
  </si>
  <si>
    <t>Thời đại (代) cổ xưa (古) = Cổ đại.</t>
  </si>
  <si>
    <t>固定</t>
  </si>
  <si>
    <t>gùdìng</t>
  </si>
  <si>
    <t>Kiên cố (固) và ổn định (定) = Cố định.</t>
  </si>
  <si>
    <t>规律</t>
  </si>
  <si>
    <t>guīlǜ</t>
  </si>
  <si>
    <t>Quy tắc (规) và kỷ luật (律) của tự nhiên = Quy luật.</t>
  </si>
  <si>
    <t>规模</t>
  </si>
  <si>
    <t>guīmó</t>
  </si>
  <si>
    <t>Cái khuôn mẫu (模) quy định (规) độ lớn = Quy mô.</t>
  </si>
  <si>
    <t>贵姓</t>
  </si>
  <si>
    <t>guìxìng</t>
  </si>
  <si>
    <t>Họ (姓) của bạn thật quý báu (贵) = Quý danh.</t>
  </si>
  <si>
    <t>规则</t>
  </si>
  <si>
    <t>guīzé</t>
  </si>
  <si>
    <t>Quy tắc (规) và các nguyên tắc (则) phải theo = Quy tắc.</t>
  </si>
  <si>
    <t>柜子</t>
  </si>
  <si>
    <t>guìzi</t>
  </si>
  <si>
    <t>Cái hòm bằng gỗ (木) dùng để đựng vật quý (巨/贵) = Cái tủ.</t>
  </si>
  <si>
    <t>古老</t>
  </si>
  <si>
    <t>gǔlǎo</t>
  </si>
  <si>
    <t>Cổ xưa (古) và già nua (老) = Cổ kính/Lâu đời.</t>
  </si>
  <si>
    <t>滚</t>
  </si>
  <si>
    <t>gǔn</t>
  </si>
  <si>
    <t>Nước (氵) chảy cuồn cuộn làm vạt áo (衣) quay vòng = Lăn/Cút đi.</t>
  </si>
  <si>
    <t>锅</t>
  </si>
  <si>
    <t>guō</t>
  </si>
  <si>
    <t>Cái đồ vật bằng kim loại (钅) hình tròn dùng để nấu = Cái nồi.</t>
  </si>
  <si>
    <t>过度</t>
  </si>
  <si>
    <t>guòdù</t>
  </si>
  <si>
    <t>Vượt qua (过) mức độ (度) cho phép = Quá độ/Quá mức.</t>
  </si>
  <si>
    <t>过分</t>
  </si>
  <si>
    <t>guòfèn</t>
  </si>
  <si>
    <t>Vượt qua (过) cái phần (分) của mình = Quá đáng.</t>
  </si>
  <si>
    <t>国画</t>
  </si>
  <si>
    <t>guóhuà</t>
  </si>
  <si>
    <t>Những bức tranh (画) mang quốc hồn quốc túy (国) = Tranh thủy mặc/Tranh truyền thống.</t>
  </si>
  <si>
    <t>过敏</t>
  </si>
  <si>
    <t>guòmǐn</t>
  </si>
  <si>
    <t>Phản ứng vượt quá (过) mức nhạy cảm (敏) = Dị ứng.</t>
  </si>
  <si>
    <t>过期</t>
  </si>
  <si>
    <t>guòqī</t>
  </si>
  <si>
    <t>Vượt quá (过) thời hạn (期) quy định = Quá hạn/Hết hạn.</t>
  </si>
  <si>
    <t>国庆</t>
  </si>
  <si>
    <t>guóqìng</t>
  </si>
  <si>
    <t>Ngày lễ chúc mừng (庆) của cả quốc gia (国) = Quốc khánh.</t>
  </si>
  <si>
    <t>果然</t>
  </si>
  <si>
    <t>guǒrán</t>
  </si>
  <si>
    <t>Kết quả (果) đúng như thế (然) = Quả nhiên.</t>
  </si>
  <si>
    <t>果实</t>
  </si>
  <si>
    <t>guǒshí</t>
  </si>
  <si>
    <t>Kết quả thực tế (实) của cái cây là Hoa quả/Trái cây.</t>
  </si>
  <si>
    <t>过于</t>
  </si>
  <si>
    <t>guòyú</t>
  </si>
  <si>
    <t>Vượt quá (过) so với (于) mức bình thường = Quá chừng/Quá mức.</t>
  </si>
  <si>
    <t>故乡</t>
  </si>
  <si>
    <t>gùxiāng</t>
  </si>
  <si>
    <t>Nơi chốn (乡) gắn với những chuyện cũ (故) = Quê hương.</t>
  </si>
  <si>
    <t>鼓掌</t>
  </si>
  <si>
    <t>gǔzhǎng</t>
  </si>
  <si>
    <t>Đánh vào cái trống (鼓) trong lòng bàn tay (掌) = Vỗ tay.</t>
  </si>
  <si>
    <t>哈</t>
  </si>
  <si>
    <t>hā</t>
  </si>
  <si>
    <t>拟声、叹</t>
  </si>
  <si>
    <t>Cái miệng (口) thở ra hơi ấm hoặc cười lớn = Ha ha/Thở ra.</t>
  </si>
  <si>
    <t>海关</t>
  </si>
  <si>
    <t>hǎiguān</t>
  </si>
  <si>
    <t>Cửa ải (关) nơi vùng biển (海) để kiểm soát hàng hóa = Hải quan.</t>
  </si>
  <si>
    <t>海外</t>
  </si>
  <si>
    <t>hǎiwài</t>
  </si>
  <si>
    <t>Phía ngoài (外) biển khơi (海) = Hải ngoại/Nước ngoài.</t>
  </si>
  <si>
    <t>海鲜</t>
  </si>
  <si>
    <t>hǎixiān</t>
  </si>
  <si>
    <t>Đồ ăn dưới biển (海) còn tươi sống (鲜) = Hải sản.</t>
  </si>
  <si>
    <t>含</t>
  </si>
  <si>
    <t>hán</t>
  </si>
  <si>
    <t>Hình ảnh cái miệng (口) đang ngậm vật gì đó bên trong = Ngậm/Chứa đựng.</t>
  </si>
  <si>
    <t>háng</t>
  </si>
  <si>
    <t>Hình ảnh ngã tư đường, nơi các cửa hàng xếp thành hàng = Hàng/Dòng.</t>
  </si>
  <si>
    <t>行业</t>
  </si>
  <si>
    <t>hángyè</t>
  </si>
  <si>
    <t>Sự nghiệp (业) trong một ngành hàng (行) nhất định = Ngành nghề.</t>
  </si>
  <si>
    <t>含量</t>
  </si>
  <si>
    <t>hánliàng</t>
  </si>
  <si>
    <t>Số lượng (量) chứa đựng (含) bên trong = Hàm lượng.</t>
  </si>
  <si>
    <t>汗水</t>
  </si>
  <si>
    <t>hànshuǐ</t>
  </si>
  <si>
    <t>Nước (水) tiết ra khi trời khô nóng (干) = Mồ hôi.</t>
  </si>
  <si>
    <t>含有</t>
  </si>
  <si>
    <t>hányǒu</t>
  </si>
  <si>
    <t>Bên trong có chứa (含) và sở hữu (有) = Chứa đựng/Bao gồm.</t>
  </si>
  <si>
    <t>Người phụ nữ (女) có đứa con trai (子) là điều Tốt/Đẹp.</t>
  </si>
  <si>
    <t>好评</t>
  </si>
  <si>
    <t>hǎopíng</t>
  </si>
  <si>
    <t>Những lời bình luận (评) tốt đẹp (好) = Đánh giá tốt.</t>
  </si>
  <si>
    <t>好奇</t>
  </si>
  <si>
    <t>hàoqí</t>
  </si>
  <si>
    <t>Thích (好 - đọc là hào) những thứ kỳ lạ (奇) = Hiếu kỳ/Tò mò.</t>
  </si>
  <si>
    <t>好运</t>
  </si>
  <si>
    <t>hǎoyùn</t>
  </si>
  <si>
    <t>Vận may (运) tốt lành (好) = Vận may.</t>
  </si>
  <si>
    <t>好转</t>
  </si>
  <si>
    <t>hǎozhuǎn</t>
  </si>
  <si>
    <t>Chuyển biến (转) theo hướng tốt (好) = Trở nên tốt hơn.</t>
  </si>
  <si>
    <t>合</t>
  </si>
  <si>
    <t>Ba (人 + 一) cái miệng (口) cùng nói một lời = Hợp/Gộp lại.</t>
  </si>
  <si>
    <t>合法</t>
  </si>
  <si>
    <t>héfǎ</t>
  </si>
  <si>
    <t>Phù hợp (合) với pháp luật (法) = Hợp pháp.</t>
  </si>
  <si>
    <t>盒饭</t>
  </si>
  <si>
    <t>héfàn</t>
  </si>
  <si>
    <t>Cơm (饭) đựng trong cái hộp (盒) = Cơm hộp.</t>
  </si>
  <si>
    <t>黑</t>
  </si>
  <si>
    <t>hēi</t>
  </si>
  <si>
    <t>Hình ảnh ống khói bị ám muội than đen kịt = Màu đen/Tối.</t>
  </si>
  <si>
    <t>合理</t>
  </si>
  <si>
    <t>hélǐ</t>
  </si>
  <si>
    <t>Phù hợp (合) với đạo lý/lý lẽ (理) = Hợp lý.</t>
  </si>
  <si>
    <t>河流</t>
  </si>
  <si>
    <t>héliú</t>
  </si>
  <si>
    <t>Dòng nước chảy (流) của các con sông (河) = Sông ngòi.</t>
  </si>
  <si>
    <t>合同</t>
  </si>
  <si>
    <t>hétóng</t>
  </si>
  <si>
    <t>Cùng nhau (同) thống nhất và ký kết hợp (合) lại = Hợp đồng.</t>
  </si>
  <si>
    <t>合影</t>
  </si>
  <si>
    <t>héyǐng</t>
  </si>
  <si>
    <t>Cùng nhau (合) chụp ảnh (影) = Chụp ảnh chung.</t>
  </si>
  <si>
    <t>合作</t>
  </si>
  <si>
    <t>hézuò</t>
  </si>
  <si>
    <t>Cùng nhau (合) làm việc (作) = Hợp tác.</t>
  </si>
  <si>
    <t>红</t>
  </si>
  <si>
    <t>hóng</t>
  </si>
  <si>
    <t>Sợi tơ (纟) được nhuộm bằng công (工) phu thành Màu đỏ.</t>
  </si>
  <si>
    <t>厚度</t>
  </si>
  <si>
    <t>hòudù</t>
  </si>
  <si>
    <t>Mức độ (度) dày dặn (厚) = Độ dày.</t>
  </si>
  <si>
    <t>后果</t>
  </si>
  <si>
    <t>hòuguǒ</t>
  </si>
  <si>
    <t>Kết quả (果) đến sau (后) một sự việc xấu = Hậu quả.</t>
  </si>
  <si>
    <t>猴子</t>
  </si>
  <si>
    <t>hóuzi</t>
  </si>
  <si>
    <t>Con vật (犭) thông minh như quan hầu (侯) = Con khỉ.</t>
  </si>
  <si>
    <t>湖</t>
  </si>
  <si>
    <t>hú</t>
  </si>
  <si>
    <t>Vùng nước (氵) bao quanh vùng đất cổ (古) và mặt trăng (月) = Cái hồ.</t>
  </si>
  <si>
    <t>滑</t>
  </si>
  <si>
    <t>huá</t>
  </si>
  <si>
    <t>Nước (氵) làm cho xương (骨) dễ bị trôi đi = Trơn/Trượt.</t>
  </si>
  <si>
    <t>划</t>
  </si>
  <si>
    <t>Dùng dao (刂) để rạch hoặc dùng sức chèo thuyền = Chèo thuyền/Phân chia.</t>
  </si>
  <si>
    <t>化</t>
  </si>
  <si>
    <t>后缀、（动）</t>
  </si>
  <si>
    <t>Hình ảnh một người đứng và một người lộn ngược = Biến hóa/Thay đổi.</t>
  </si>
  <si>
    <t>话费</t>
  </si>
  <si>
    <t>huàfèi</t>
  </si>
  <si>
    <t>Chi phí (费) cho những lời nói (话) qua điện thoại = Cước điện thoại.</t>
  </si>
  <si>
    <t>花费</t>
  </si>
  <si>
    <t>huāfèi</t>
  </si>
  <si>
    <t>Tiêu xài (费) tiền bạc/thời gian như rắc hoa (花) = Tiêu tốn/Chi phí.</t>
  </si>
  <si>
    <t>画面</t>
  </si>
  <si>
    <t>huàmiàn</t>
  </si>
  <si>
    <t>Cái mặt (面) của bức tranh (画) = Hình ảnh/Khung hình.</t>
  </si>
  <si>
    <t>黄瓜</t>
  </si>
  <si>
    <t>huángguā</t>
  </si>
  <si>
    <t>Loại quả (瓜) có màu vàng (黄) khi chín = Dưa chuột.</t>
  </si>
  <si>
    <t>黄金</t>
  </si>
  <si>
    <t>huángjīn</t>
  </si>
  <si>
    <t>Loại kim loại (金) có màu vàng (黄) = Vàng.</t>
  </si>
  <si>
    <t>环节</t>
  </si>
  <si>
    <t>huánjié</t>
  </si>
  <si>
    <t>Các đốt tre (节) nối lại thành vòng (环) = Mắt xích/Khâu.</t>
  </si>
  <si>
    <t>缓解</t>
  </si>
  <si>
    <t>huǎnjiě</t>
  </si>
  <si>
    <t>Tháo gỡ (解) một cách chậm rãi (缓) = Xoa dịu/Làm nhẹ bớt.</t>
  </si>
  <si>
    <t>缓慢</t>
  </si>
  <si>
    <t>huǎnmàn</t>
  </si>
  <si>
    <t>Chậm chạp (缓) và từ tốn (慢) = Chậm chạp.</t>
  </si>
  <si>
    <t>话题</t>
  </si>
  <si>
    <t>huàtí</t>
  </si>
  <si>
    <t>Đề tài (题) của cuộc trò chuyện (话) = Chủ đề câu chuyện.</t>
  </si>
  <si>
    <t>化学</t>
  </si>
  <si>
    <t>huàxué</t>
  </si>
  <si>
    <t>Môn học (学) nghiên cứu về sự biến hóa (化) của vật chất = Hóa học.</t>
  </si>
  <si>
    <t>蝴蝶</t>
  </si>
  <si>
    <t>húdié</t>
  </si>
  <si>
    <t>Loài côn trùng (虫) có cánh mỏng như lá (蝶) = Con bướm.</t>
  </si>
  <si>
    <t>互动</t>
  </si>
  <si>
    <t>hùdòng</t>
  </si>
  <si>
    <t>Tương tác qua lại (互) và chuyển động (动) = Tương tác.</t>
  </si>
  <si>
    <t>灰</t>
  </si>
  <si>
    <t>huī</t>
  </si>
  <si>
    <t>Tay cầm vật gì đó hất vào đống lửa (火) tạo ra Tro/Bụi.</t>
  </si>
  <si>
    <t>挥</t>
  </si>
  <si>
    <t>Dùng tay (扌) vung mạnh để điều khiển quân lính/quạt = Vung/Vẫy.</t>
  </si>
  <si>
    <t>恢复</t>
  </si>
  <si>
    <t>huīfù</t>
  </si>
  <si>
    <t>Quay lại (复) trạng thái huy hoàng (恢) ban đầu = Khôi phục.</t>
  </si>
  <si>
    <t>汇率</t>
  </si>
  <si>
    <t>huìlǜ</t>
  </si>
  <si>
    <t>Tỉ lệ (率) quy đổi dòng tiền hội tụ (汇) = Tỉ giá hối đoái.</t>
  </si>
  <si>
    <t>灰色</t>
  </si>
  <si>
    <t>huīsè</t>
  </si>
  <si>
    <t>Màu (色) của tro bụi (灰) = Màu xám.</t>
  </si>
  <si>
    <t>回收</t>
  </si>
  <si>
    <t>huíshōu</t>
  </si>
  <si>
    <t>Thu (收) về (回) để tái sử dụng = Thu hồi/Tái chế.</t>
  </si>
  <si>
    <t>婚礼</t>
  </si>
  <si>
    <t>hūnlǐ</t>
  </si>
  <si>
    <t>Nghi lễ (礼) kết hôn (婚) = Lễ cưới.</t>
  </si>
  <si>
    <t>伙</t>
  </si>
  <si>
    <t>Một người (亻) bên cạnh đống lửa (火) là người cùng hội = Nhóm/Đồng bọn.</t>
  </si>
  <si>
    <t>伙伴</t>
  </si>
  <si>
    <t>huǒbàn</t>
  </si>
  <si>
    <t>Người cùng nhóm (伙) và là bạn đồng hành (伴) = Bạn đồng hành/Đối tác.</t>
  </si>
  <si>
    <t>火锅</t>
  </si>
  <si>
    <t>huǒguō</t>
  </si>
  <si>
    <t>Cái nồi (锅) nấu trực tiếp trên lửa (火) = Lẩu.</t>
  </si>
  <si>
    <t>或是</t>
  </si>
  <si>
    <t>huòshì</t>
  </si>
  <si>
    <t>Hoặc là (或) đúng là (是) như vậy = Hoặc là.</t>
  </si>
  <si>
    <t>货物</t>
  </si>
  <si>
    <t>huòwù</t>
  </si>
  <si>
    <t>Những đồ vật (物) dùng để trao đổi lấy tiền bạc (贝) = Hàng hóa.</t>
  </si>
  <si>
    <t>或许</t>
  </si>
  <si>
    <t>huòxǔ</t>
  </si>
  <si>
    <t>Hoặc là (或) có thể được cho phép (许) = Có lẽ/Có thể.</t>
  </si>
  <si>
    <t>忽视</t>
  </si>
  <si>
    <t>hūshì</t>
  </si>
  <si>
    <t>Coi thường và nhìn (视) như thể mờ mịt (忽) = Phớt lờ/Coi nhẹ.</t>
  </si>
  <si>
    <t>胡同</t>
  </si>
  <si>
    <t>hútòng</t>
  </si>
  <si>
    <t>Con đường nhỏ hẹp đi vào các khu dân cư cổ = Ngõ/Hẻm.</t>
  </si>
  <si>
    <t>户外</t>
  </si>
  <si>
    <t>hùwài</t>
  </si>
  <si>
    <t>Phía ngoài (外) cánh cửa (户) = Ngoài trời.</t>
  </si>
  <si>
    <t>呼吸</t>
  </si>
  <si>
    <t>hūxī</t>
  </si>
  <si>
    <t>Thở ra (呼) và hít vào (吸) đều dùng miệng (口) = Hô hấp/Hít thở.</t>
  </si>
  <si>
    <t>及</t>
  </si>
  <si>
    <t>Một người đứng trước, một người với tay theo cho kịp = Đạt đến/Kịp.</t>
  </si>
  <si>
    <t>级</t>
  </si>
  <si>
    <t>Các cấp bậc nối tiếp nhau như sợi tơ (纟) bền vững = Cấp bậc/Lớp.</t>
  </si>
  <si>
    <t>集</t>
  </si>
  <si>
    <t>Những con chim (隹) cùng đậu trên một cái cây (木) = Tập hợp/Tập.</t>
  </si>
  <si>
    <t>系</t>
  </si>
  <si>
    <t>Những sợi tơ (纟) thắt lại với nhau thành hệ thống = Hệ/Khoa/Liên kết.</t>
  </si>
  <si>
    <t>挤</t>
  </si>
  <si>
    <t>Dùng tay (扌) chen lấn để chỉnh tề (齐) đội hình = Chen chúc/Đùn đẩy.</t>
  </si>
  <si>
    <t>架</t>
  </si>
  <si>
    <t>jià</t>
  </si>
  <si>
    <t>Cái giá làm bằng gỗ (木) dùng để đỡ binh khí (加) = Giá đỡ/Chiếc (máy bay).</t>
  </si>
  <si>
    <t>甲</t>
  </si>
  <si>
    <t>Hình ảnh cái mai rùa hoặc bộ áo giáp che chắn = Vỏ/Giáp/Số 1.</t>
  </si>
  <si>
    <t>嘉宾</t>
  </si>
  <si>
    <t>jiābīn</t>
  </si>
  <si>
    <t>Người khách (宾) quý được mời thêm (加) vào buổi lễ = Khách mời quý.</t>
  </si>
  <si>
    <t>家电</t>
  </si>
  <si>
    <t>jiādiàn</t>
  </si>
  <si>
    <t>Các thiết bị điện (电) dùng trong gia đình (家) = Đồ điện gia dụng.</t>
  </si>
  <si>
    <t>加工</t>
  </si>
  <si>
    <t>jiāgōng</t>
  </si>
  <si>
    <t>Thêm (加) công sức (工) để hoàn thiện sản phẩm = Gia công.</t>
  </si>
  <si>
    <t>建</t>
  </si>
  <si>
    <t>Bước chân (辶) đi xây dựng các quy tắc (聿) = Xây dựng/Thiết lập.</t>
  </si>
  <si>
    <t>键</t>
  </si>
  <si>
    <t>Vật bằng kim loại (钅) then chốt dùng để xây dựng (建) = Phím/Nút bấm.</t>
  </si>
  <si>
    <t>捡</t>
  </si>
  <si>
    <t>Dùng tay (扌) thu lượm những thứ rơi vãi (捡) = Nhặt.</t>
  </si>
  <si>
    <t>剪</t>
  </si>
  <si>
    <t>Dùng đao (刀) để cắt tỉa cho cân đối (前) = Cắt.</t>
  </si>
  <si>
    <t>剪刀</t>
  </si>
  <si>
    <t>jiǎndāo</t>
  </si>
  <si>
    <t>Con dao (刀) dùng để cắt (剪) = Cái kéo.</t>
  </si>
  <si>
    <t>减肥</t>
  </si>
  <si>
    <t>jiǎnféi</t>
  </si>
  <si>
    <t>Làm giảm bớt (减) phần mỡ/thịt (肥) = Giảm cân.</t>
  </si>
  <si>
    <t>讲话</t>
  </si>
  <si>
    <t>jiǎnghuà</t>
  </si>
  <si>
    <t>Nói (讲) ra những lời nói (话) = Nói chuyện/Phát biểu.</t>
  </si>
  <si>
    <t>将近</t>
  </si>
  <si>
    <t>jiāngjìn</t>
  </si>
  <si>
    <t>Sắp (将) đến gần (近) một thời điểm = Gần/Sắp xỉ.</t>
  </si>
  <si>
    <t>讲究</t>
  </si>
  <si>
    <t>jiǎngjiu</t>
  </si>
  <si>
    <t>Nói (讲) sâu vào nghiên cứu (究) sự tinh tế = Coi trọng/Tinh tế.</t>
  </si>
  <si>
    <t>奖励</t>
  </si>
  <si>
    <t>jiǎnglì</t>
  </si>
  <si>
    <t>Dùng lời nói (讠) và tiền bạc (贝) để khích lệ (励) = Khen thưởng.</t>
  </si>
  <si>
    <t>讲述</t>
  </si>
  <si>
    <t>jiǎngshù</t>
  </si>
  <si>
    <t>Nói (讲) và thuật lại (述) một câu chuyện = Kể lại/Trình bày.</t>
  </si>
  <si>
    <t>降水</t>
  </si>
  <si>
    <t>jiàngshuǐ</t>
  </si>
  <si>
    <t>Nước (水) từ trên cao rơi xuống (降) = Lượng mưa.</t>
  </si>
  <si>
    <t>讲座</t>
  </si>
  <si>
    <t>jiǎngzuò</t>
  </si>
  <si>
    <t>Buổi nói chuyện (讲) tại một tòa soạn/vị trí (座) = Buổi tọa đàm.</t>
  </si>
  <si>
    <t>渐渐</t>
  </si>
  <si>
    <t>jiànjiàn</t>
  </si>
  <si>
    <t>Nước (氵) dâng lên từ từ từng chút một (斩) = Dần dần.</t>
  </si>
  <si>
    <t>艰苦</t>
  </si>
  <si>
    <t>jiānkǔ</t>
  </si>
  <si>
    <t>Sự gian nan (艰) và đắng cay (苦) = Gian khổ.</t>
  </si>
  <si>
    <t>建立</t>
  </si>
  <si>
    <t>jiànlì</t>
  </si>
  <si>
    <t>Xây dựng (建) để nó đứng vững (立) = Thiết lập/Xây dựng.</t>
  </si>
  <si>
    <t>简历</t>
  </si>
  <si>
    <t>jiǎnlì</t>
  </si>
  <si>
    <t>Bản tóm lược (简) các quá trình đã trải qua (历) = Sơ yếu lý lịch.</t>
  </si>
  <si>
    <t>键盘</t>
  </si>
  <si>
    <t>jiànpán</t>
  </si>
  <si>
    <t>Cái khay (盘) chứa các phím bấm (键) = Bàn phím.</t>
  </si>
  <si>
    <t>坚强</t>
  </si>
  <si>
    <t>jiānqiáng</t>
  </si>
  <si>
    <t>Kiên trì (坚) và mạnh mẽ (强) = Kiên cường.</t>
  </si>
  <si>
    <t>建设</t>
  </si>
  <si>
    <t>jiànshè</t>
  </si>
  <si>
    <t>Xây dựng (建) và thiết lập (设) = Xây dựng/Kiến thiết.</t>
  </si>
  <si>
    <t>建造</t>
  </si>
  <si>
    <t>jiànzào</t>
  </si>
  <si>
    <t>Xây dựng (建) và chế tạo (造) = Xây cất/Chế tạo.</t>
  </si>
  <si>
    <t>简直</t>
  </si>
  <si>
    <t>jiǎnzhí</t>
  </si>
  <si>
    <t>Nói một cách đơn giản (简) và thẳng thắn (直) để nhấn mạnh = Quả là/Thật là.</t>
  </si>
  <si>
    <t>建筑</t>
  </si>
  <si>
    <t>jiànzhù</t>
  </si>
  <si>
    <t>Xây dựng (建) bằng cách dùng thẻ tre (竹) đan lại làm khung (筑) = Kiến trúc/Xây dựng.</t>
  </si>
  <si>
    <t>较</t>
  </si>
  <si>
    <t>Hai chiếc xe (车) đứng cạnh nhau để so xem xe nào tốt hơn = So sánh/Khá là.</t>
  </si>
  <si>
    <t>浇</t>
  </si>
  <si>
    <t>Dùng nước (氵) tưới lên vùng đất cao (尧) = Tưới/Dội/Đổ.</t>
  </si>
  <si>
    <t>脚步</t>
  </si>
  <si>
    <t>jiǎobù</t>
  </si>
  <si>
    <t>Bước chân (步) của cái chân (脚) = Bước chân.</t>
  </si>
  <si>
    <t>教材</t>
  </si>
  <si>
    <t>jiàocái</t>
  </si>
  <si>
    <t>Tài liệu (材) dùng để giảng dạy (教) = Giáo trình.</t>
  </si>
  <si>
    <t>角度</t>
  </si>
  <si>
    <t>jiǎodù</t>
  </si>
  <si>
    <t>Mức độ (度) của cái góc (角 - hình sừng bò) = Góc độ/Khía cạnh.</t>
  </si>
  <si>
    <t>交换</t>
  </si>
  <si>
    <t>jiāohuàn</t>
  </si>
  <si>
    <t>Trao đi đổi lại (交) bằng đôi tay (换 - có bộ 扌) = Trao đổi.</t>
  </si>
  <si>
    <t>交往</t>
  </si>
  <si>
    <t>jiāowǎng</t>
  </si>
  <si>
    <t>Giao lưu (交) và qua lại (往) với nhau = Giao thiệp/Kết bạn.</t>
  </si>
  <si>
    <t>交易</t>
  </si>
  <si>
    <t>jiāoyì</t>
  </si>
  <si>
    <t>Trao đổi (交) một cách dễ dàng (易) = Giao dịch/Mua bán.</t>
  </si>
  <si>
    <t>加热</t>
  </si>
  <si>
    <t>jiārè</t>
  </si>
  <si>
    <t>Thêm (加) sức nóng của lửa (热 - có bộ hỏa 灬) = Làm nóng/Gia nhiệt.</t>
  </si>
  <si>
    <t>假如</t>
  </si>
  <si>
    <t>jiǎrú</t>
  </si>
  <si>
    <t>Một người (亻) mượn lời nói nếu như (如) = Giả sử/Nếu như.</t>
  </si>
  <si>
    <t>加深</t>
  </si>
  <si>
    <t>jiāshēn</t>
  </si>
  <si>
    <t>Làm tăng thêm (加) độ sâu của nước (深) = Làm sâu thêm.</t>
  </si>
  <si>
    <t>驾驶</t>
  </si>
  <si>
    <t>jiàshǐ</t>
  </si>
  <si>
    <t>Điều khiển ngựa (马) và xe để đi làm việc (使) = Lái xe/Điều khiển.</t>
  </si>
  <si>
    <t>加速</t>
  </si>
  <si>
    <t>jiāsù</t>
  </si>
  <si>
    <t>Làm tăng thêm (加) tốc độ (速) = Gia tốc/Tăng tốc.</t>
  </si>
  <si>
    <t>家务</t>
  </si>
  <si>
    <t>jiāwù</t>
  </si>
  <si>
    <t>Sự vụ/Công việc (务) trong gia đình (家) = Việc nhà.</t>
  </si>
  <si>
    <t>驾照</t>
  </si>
  <si>
    <t>jiàzhào</t>
  </si>
  <si>
    <t>Giấy phép (照) để lái xe (驾) = Bằng lái xe.</t>
  </si>
  <si>
    <t>价值</t>
  </si>
  <si>
    <t>jiàzhí</t>
  </si>
  <si>
    <t>Giá cả (价) và trị giá (值) của một vật = Giá trị.</t>
  </si>
  <si>
    <t>疾病</t>
  </si>
  <si>
    <t>jíbìng</t>
  </si>
  <si>
    <t>Bệnh tật (病) ập đến nhanh chóng (疾) = Bệnh tật.</t>
  </si>
  <si>
    <t>季度</t>
  </si>
  <si>
    <t>jìdù</t>
  </si>
  <si>
    <t>Mức độ (度) thời gian của một mùa lúa (季) = Quý (3 tháng).</t>
  </si>
  <si>
    <t>结</t>
  </si>
  <si>
    <t>Dùng sợi tơ (纟) để thắt nút lại = Kết nút/Kết thúc.</t>
  </si>
  <si>
    <t>届</t>
  </si>
  <si>
    <t>Những người sống dưới cùng một mái nhà qua các thời kỳ = Khóa/Lần/Nhiệm kỳ.</t>
  </si>
  <si>
    <t>接触</t>
  </si>
  <si>
    <t>jiēchù</t>
  </si>
  <si>
    <t>Tiếp cận (接) và chạm vào cái sừng (触 - có bộ giác 角) = Tiếp xúc.</t>
  </si>
  <si>
    <t>接待</t>
  </si>
  <si>
    <t>jiēdài</t>
  </si>
  <si>
    <t>Đón tiếp (接) và đối đãi (待) = Tiếp đãi/Đón tiếp.</t>
  </si>
  <si>
    <t>阶段</t>
  </si>
  <si>
    <t>jiēduàn</t>
  </si>
  <si>
    <t>Một đoạn (段) của các bậc thang (阶) = Giai đoạn.</t>
  </si>
  <si>
    <t>结构</t>
  </si>
  <si>
    <t>jiégòu</t>
  </si>
  <si>
    <t>Thắt nút (结) và bao quanh (构 - bộ mộc 木) làm khung = Kết cấu/Cấu trúc.</t>
  </si>
  <si>
    <t>结合</t>
  </si>
  <si>
    <t>jiéhé</t>
  </si>
  <si>
    <t>Kết lại (结) và hợp nhất (合) làm một = Kết hợp.</t>
  </si>
  <si>
    <t>接近</t>
  </si>
  <si>
    <t>jiējìn</t>
  </si>
  <si>
    <t>Tiếp nối (接) để đến gần (近) hơn = Tiếp cận/Gần gũi.</t>
  </si>
  <si>
    <t>结论</t>
  </si>
  <si>
    <t>jiélùn</t>
  </si>
  <si>
    <t>Kết lời (结) sau khi thảo luận (论) = Kết luận.</t>
  </si>
  <si>
    <t>节省</t>
  </si>
  <si>
    <t>jiéshěng</t>
  </si>
  <si>
    <t>Tiết chế (节) để bớt (省) chi phí = Tiết kiệm.</t>
  </si>
  <si>
    <t>接收</t>
  </si>
  <si>
    <t>jiēshōu</t>
  </si>
  <si>
    <t>Tiếp nhận (接) và thu về (收) = Tiếp nhận/Thu nhận.</t>
  </si>
  <si>
    <t>及格</t>
  </si>
  <si>
    <t>jígé</t>
  </si>
  <si>
    <t>Đạt đến (及) tiêu chuẩn khuôn mẫu (格) = Đạt yêu cầu/Đủ điểm.</t>
  </si>
  <si>
    <t>机构</t>
  </si>
  <si>
    <t>jīgòu</t>
  </si>
  <si>
    <t>Cái khung (构) của máy móc (机) = Cơ cấu/Tổ chức.</t>
  </si>
  <si>
    <t>集合</t>
  </si>
  <si>
    <t>jíhé</t>
  </si>
  <si>
    <t>Chim đậu trên cây (集) để hội hợp (合) lại = Tập hợp.</t>
  </si>
  <si>
    <t>即将</t>
  </si>
  <si>
    <t>jíjiāng</t>
  </si>
  <si>
    <t>Sắp sửa (即) xảy ra (将) = Sắp/Chẳng mấy chốc.</t>
  </si>
  <si>
    <t>激烈</t>
  </si>
  <si>
    <t>jīliè</t>
  </si>
  <si>
    <t>Mạnh mẽ (激 - nước bắn mạnh) như lửa cháy rực (烈) = Kịch liệt/Dữ dội.</t>
  </si>
  <si>
    <t>记录</t>
  </si>
  <si>
    <t>jìlù</t>
  </si>
  <si>
    <t>Ghi chép (记) và sao lục (录) lại sự việc = Ghi chép/Kỷ lục.</t>
  </si>
  <si>
    <t>纪录</t>
  </si>
  <si>
    <t>(Thường dùng cho thể thao) Ghi lại kết quả bằng sợi tơ (糸) bền vững = Kỷ lục.</t>
  </si>
  <si>
    <t>纪录片</t>
  </si>
  <si>
    <t>jìlùpiàn</t>
  </si>
  <si>
    <t>Thước phim (片) dùng để ghi lại (纪录) sự thật = Phim tài liệu.</t>
  </si>
  <si>
    <t>急忙</t>
  </si>
  <si>
    <t>jímáng</t>
  </si>
  <si>
    <t>Tâm vội vã (急) và lòng bận rộn (忙) = Vội vàng/Hấp tấp.</t>
  </si>
  <si>
    <t>紧</t>
  </si>
  <si>
    <t>Sợi tơ (糸) bị kéo căng đến mức đau đớn = Chặt/Căng thẳng/Gấp.</t>
  </si>
  <si>
    <t>进步</t>
  </si>
  <si>
    <t>jìnbù</t>
  </si>
  <si>
    <t>Bước đi (步) tiến về phía trước (进) = Tiến bộ.</t>
  </si>
  <si>
    <t>近代</t>
  </si>
  <si>
    <t>jìndài</t>
  </si>
  <si>
    <t>Thời đại (代) gần (近) với hiện nay = Cận đại.</t>
  </si>
  <si>
    <t>技能</t>
  </si>
  <si>
    <t>jìnéng</t>
  </si>
  <si>
    <t>Năng lực (能) về kỹ thuật chuyên môn (技) = Kỹ năng.</t>
  </si>
  <si>
    <t>静</t>
  </si>
  <si>
    <t>jìng</t>
  </si>
  <si>
    <t>Màu xanh (青) của sự yên tĩnh khi tranh luận (争) kết thúc = Yên tĩnh.</t>
  </si>
  <si>
    <t>经典</t>
  </si>
  <si>
    <t>jīngdiǎn</t>
  </si>
  <si>
    <t>Sách quý (典) trải qua bao thời gian như sợi tơ (纟) xuyên suốt = Kinh điển.</t>
  </si>
  <si>
    <t>精力</t>
  </si>
  <si>
    <t>Sức lực (力) của tinh hoa (精 - có bộ mễ 米) = Tinh lực/Năng lượng.</t>
  </si>
  <si>
    <t>精神</t>
  </si>
  <si>
    <t>jīngshen</t>
  </si>
  <si>
    <t>Sự tinh túy (精) của thần thái (神) = Tinh thần.</t>
  </si>
  <si>
    <t>惊喜</t>
  </si>
  <si>
    <t>jīngxǐ</t>
  </si>
  <si>
    <t>Kinh ngạc (惊) và vui mừng (喜) = Kinh ngạc vui sướng.</t>
  </si>
  <si>
    <t>经营</t>
  </si>
  <si>
    <t>jīngyíng</t>
  </si>
  <si>
    <t>Trải qua (经) nhiều việc để xây dựng doanh trại (营) = Kinh doanh/Điều hành.</t>
  </si>
  <si>
    <t>纪念</t>
  </si>
  <si>
    <t>jìniàn</t>
  </si>
  <si>
    <t>Ghi chép (记) vào trong ý niệm (念) để không quên = Kỷ niệm/Tưởng nhớ.</t>
  </si>
  <si>
    <t>纪念日</t>
  </si>
  <si>
    <t>jìniànrì</t>
  </si>
  <si>
    <t>Ngày (日) để làm lễ kỷ niệm (纪念) = Ngày kỷ niệm.</t>
  </si>
  <si>
    <t>紧急</t>
  </si>
  <si>
    <t>jǐnjí</t>
  </si>
  <si>
    <t>Sợi dây kéo căng (紧) và tâm trạng vội vã (急) = Khẩn cấp/Cấp bách.</t>
  </si>
  <si>
    <t>进口</t>
  </si>
  <si>
    <t>jìnkǒu</t>
  </si>
  <si>
    <t>Đi vào (进) cửa (口) = Nhập khẩu/Lối vào.</t>
  </si>
  <si>
    <t>尽快</t>
  </si>
  <si>
    <t>jǐnkuài</t>
  </si>
  <si>
    <t>Cố gắng hết mức (尽) để đạt tốc độ nhanh (快) = Càng nhanh càng tốt.</t>
  </si>
  <si>
    <t>尽力</t>
  </si>
  <si>
    <t>jìnlì</t>
  </si>
  <si>
    <t>Dùng hết (尽) sức lực (力) của mình = Gắng hết sức.</t>
  </si>
  <si>
    <t>尽量</t>
  </si>
  <si>
    <t>jǐnliàng</t>
  </si>
  <si>
    <t>Đạt đến mức độ (量) tối đa có thể (尽) = Hết mức/Cố gắng hết sức.</t>
  </si>
  <si>
    <t>紧密</t>
  </si>
  <si>
    <t>jǐnmì</t>
  </si>
  <si>
    <t>Thắt chặt (紧) và mật thiết (密) như rừng cây = Chặt chẽ/Mật thiết.</t>
  </si>
  <si>
    <t>近年来</t>
  </si>
  <si>
    <t>jìnnián lái</t>
  </si>
  <si>
    <t>Những năm (年) gần (近) đây (来) = Những năm gần đây.</t>
  </si>
  <si>
    <t>近期</t>
  </si>
  <si>
    <t>jìnqī</t>
  </si>
  <si>
    <t>Thời hạn (期) gần (近) đây = Thời gian gần đây.</t>
  </si>
  <si>
    <t>近日</t>
  </si>
  <si>
    <t>jìnrì</t>
  </si>
  <si>
    <t>Những ngày (日) gần (近) đây.</t>
  </si>
  <si>
    <t>今日</t>
  </si>
  <si>
    <t>jīnrì</t>
  </si>
  <si>
    <t>Ngày (日) ngay lúc này (今) = Hôm nay.</t>
  </si>
  <si>
    <t>谨慎</t>
  </si>
  <si>
    <t>jǐnshèn</t>
  </si>
  <si>
    <t>Trái tim (忄) luôn giữ sự cẩn trọng (慎) và chặt chẽ (谨) = Thận trọng.</t>
  </si>
  <si>
    <t>进一步</t>
  </si>
  <si>
    <t>jìnyíbù</t>
  </si>
  <si>
    <t>Tiến (进) thêm một (一) bước (步) = Thêm một bước nữa.</t>
  </si>
  <si>
    <t>极其</t>
  </si>
  <si>
    <t>jíqí</t>
  </si>
  <si>
    <t>Đạt đến mức cực điểm (极) của cái đó (其) = Cực kỳ/Hết sức.</t>
  </si>
  <si>
    <t>机器</t>
  </si>
  <si>
    <t>jīqì</t>
  </si>
  <si>
    <t>Công cụ (器) máy móc (机) = Máy móc.</t>
  </si>
  <si>
    <t>机器人</t>
  </si>
  <si>
    <t>jīqìrén</t>
  </si>
  <si>
    <t>Con người (人) làm bằng máy móc (机器) = Người máy/Robot.</t>
  </si>
  <si>
    <t>肌肉</t>
  </si>
  <si>
    <t>jīròu</t>
  </si>
  <si>
    <t>Phần thịt (肉) săn chắc như những thớ thịt đan xen = Cơ bắp.</t>
  </si>
  <si>
    <t>计算</t>
  </si>
  <si>
    <t>jìsuàn</t>
  </si>
  <si>
    <t>Dùng lời nói (言) để bàn bạc về các thẻ tre toán học (算) = Tính toán.</t>
  </si>
  <si>
    <t>计算机</t>
  </si>
  <si>
    <t>jìsuànjī</t>
  </si>
  <si>
    <t>Loại máy (机) dùng để tính toán (计算) = Máy tính.</t>
  </si>
  <si>
    <t>集体</t>
  </si>
  <si>
    <t>jítǐ</t>
  </si>
  <si>
    <t>Một cơ thể (体) được tập hợp (集) từ nhiều người = Tập thể.</t>
  </si>
  <si>
    <t>救</t>
  </si>
  <si>
    <t>Dùng tay tác động mạnh (攵) để giúp người thoát khỏi cầu lửa = Cứu/Giúp.</t>
  </si>
  <si>
    <t>酒吧</t>
  </si>
  <si>
    <t>jiǔbā</t>
  </si>
  <si>
    <t>Nơi bán rượu (酒) và các đồ uống tại quầy (吧) = Quán bar.</t>
  </si>
  <si>
    <t>救护车</t>
  </si>
  <si>
    <t>jiùhùchē</t>
  </si>
  <si>
    <t>Chiếc xe (车) dùng để cứu (救) và bảo hộ (护) người bệnh = Xe cấp cứu.</t>
  </si>
  <si>
    <t>就业</t>
  </si>
  <si>
    <t>jiùyè</t>
  </si>
  <si>
    <t>Đi vào (就) sự nghiệp/công việc (业) = Tìm việc/Có việc làm.</t>
  </si>
  <si>
    <t>久远</t>
  </si>
  <si>
    <t>jiǔyuǎn</t>
  </si>
  <si>
    <t>Lâu (久) và xa (远) = Lâu đời/Xa xưa.</t>
  </si>
  <si>
    <t>急需</t>
  </si>
  <si>
    <t>jíxū</t>
  </si>
  <si>
    <t>Đang vội vã (急) và rất cần (需) = Cần gấp.</t>
  </si>
  <si>
    <t>记忆</t>
  </si>
  <si>
    <t>jìyì</t>
  </si>
  <si>
    <t>Ghi chép (记) vào tâm ý (忆) = Ký ức/Ghi nhớ.</t>
  </si>
  <si>
    <t>记载</t>
  </si>
  <si>
    <t>jìzǎi</t>
  </si>
  <si>
    <t>Ghi chép (记) và đăng tải/chở đi (载) thông tin = Ghi chép lại.</t>
  </si>
  <si>
    <t>急诊</t>
  </si>
  <si>
    <t>jízhěn</t>
  </si>
  <si>
    <t>Khám bệnh (诊) trong tình trạng khẩn cấp (急) = Cấp cứu (y tế).</t>
  </si>
  <si>
    <t>集中</t>
  </si>
  <si>
    <t>jízhōng</t>
  </si>
  <si>
    <t>Tập hợp (集) lại vào một điểm ở giữa (中) = Tập trung.</t>
  </si>
  <si>
    <t>据</t>
  </si>
  <si>
    <t>Dùng tay (扌) nắm bắt những chứng cứ cổ (居) = Căn cứ vào.</t>
  </si>
  <si>
    <t>距</t>
  </si>
  <si>
    <t>Khoảng cách được đo bằng bước chân (足) = Cách/Khoảng cách.</t>
  </si>
  <si>
    <t>捐</t>
  </si>
  <si>
    <t>juān</t>
  </si>
  <si>
    <t>Dùng tay (扌) đưa tiền/vật phẩm vào miệng (口) kho để giúp đỡ = Quyên góp.</t>
  </si>
  <si>
    <t>具备</t>
  </si>
  <si>
    <t>jùbèi</t>
  </si>
  <si>
    <t>Sở hữu hoàn toàn (具) và đầy đủ (备) = Có đủ/Trang bị đủ.</t>
  </si>
  <si>
    <t>剧场</t>
  </si>
  <si>
    <t>jùchǎng</t>
  </si>
  <si>
    <t>Địa điểm (场) để biểu diễn các vở kịch (剧) = Nhà hát.</t>
  </si>
  <si>
    <t>巨大</t>
  </si>
  <si>
    <t>jùdà</t>
  </si>
  <si>
    <t>To lớn (大) một cách khổng lồ (巨) = Khổng lồ/To lớn.</t>
  </si>
  <si>
    <t>绝对</t>
  </si>
  <si>
    <t>juéduì</t>
  </si>
  <si>
    <t>Sự đối lập (对) đã bị cắt đứt (绝 - bộ mịch 纟 bị đao cắt) = Tuyệt đối.</t>
  </si>
  <si>
    <t>决</t>
  </si>
  <si>
    <t>juésài</t>
  </si>
  <si>
    <t>Nước (氵) bị chặn lại tạo ra sự quyết đoán = Quyết/Nhất định.</t>
  </si>
  <si>
    <t>角色</t>
  </si>
  <si>
    <t>juésè</t>
  </si>
  <si>
    <t>Màu sắc (色) và dáng vẻ của cái sừng (角) nhân vật = Vai trò/Nhân vật.</t>
  </si>
  <si>
    <t>决心</t>
  </si>
  <si>
    <t>juéxīn</t>
  </si>
  <si>
    <t>Cái tâm (心) đã quyết định (决) = Quyết tâm.</t>
  </si>
  <si>
    <t>居民</t>
  </si>
  <si>
    <t>jūmín</t>
  </si>
  <si>
    <t>Người dân (民) cư trú (居) tại một vùng = Cư dân.</t>
  </si>
  <si>
    <t>居然</t>
  </si>
  <si>
    <t>jūrán</t>
  </si>
  <si>
    <t>Kết quả lại (然) như thế dù đang ở trạng thái thường (居) = Lại có thể/Hóa ra.</t>
  </si>
  <si>
    <t>据说</t>
  </si>
  <si>
    <t>jùshuō</t>
  </si>
  <si>
    <t>Căn cứ vào (据) lời nói (说) của người khác = Nghe nói.</t>
  </si>
  <si>
    <t>具体</t>
  </si>
  <si>
    <t>jùtǐ</t>
  </si>
  <si>
    <t>Có đầy đủ (具) hình hài cơ thể (体) = Cụ thể.</t>
  </si>
  <si>
    <t>具有</t>
  </si>
  <si>
    <t>jùyǒu</t>
  </si>
  <si>
    <t>Có (有) đầy đủ công cụ/đặc điểm (具) = Có/Sở hữu.</t>
  </si>
  <si>
    <t>居住</t>
  </si>
  <si>
    <t>jūzhù</t>
  </si>
  <si>
    <t>Ở (住) và cư trú (居) lâu dài = Cư trú/Sinh sống.</t>
  </si>
  <si>
    <t>橘子</t>
  </si>
  <si>
    <t>júzi</t>
  </si>
  <si>
    <t>Loại cây (木) cho quả màu cam có vỏ dày = Quả quýt.</t>
  </si>
  <si>
    <t>开发</t>
  </si>
  <si>
    <t>kāifā</t>
  </si>
  <si>
    <t>Mở ra (开) và phát triển (发) một thứ mới = Khai thác/Phát triển.</t>
  </si>
  <si>
    <t>开放</t>
  </si>
  <si>
    <t>kāifàng</t>
  </si>
  <si>
    <t>Mở ra (开) và buông phóng (放) tự do = Mở cửa/Cởi mở.</t>
  </si>
  <si>
    <t>开幕</t>
  </si>
  <si>
    <t>kāimù</t>
  </si>
  <si>
    <t>Mở (开) tấm màn (幕) sân khấu ra = Khai mạc/Mở màn.</t>
  </si>
  <si>
    <t>开幕式</t>
  </si>
  <si>
    <t>kāimùshì</t>
  </si>
  <si>
    <t>Nghi thức (式) mở màn (开幕) = Lễ khai mạc.</t>
  </si>
  <si>
    <t>开水</t>
  </si>
  <si>
    <t>kāishuǐ</t>
  </si>
  <si>
    <t>Nước (水) đang mở (开) tung bọt khi sôi = Nước sôi.</t>
  </si>
  <si>
    <t>开通</t>
  </si>
  <si>
    <t>kāitōng</t>
  </si>
  <si>
    <t>Mở ra (开) và khai thông (通) = Thông suốt/Mở dịch vụ.</t>
  </si>
  <si>
    <t>开业</t>
  </si>
  <si>
    <t>kāiyè</t>
  </si>
  <si>
    <t>Mở (开) sự nghiệp/công việc kinh doanh (业) = Khai trương.</t>
  </si>
  <si>
    <t>开展</t>
  </si>
  <si>
    <t>kāizhǎn</t>
  </si>
  <si>
    <t>Mở ra (开) và triển khai (展) rộng rãi = Triển khai/Tiến hành.</t>
  </si>
  <si>
    <t>kān</t>
  </si>
  <si>
    <t>Dùng tay (手) che lên mắt (目) để nhìn cho rõ = Nhìn/Xem.</t>
  </si>
  <si>
    <t>看望</t>
  </si>
  <si>
    <t>kànwàng</t>
  </si>
  <si>
    <t>Nhìn (看) và ngóng trông (望) người thân = Thăm hỏi.</t>
  </si>
  <si>
    <t>看作</t>
  </si>
  <si>
    <t>kànzuò</t>
  </si>
  <si>
    <t>Nhìn (看) một vật như là việc làm (作) khác = Coi là/Xem như là.</t>
  </si>
  <si>
    <t>靠</t>
  </si>
  <si>
    <t>kào</t>
  </si>
  <si>
    <t>Chống đối (非) lời nói trái ngược (告) để dựa vào cái gì đó = Dựa vào/Tựa vào.</t>
  </si>
  <si>
    <t>靠近</t>
  </si>
  <si>
    <t>kàojìn</t>
  </si>
  <si>
    <t>Dựa vào (靠) để tiến lại gần (近) = Tiếp cận/Lại gần.</t>
  </si>
  <si>
    <t>颗</t>
  </si>
  <si>
    <t>Những thứ nhỏ như trái cây (果) cần đếm bằng đầu (页) = Hạt/Viên (lượng từ).</t>
  </si>
  <si>
    <t>克服</t>
  </si>
  <si>
    <t>kèfú</t>
  </si>
  <si>
    <t>Khắc chế (克) để khuất phục (服) khó khăn = Khắc phục/Vượt qua.</t>
  </si>
  <si>
    <t>客服</t>
  </si>
  <si>
    <t>Phục vụ (服) khách hàng (客) = Chăm sóc khách hàng.</t>
  </si>
  <si>
    <t>客观</t>
  </si>
  <si>
    <t>kèguān</t>
  </si>
  <si>
    <t>Cái nhìn (观) của một người khách (客) đứng ngoài cuộc = Khách quan.</t>
  </si>
  <si>
    <t>客户</t>
  </si>
  <si>
    <t>kèhù</t>
  </si>
  <si>
    <t>Hộ gia đình (户) đến với tư cách khách (客) = Khách hàng.</t>
  </si>
  <si>
    <t>可见</t>
  </si>
  <si>
    <t>kějiàn</t>
  </si>
  <si>
    <t>Có thể (可) nhìn thấy (见) được = Có thể thấy/Rõ ràng là.</t>
  </si>
  <si>
    <t>可靠</t>
  </si>
  <si>
    <t>kěkào</t>
  </si>
  <si>
    <t>Có thể (可) dựa dẫm vào (靠) = Đáng tin cậy.</t>
  </si>
  <si>
    <t>可怕</t>
  </si>
  <si>
    <t>kěpà</t>
  </si>
  <si>
    <t>Có thể (可) gây ra sự sợ hãi (怕) = Đáng sợ.</t>
  </si>
  <si>
    <t>科研</t>
  </si>
  <si>
    <t>kēyán</t>
  </si>
  <si>
    <t>Nghiên cứu (研) khoa học (科) = Nghiên cứu khoa học.</t>
  </si>
  <si>
    <t>空间</t>
  </si>
  <si>
    <t>kōngjiān</t>
  </si>
  <si>
    <t>Khoảng trống (间) của một cái hang (空) = Không gian.</t>
  </si>
  <si>
    <t>控制</t>
  </si>
  <si>
    <t>kòngzhì</t>
  </si>
  <si>
    <t>Dùng tay (扌) nắm giữ và chế ngự (制) = Khống chế/Kiểm soát.</t>
  </si>
  <si>
    <t>空中</t>
  </si>
  <si>
    <t>kōngzhōng</t>
  </si>
  <si>
    <t>Ở giữa (中) khoảng không (空) = Trên không/Trên trời.</t>
  </si>
  <si>
    <t>口袋</t>
  </si>
  <si>
    <t>kǒudai</t>
  </si>
  <si>
    <t>Cái túi (袋) có cái miệng (口) để đựng đồ = Túi áo/Túi quần.</t>
  </si>
  <si>
    <t>口味</t>
  </si>
  <si>
    <t>kǒuwèi</t>
  </si>
  <si>
    <t>Hương vị (味) cảm nhận qua miệng (口) = Khẩu vị.</t>
  </si>
  <si>
    <t>库</t>
  </si>
  <si>
    <t>kù</t>
  </si>
  <si>
    <t>Nơi chứa xe (车) dưới mái che (广) = Kho/Kho tàng.</t>
  </si>
  <si>
    <t>宽</t>
  </si>
  <si>
    <t>kuān</t>
  </si>
  <si>
    <t>形、名、（动）</t>
  </si>
  <si>
    <t>Ngôi nhà (宀) rộng đến mức thảo cỏ (艹) mọc đầy và nhìn thấy dê (见) = Rộng.</t>
  </si>
  <si>
    <t>宽度</t>
  </si>
  <si>
    <t>kuāndù</t>
  </si>
  <si>
    <t>Mức độ (度) rộng (宽) = Chiều rộng.</t>
  </si>
  <si>
    <t>亏</t>
  </si>
  <si>
    <t>kuī</t>
  </si>
  <si>
    <t>Miếng ăn đến miệng nhưng bị vạch gạch đi = Lỗ/Thiệt thòi.</t>
  </si>
  <si>
    <t>昆虫</t>
  </si>
  <si>
    <t>kūnchóng</t>
  </si>
  <si>
    <t>Loài sâu bọ (虫) xuất hiện dưới ánh mặt trời (日) = Côn trùng.</t>
  </si>
  <si>
    <t>扩大</t>
  </si>
  <si>
    <t>kuòdà</t>
  </si>
  <si>
    <t>Dùng tay (扌) làm cho rộng (广) và to (大) ra = Mở rộng.</t>
  </si>
  <si>
    <t>来源</t>
  </si>
  <si>
    <t>láiyuán</t>
  </si>
  <si>
    <t>Nguồn (源) gốc đi đến (来) = Nguồn gốc/Nguồn tự.</t>
  </si>
  <si>
    <t>老百姓</t>
  </si>
  <si>
    <t>lǎobǎixìng</t>
  </si>
  <si>
    <t>Những người mang trăm (百) họ (姓) lâu đời = Thường dân/Dân đen.</t>
  </si>
  <si>
    <t>老板</t>
  </si>
  <si>
    <t>lǎobǎn</t>
  </si>
  <si>
    <t>Người ngồi trên tấm ván gỗ (板) lâu đời để chỉ huy = Ông chủ.</t>
  </si>
  <si>
    <t>劳动</t>
  </si>
  <si>
    <t>láodòng</t>
  </si>
  <si>
    <t>Dùng sức lực (力) làm việc đến mức đổ mồ hôi (劳) = Lao động.</t>
  </si>
  <si>
    <t>老公</t>
  </si>
  <si>
    <t>lǎogōng</t>
  </si>
  <si>
    <t>Người đàn ông (公) chung sống lâu dài = Chồng.</t>
  </si>
  <si>
    <t>姥姥</t>
  </si>
  <si>
    <t>lǎolao</t>
  </si>
  <si>
    <t>Người phụ nữ (女) của mẹ mình = Bà ngoại.</t>
  </si>
  <si>
    <t>老婆</t>
  </si>
  <si>
    <t>lǎopo</t>
  </si>
  <si>
    <t>Người đàn bà (婆) sống cùng đến già = Vợ.</t>
  </si>
  <si>
    <t>姥爷</t>
  </si>
  <si>
    <t>lǎoye</t>
  </si>
  <si>
    <t>Người ông (爷) của mình phía nhà ngoại = Ông ngoại.</t>
  </si>
  <si>
    <t>乐观</t>
  </si>
  <si>
    <t>lèguān</t>
  </si>
  <si>
    <t>Cái nhìn (观) vui vẻ (乐) về cuộc sống = Lạc quan.</t>
  </si>
  <si>
    <t>泪</t>
  </si>
  <si>
    <t>Nước (氵) chảy ra từ mắt (目) = Nước mắt.</t>
  </si>
  <si>
    <t>类</t>
  </si>
  <si>
    <t>Các loại gạo (米) lớn (大) nhỏ khác nhau = Loại/Chủng loại.</t>
  </si>
  <si>
    <t>泪水</t>
  </si>
  <si>
    <t>lèishuǐ</t>
  </si>
  <si>
    <t>Nước (水) mắt (泪).</t>
  </si>
  <si>
    <t>类似</t>
  </si>
  <si>
    <t>lèisì</t>
  </si>
  <si>
    <t>Có chủng loại (类) giống nhau (似) = Tương tự.</t>
  </si>
  <si>
    <t>类型</t>
  </si>
  <si>
    <t>lèixíng</t>
  </si>
  <si>
    <t>Khuôn mẫu (型) của chủng loại (类) = Kiểu/Loại hình.</t>
  </si>
  <si>
    <t>乐趣</t>
  </si>
  <si>
    <t>lèqù</t>
  </si>
  <si>
    <t>Sự vui vẻ (乐) và hứng thú (趣) = Niềm vui thú.</t>
  </si>
  <si>
    <t>梨</t>
  </si>
  <si>
    <t>Loại quả có lợi (利) mọc trên cây (木) = Quả lê.</t>
  </si>
  <si>
    <t>力</t>
  </si>
  <si>
    <t>lì</t>
  </si>
  <si>
    <t>Hình ảnh cái cày dùng sức để làm đất = Sức lực/Lực.</t>
  </si>
  <si>
    <t>恋爱</t>
  </si>
  <si>
    <t>liàn'ài</t>
  </si>
  <si>
    <t>Tình yêu (爱) gắn kết như sợi tơ (liàn) = Yêu đương.</t>
  </si>
  <si>
    <t>Đếm số lượng ánh sáng mặt trời (日) chiếu trên đồng ruộng (里) = Số lượng/Đo lường.</t>
  </si>
  <si>
    <t>良好</t>
  </si>
  <si>
    <t>liánghǎo</t>
  </si>
  <si>
    <t>Tốt lành (良) và tốt đẹp (好) = Tốt/Giỏi.</t>
  </si>
  <si>
    <t>粮食</t>
  </si>
  <si>
    <t>liángshi</t>
  </si>
  <si>
    <t>Đồ ăn (食) làm từ hạt gạo tốt (良) = Lương thực.</t>
  </si>
  <si>
    <t>联合</t>
  </si>
  <si>
    <t>liánhé</t>
  </si>
  <si>
    <t>Kết nối (连) và hợp (合) lại làm một = Liên hiệp/Liên kết.</t>
  </si>
  <si>
    <t>连接</t>
  </si>
  <si>
    <t>liánjiē</t>
  </si>
  <si>
    <t>Tiếp nối (接) và liên kết (连) với nhau = Kết nối.</t>
  </si>
  <si>
    <t>连忙</t>
  </si>
  <si>
    <t>liánmáng</t>
  </si>
  <si>
    <t>Liên tục (连) và vội vàng (忙) = Vội vàng/Ngay lập tức.</t>
  </si>
  <si>
    <t>脸色</t>
  </si>
  <si>
    <t>liǎnsè</t>
  </si>
  <si>
    <t>Màu sắc (色) hiện trên khuôn mặt (脸) = Sắc mặt.</t>
  </si>
  <si>
    <t>连续</t>
  </si>
  <si>
    <t>liánxù</t>
  </si>
  <si>
    <t>Liên tục (连) và nối tiếp (续 - có bộ mịch 纟 nối tơ) = Liên tiếp.</t>
  </si>
  <si>
    <t>了不起</t>
  </si>
  <si>
    <t>liǎobuqǐ</t>
  </si>
  <si>
    <t>Không thể kết thúc (了) mà cứ trỗi dậy (起) = Phi thường/Giỏi lắm.</t>
  </si>
  <si>
    <t>列车</t>
  </si>
  <si>
    <t>lièchē</t>
  </si>
  <si>
    <t>Những chiếc xe (车) xếp thành hàng lối (列) = Tàu hỏa.</t>
  </si>
  <si>
    <t>离婚</t>
  </si>
  <si>
    <t>líhūn</t>
  </si>
  <si>
    <t>Rời xa (离) cuộc hôn nhân (婚) = Ly hôn.</t>
  </si>
  <si>
    <t>立即</t>
  </si>
  <si>
    <t>lìjí</t>
  </si>
  <si>
    <t>Ngay tại (即) sức lực (力) này = Ngay lập tức.</t>
  </si>
  <si>
    <t>立刻</t>
  </si>
  <si>
    <t>lìkè</t>
  </si>
  <si>
    <t>Khắc (刻) ngay sức lực (力) này = Ngay tức khắc.</t>
  </si>
  <si>
    <t>力量</t>
  </si>
  <si>
    <t>lìliàng</t>
  </si>
  <si>
    <t>Mức độ (量) của sức lực (力) = Sức mạnh.</t>
  </si>
  <si>
    <t>理论</t>
  </si>
  <si>
    <t>lǐlùn</t>
  </si>
  <si>
    <t>Dùng lời nói (论) để giảng giải đạo lý (理) = Lý luận.</t>
  </si>
  <si>
    <t>厘米</t>
  </si>
  <si>
    <t>límǐ</t>
  </si>
  <si>
    <t>Đơn vị đo nhỏ bằng hạt gạo (米) trong dặm đường (里) = Centimet.</t>
  </si>
  <si>
    <t>铃</t>
  </si>
  <si>
    <t>Vật bằng kim loại (钅) phát ra âm thanh lanh lảnh (令) = Cái chuông.</t>
  </si>
  <si>
    <t>令</t>
  </si>
  <si>
    <t>Người ngồi trên cao ra lệnh cho cấp dưới = Mệnh lệnh/Khiến cho.</t>
  </si>
  <si>
    <t>领</t>
  </si>
  <si>
    <t>lǐng</t>
  </si>
  <si>
    <t>Phần quan trọng nhất trên cơ thể là cái cổ/đầu (页) = Lĩnh vực/Cổ áo/Dẫn dắt.</t>
  </si>
  <si>
    <t>领带</t>
  </si>
  <si>
    <t>lǐngdài</t>
  </si>
  <si>
    <t>Cái dây (带) thắt quanh cổ áo (领) = Cà vạt.</t>
  </si>
  <si>
    <t>领导</t>
  </si>
  <si>
    <t>lǐngdǎo</t>
  </si>
  <si>
    <t>Người dẫn dắt (导) và đứng đầu (领) = Lãnh đạo.</t>
  </si>
  <si>
    <t>灵活</t>
  </si>
  <si>
    <t>línghuó</t>
  </si>
  <si>
    <t>Sống (活) một cách linh diệu (灵 - có bộ hỏa 火 và tâm) = Linh hoạt.</t>
  </si>
  <si>
    <t>领取</t>
  </si>
  <si>
    <t>lǐngqǔ</t>
  </si>
  <si>
    <t>Nhận (取) đồ về phần mình (领) = Nhận/Lấy (tiền, đồ).</t>
  </si>
  <si>
    <t>领先</t>
  </si>
  <si>
    <t>lǐngxiān</t>
  </si>
  <si>
    <t>Đi trước (先) để dẫn đầu (领) = Dẫn đầu/Vượt trước.</t>
  </si>
  <si>
    <t>领域</t>
  </si>
  <si>
    <t>lǐngyù</t>
  </si>
  <si>
    <t>Vùng đất (域) thuộc phạm vi dẫn dắt (领) = Lĩnh vực.</t>
  </si>
  <si>
    <t>临时</t>
  </si>
  <si>
    <t>línshí</t>
  </si>
  <si>
    <t>Đến sát (临) giờ (时) mới làm = Tạm thời.</t>
  </si>
  <si>
    <t>利润</t>
  </si>
  <si>
    <t>lìrùn</t>
  </si>
  <si>
    <t>Cái lợi (利) nhuận tràng, trôi chảy như nước (润) = Lợi nhuận.</t>
  </si>
  <si>
    <t>里头</t>
  </si>
  <si>
    <t>lǐtou</t>
  </si>
  <si>
    <t>Cái đầu (头) nằm ở bên trong (里) = Bên trong.</t>
  </si>
  <si>
    <t>流传</t>
  </si>
  <si>
    <t>liúchuán</t>
  </si>
  <si>
    <t>Chảy đi (流) và truyền lại (传) = Lưu truyền.</t>
  </si>
  <si>
    <t>流感</t>
  </si>
  <si>
    <t>liúgǎn</t>
  </si>
  <si>
    <t>Cảm cúm (感) lây lan nhanh như dòng chảy (流) = Cúm mùa.</t>
  </si>
  <si>
    <t>浏览</t>
  </si>
  <si>
    <t>liúlǎn</t>
  </si>
  <si>
    <t>Nhìn (览) lướt qua như dòng nước chảy (流) = Xem lướt qua.</t>
  </si>
  <si>
    <t>留言</t>
  </si>
  <si>
    <t>liúyán</t>
  </si>
  <si>
    <t>Để lại (留) lời nói (言) = Lời nhắn.</t>
  </si>
  <si>
    <t>利益</t>
  </si>
  <si>
    <t>lìyì</t>
  </si>
  <si>
    <t>Có lợi (利) và ích lợi (益 - hình cái bát đầy tràn) = Lợi ích.</t>
  </si>
  <si>
    <t>利用</t>
  </si>
  <si>
    <t>lìyòng</t>
  </si>
  <si>
    <t>Sử dụng (用) cái có lợi (利) = Tận dụng/Lợi dụng.</t>
  </si>
  <si>
    <t>理由</t>
  </si>
  <si>
    <t>lǐyóu</t>
  </si>
  <si>
    <t>Cái lý lẽ (理) do đâu (由) mà có = Lý do.</t>
  </si>
  <si>
    <t>离职</t>
  </si>
  <si>
    <t>lízhí</t>
  </si>
  <si>
    <t>Rời khỏi (离) chức vụ (职) = Nghỉ việc.</t>
  </si>
  <si>
    <t>龙</t>
  </si>
  <si>
    <t>lóng</t>
  </si>
  <si>
    <t>Hình ảnh con rồng đang uốn lượn = Con rồng.</t>
  </si>
  <si>
    <t>漏</t>
  </si>
  <si>
    <t>lòu</t>
  </si>
  <si>
    <t>Nước (氵) bị rơi vãi qua khe hở của ngôi nhà (屋) = Rò rỉ/Bỏ sót.</t>
  </si>
  <si>
    <t>录</t>
  </si>
  <si>
    <t>Hình ảnh dòng nước chảy trên gỗ để khắc ghi = Ghi chép/Sao lục.</t>
  </si>
  <si>
    <t>陆地</t>
  </si>
  <si>
    <t>lùdì</t>
  </si>
  <si>
    <t>Vùng đất (地) khô ráo trên đồi cao (陆) = Đất liền.</t>
  </si>
  <si>
    <t>论文</t>
  </si>
  <si>
    <t>lùnwén</t>
  </si>
  <si>
    <t>Bài văn (文) dùng để thảo luận/tranh luận (论) = Luận văn.</t>
  </si>
  <si>
    <t>逻辑</t>
  </si>
  <si>
    <t>luójí</t>
  </si>
  <si>
    <t>Thu gom (辑) các sợi tơ (luó) tư duy lại = Logic.</t>
  </si>
  <si>
    <t>录取</t>
  </si>
  <si>
    <t>lùqǔ</t>
  </si>
  <si>
    <t>Nhận (取) vào danh sách đã ghi chép (录) = Trúng tuyển.</t>
  </si>
  <si>
    <t>路人</t>
  </si>
  <si>
    <t>lùrén</t>
  </si>
  <si>
    <t>Con người (人) đi trên đường (路) = Người qua đường.</t>
  </si>
  <si>
    <t>路线</t>
  </si>
  <si>
    <t>lùxiàn</t>
  </si>
  <si>
    <t>Sợi dây (线) kết nối con đường (路) = Lộ trình/Tuyến đường.</t>
  </si>
  <si>
    <t>旅行社</t>
  </si>
  <si>
    <t>lǚxíngshè</t>
  </si>
  <si>
    <t>Tổ chức (社) thực hiện việc đi chơi (旅行) = Công ty du lịch.</t>
  </si>
  <si>
    <t>陆续</t>
  </si>
  <si>
    <t>lùxù</t>
  </si>
  <si>
    <t>Nối tiếp nhau (续) bước đi trên con đường (路) = Lần lượt/Liên tiếp.</t>
  </si>
  <si>
    <t>录音</t>
  </si>
  <si>
    <t>lùyīn</t>
  </si>
  <si>
    <t>Ghi lại (录) âm thanh (音) = Ghi âm.</t>
  </si>
  <si>
    <t>骂</t>
  </si>
  <si>
    <t>mà</t>
  </si>
  <si>
    <t>Hai cái miệng (口) mắng một con ngựa (马) = Chửi/Mắng.</t>
  </si>
  <si>
    <t>买卖</t>
  </si>
  <si>
    <t>mǎimai</t>
  </si>
  <si>
    <t>Mua vào (买) rồi bán ra (卖 - có chữ thập 十 ở trên) = Mua bán/Kinh doanh.</t>
  </si>
  <si>
    <t>忙碌</t>
  </si>
  <si>
    <t>mánglù</t>
  </si>
  <si>
    <t>Bận rộn (忙) đến mức chân tay phải ghi chép (碌) liên tục = Bận rộn.</t>
  </si>
  <si>
    <t>满足</t>
  </si>
  <si>
    <t>mǎnzú</t>
  </si>
  <si>
    <t>Tràn đầy (满) đến tận chân (足) = Thỏa mãn.</t>
  </si>
  <si>
    <t>毛笔</t>
  </si>
  <si>
    <t>máobǐ</t>
  </si>
  <si>
    <t>Cái bút (笔) làm từ lông (毛) động vật = Bút lông.</t>
  </si>
  <si>
    <t>毛病</t>
  </si>
  <si>
    <t>máobìng</t>
  </si>
  <si>
    <t>Cái bệnh (病) nhỏ như sợi lông (毛) nhưng khó chịu = Nhược điểm/Lỗi.</t>
  </si>
  <si>
    <t>矛盾</t>
  </si>
  <si>
    <t>máodùn</t>
  </si>
  <si>
    <t>Cái giáo (矛) đâm vào cái khiên (盾) = Mâu thuẫn.</t>
  </si>
  <si>
    <t>没法儿</t>
  </si>
  <si>
    <t>méifǎr</t>
  </si>
  <si>
    <t>Không có (没) cách thức (法) nào cả = Không còn cách nào.</t>
  </si>
  <si>
    <t>玫瑰</t>
  </si>
  <si>
    <t>méigui</t>
  </si>
  <si>
    <t>Loại ngọc quý (王) đẹp như hoa hồng = Hoa hồng.</t>
  </si>
  <si>
    <t>魅力</t>
  </si>
  <si>
    <t>mèilì</t>
  </si>
  <si>
    <t>Sức mạnh (力) của sự mê hoặc (魅) = Sức quyến rũ.</t>
  </si>
  <si>
    <t>美术</t>
  </si>
  <si>
    <t>měishù</t>
  </si>
  <si>
    <t>Nghệ thuật (术) tạo ra cái đẹp (美) = Mỹ thuật.</t>
  </si>
  <si>
    <t>媒体</t>
  </si>
  <si>
    <t>méitǐ</t>
  </si>
  <si>
    <t>Một vật thể (体) làm môi giới (媒) thông tin = Phương tiện truyền thông.</t>
  </si>
  <si>
    <t>美味</t>
  </si>
  <si>
    <t>měiwèi</t>
  </si>
  <si>
    <t>Hương vị (味) tuyệt đẹp (美) = Món ngon/Vị ngon.</t>
  </si>
  <si>
    <t>门诊</t>
  </si>
  <si>
    <t>ménzhěn</t>
  </si>
  <si>
    <t>Đến cửa (门) để khám bệnh (诊) = Khám bệnh (ngoại trú).</t>
  </si>
  <si>
    <t>迷</t>
  </si>
  <si>
    <t>mí</t>
  </si>
  <si>
    <t>Bước đi (辶) trong đống gạo (米) dễ bị lạc = Mê lạc/Người hâm mộ.</t>
  </si>
  <si>
    <t>面2</t>
  </si>
  <si>
    <t>Hình ảnh cái mặt hoặc sợi mì = Mặt/Bề mặt/Mì.</t>
  </si>
  <si>
    <t>面积</t>
  </si>
  <si>
    <t>miànjī</t>
  </si>
  <si>
    <t>Tích tụ (积) các bề mặt (面) lại = Diện tích.</t>
  </si>
  <si>
    <t>面临</t>
  </si>
  <si>
    <t>miànlín</t>
  </si>
  <si>
    <t>Đối mặt (面) khi tiến sát đến (临) = Đối mặt/Đương đầu.</t>
  </si>
  <si>
    <t>面向</t>
  </si>
  <si>
    <t>miànxiàng</t>
  </si>
  <si>
    <t>Quay mặt (面) hướng về (向) = Hướng tới.</t>
  </si>
  <si>
    <t>描述</t>
  </si>
  <si>
    <t>miáoshù</t>
  </si>
  <si>
    <t>Dùng tay (扌) vẽ lại và thuật lại (述) = Miêu tả.</t>
  </si>
  <si>
    <t>迷路</t>
  </si>
  <si>
    <t>mílù</t>
  </si>
  <si>
    <t>Bị lạc (迷) trên đường đi (路) = Lạc đường.</t>
  </si>
  <si>
    <t>秘密</t>
  </si>
  <si>
    <t>mìmì</t>
  </si>
  <si>
    <t>Phải giữ kín như hạt lúa trong núi (密) và sợi tơ nhỏ (秘) = Bí mật.</t>
  </si>
  <si>
    <t>命1</t>
  </si>
  <si>
    <t>mìng</t>
  </si>
  <si>
    <t>Mệnh lệnh từ miệng (口) của người đội mũ quan (人) = Tính mạng/Số mệnh.</t>
  </si>
  <si>
    <t>敏感</t>
  </si>
  <si>
    <t>mǐngǎn</t>
  </si>
  <si>
    <t>Cảm giác (感) nhanh nhẹn (敏) = Nhạy cảm.</t>
  </si>
  <si>
    <t>名称</t>
  </si>
  <si>
    <t>míngchēng</t>
  </si>
  <si>
    <t>Tên gọi (名) và xưng hô (称) = Tên gọi.</t>
  </si>
  <si>
    <t>名牌</t>
  </si>
  <si>
    <t>míngpái</t>
  </si>
  <si>
    <t>Cái bảng (牌) có ghi tên tuổi (名) lớn = Nhãn hiệu nổi tiếng.</t>
  </si>
  <si>
    <t>名片</t>
  </si>
  <si>
    <t>míngpiàn</t>
  </si>
  <si>
    <t>Tấm thẻ (片) có ghi tên (名) = Danh thiếp.</t>
  </si>
  <si>
    <t>明确</t>
  </si>
  <si>
    <t>míngquè</t>
  </si>
  <si>
    <t>Sáng sủa (明) và chắc chắn như đá (确) = Rõ ràng/Xác định.</t>
  </si>
  <si>
    <t>明显</t>
  </si>
  <si>
    <t>míngxiǎn</t>
  </si>
  <si>
    <t>Sáng sủa (明) và hiện rõ dưới mặt trời (显) = Rõ ràng/Hiển nhiên.</t>
  </si>
  <si>
    <t>明星</t>
  </si>
  <si>
    <t>míngxīng</t>
  </si>
  <si>
    <t>Ngôi sao (星) sáng chói (明) = Ngôi sao (người nổi tiếng).</t>
  </si>
  <si>
    <t>命运</t>
  </si>
  <si>
    <t>mìngyùn</t>
  </si>
  <si>
    <t>Sự vận hành (运) của số mệnh (命) = Vận mệnh.</t>
  </si>
  <si>
    <t>密切</t>
  </si>
  <si>
    <t>mìqiè</t>
  </si>
  <si>
    <t>Thắt chặt (切) như những sợi tơ (密) = Mật thiết.</t>
  </si>
  <si>
    <t>秘书</t>
  </si>
  <si>
    <t>mìshū</t>
  </si>
  <si>
    <t>Người giữ những cuốn sách (书) bí mật (秘) = Thư ký.</t>
  </si>
  <si>
    <t>摸</t>
  </si>
  <si>
    <t>mō</t>
  </si>
  <si>
    <t>Dùng tay (扌) chạm vào vật trong bóng tối (莫) = Sờ/Chạm.</t>
  </si>
  <si>
    <t>模糊</t>
  </si>
  <si>
    <t>móhu</t>
  </si>
  <si>
    <t>Mờ ảo như bụi bặm (mo) và dán hồ (hu) = Mơ hồ/Mờ nhạt.</t>
  </si>
  <si>
    <t>陌生</t>
  </si>
  <si>
    <t>mòshēng</t>
  </si>
  <si>
    <t>Sự sống (生) ở vùng đất lạ, xa xôi (陌) = Xa lạ.</t>
  </si>
  <si>
    <t>模式</t>
  </si>
  <si>
    <t>móshì</t>
  </si>
  <si>
    <t>Hình thức (式) theo khuôn mẫu bằng gỗ (模) = Mô thức/Kiểu mẫu.</t>
  </si>
  <si>
    <t>某</t>
  </si>
  <si>
    <t>mǒu</t>
  </si>
  <si>
    <t>Có cái gì đó ngọt (甘) ở trên cây (木) nhưng không nói rõ = Nào đó (ai đó).</t>
  </si>
  <si>
    <t>目光</t>
  </si>
  <si>
    <t>mùguāng</t>
  </si>
  <si>
    <t>Ánh sáng (光) từ đôi mắt (目) = Ánh mắt.</t>
  </si>
  <si>
    <t>木头</t>
  </si>
  <si>
    <t>mùtou</t>
  </si>
  <si>
    <t>Cái đầu (头) của khúc gỗ (木) = Gỗ/Khúc gỗ.</t>
  </si>
  <si>
    <t>难得</t>
  </si>
  <si>
    <t>nándé</t>
  </si>
  <si>
    <t>Khó (难) mà đạt được (得) = Hiếm có/Khó có được.</t>
  </si>
  <si>
    <t>难度</t>
  </si>
  <si>
    <t>nándù</t>
  </si>
  <si>
    <t>Mức độ (度) khó khăn (难) = Độ khó.</t>
  </si>
  <si>
    <t>难以</t>
  </si>
  <si>
    <t>nányǐ</t>
  </si>
  <si>
    <t>Khó (难) lấy đó làm (以) cơ sở = Khó mà....</t>
  </si>
  <si>
    <t>男子</t>
  </si>
  <si>
    <t>nánzǐ</t>
  </si>
  <si>
    <t>Người đàn ông (男) và đứa con (子) = Nam giới.</t>
  </si>
  <si>
    <t>闹</t>
  </si>
  <si>
    <t>nào</t>
  </si>
  <si>
    <t>Cái chợ (市) đặt trong cửa (门) thì rất ồn = Ồn ào/Làm loạn.</t>
  </si>
  <si>
    <t>闹钟</t>
  </si>
  <si>
    <t>nàozhōng</t>
  </si>
  <si>
    <t>Cái chuông (钟) làm ồn (闹) để báo thức = Đồng hồ báo thức.</t>
  </si>
  <si>
    <t>哪怕</t>
  </si>
  <si>
    <t>nǎpà</t>
  </si>
  <si>
    <t>Có gì mà phải sợ (怕) đâu (哪) = Cho dù/Kể cả.</t>
  </si>
  <si>
    <t>内部</t>
  </si>
  <si>
    <t>nèibù</t>
  </si>
  <si>
    <t>Bộ phận (部) nằm ở bên trong (内) = Nội bộ.</t>
  </si>
  <si>
    <t>能干</t>
  </si>
  <si>
    <t>nénggàn</t>
  </si>
  <si>
    <t>Có năng lực (能) để làm việc (干) = Tài giỏi/Được việc.</t>
  </si>
  <si>
    <t>念</t>
  </si>
  <si>
    <t>niàn</t>
  </si>
  <si>
    <t>Ý nghĩ hiện tại (今) trong lòng (心) = Đọc/Nhớ/Nghĩ.</t>
  </si>
  <si>
    <t>年初</t>
  </si>
  <si>
    <t>niánchū</t>
  </si>
  <si>
    <t>Thời điểm ban đầu (初) của năm (年) = Đầu năm.</t>
  </si>
  <si>
    <t>年代</t>
  </si>
  <si>
    <t>niándài</t>
  </si>
  <si>
    <t>Thời đại (代) của những năm (年) đó = Thập kỷ/Thời đại.</t>
  </si>
  <si>
    <t>年纪</t>
  </si>
  <si>
    <t>niánjì</t>
  </si>
  <si>
    <t>Số năm (年) đã thắt nút lại bằng sợi tơ (纪) = Tuổi tác.</t>
  </si>
  <si>
    <t>年夜饭</t>
  </si>
  <si>
    <t>niányèfàn</t>
  </si>
  <si>
    <t>Bữa cơm (饭) vào đêm (夜) cuối năm (年) = Cơm tất niên.</t>
  </si>
  <si>
    <t>牛仔裤</t>
  </si>
  <si>
    <t>niúzǎikù</t>
  </si>
  <si>
    <t>Cái quần (裤) của những anh chàng chăn bò (牛仔) = Quần jean.</t>
  </si>
  <si>
    <t>浓</t>
  </si>
  <si>
    <t>nóng</t>
  </si>
  <si>
    <t>Nước (氵) chảy trong nông trường (农) thường đặc phù sa = Đậm/Đặc.</t>
  </si>
  <si>
    <t>农民</t>
  </si>
  <si>
    <t>nóngmín</t>
  </si>
  <si>
    <t>Người dân (民) làm nghề nông (农) = Nông dân.</t>
  </si>
  <si>
    <t>农业</t>
  </si>
  <si>
    <t>nóngyè</t>
  </si>
  <si>
    <t>Ngành nghề/Sự nghiệp (业) làm nông (农) = Nông nghiệp.</t>
  </si>
  <si>
    <t>女子</t>
  </si>
  <si>
    <t>nǚzǐ</t>
  </si>
  <si>
    <t>Người phụ nữ (女) và đứa con (子) nói chung = Nữ giới.</t>
  </si>
  <si>
    <t>哦</t>
  </si>
  <si>
    <t>ò</t>
  </si>
  <si>
    <t>Cái miệng (口) thốt lên khi hiểu ra vấn đề = À/Thế à.</t>
  </si>
  <si>
    <t>偶然</t>
  </si>
  <si>
    <t>ǒurán</t>
  </si>
  <si>
    <t>Một người (亻) gặp tình huống đột ngột (禺) một cách tự nhiên (然) = Ngẫu nhiên.</t>
  </si>
  <si>
    <t>欧洲</t>
  </si>
  <si>
    <t>Ōuzhōu</t>
  </si>
  <si>
    <t>Vùng đất/Châu lục (洲) mang tên Âu (欧) = Châu Âu.</t>
  </si>
  <si>
    <t>派</t>
  </si>
  <si>
    <t>pài</t>
  </si>
  <si>
    <t>Dòng nước (氵) chia ra nhiều nhánh nhỏ = Phái/Cử đi/Nhánh.</t>
  </si>
  <si>
    <t>派出所</t>
  </si>
  <si>
    <t>pàichūsuǒ</t>
  </si>
  <si>
    <t>Nơi (所) cử người (派) đi ra (出) để làm nhiệm vụ = Đồn cảnh sát.</t>
  </si>
  <si>
    <t>排列</t>
  </si>
  <si>
    <t>páiliè</t>
  </si>
  <si>
    <t>Sắp xếp theo hàng lối (列) và hàng ngang (排) = Sắp xếp/An bài.</t>
  </si>
  <si>
    <t>拍摄</t>
  </si>
  <si>
    <t>pāishè</t>
  </si>
  <si>
    <t>Dùng tay (扌) tác động để thu hình (摄) = Chụp ảnh/Quay phim.</t>
  </si>
  <si>
    <t>跑道</t>
  </si>
  <si>
    <t>pǎodào</t>
  </si>
  <si>
    <t>Con đường (道) dùng để chạy (跑) = Đường chạy/Đường băng.</t>
  </si>
  <si>
    <t>赔</t>
  </si>
  <si>
    <t>Dùng tiền bạc (贝) để bù đắp cho cái lỗ hổng (咅) = Bồi thường/Thua lỗ.</t>
  </si>
  <si>
    <t>配</t>
  </si>
  <si>
    <t>pèi</t>
  </si>
  <si>
    <t>Rượu trong bình (酉) phải đi kèm với kỷ niệm (己) mới hợp = Phối hợp/Xứng đáng.</t>
  </si>
  <si>
    <t>陪伴</t>
  </si>
  <si>
    <t>péibàn</t>
  </si>
  <si>
    <t>Ở bên cạnh làm bạn (伴) và cùng đứng dậy (陪) = Đồng hành/Ở bên.</t>
  </si>
  <si>
    <t>配合</t>
  </si>
  <si>
    <t>pèihé</t>
  </si>
  <si>
    <t>Phối hợp (配) và hợp nhất (合) hành động = Phối hợp.</t>
  </si>
  <si>
    <t>配送</t>
  </si>
  <si>
    <t>pèisòng</t>
  </si>
  <si>
    <t>Phối hợp (配) để đưa hàng đi (送) = Giao hàng/Phân phối.</t>
  </si>
  <si>
    <t>培训</t>
  </si>
  <si>
    <t>péixùn</t>
  </si>
  <si>
    <t>Vun đắp (培) bằng những lời chỉ dạy (训 - có bộ ngôn 讠) = Đào tạo/Tập huấn.</t>
  </si>
  <si>
    <t>培养</t>
  </si>
  <si>
    <t>péiyǎng</t>
  </si>
  <si>
    <t>Vun đắp (培) và nuôi dưỡng (养) = Nuôi dưỡng/Bồi dưỡng.</t>
  </si>
  <si>
    <t>盆</t>
  </si>
  <si>
    <t>pén</t>
  </si>
  <si>
    <t>Cái bát (皿) chia (分) ra để đựng đồ = Cái chậu/Bồn.</t>
  </si>
  <si>
    <t>碰</t>
  </si>
  <si>
    <t>pèng</t>
  </si>
  <si>
    <t>Viên đá (石) va chạm vào nhau tạo ra tiếng kêu (并) = Va chạm/Đụng.</t>
  </si>
  <si>
    <t>碰见</t>
  </si>
  <si>
    <t>pèngjiàn</t>
  </si>
  <si>
    <t>Vô tình va chạm (碰) và nhìn thấy (见) = Tình cờ gặp.</t>
  </si>
  <si>
    <t>匹</t>
  </si>
  <si>
    <t>pǐ</t>
  </si>
  <si>
    <t>Hình ảnh tấm vải cuộn lại hoặc con ngựa đứng trong chuồng = Con (ngựa)/Tấm (vải).</t>
  </si>
  <si>
    <t>批1</t>
  </si>
  <si>
    <t>pī</t>
  </si>
  <si>
    <t>Dùng tay (扌) cầm xấp giấy so sánh (比) để phê duyệt = Phê duyệt/Sấp.</t>
  </si>
  <si>
    <t>批2</t>
  </si>
  <si>
    <t>Số lượng nhiều cùng một loại = Lô/Đợt.</t>
  </si>
  <si>
    <t>骗</t>
  </si>
  <si>
    <t>Con ngựa (马) bị lừa bởi tấm biển gỗ (扁) = Lừa đảo.</t>
  </si>
  <si>
    <t>品</t>
  </si>
  <si>
    <t>pǐn</t>
  </si>
  <si>
    <t>Ba cái miệng (口) cùng nếm thử thì mới biết chất lượng = Vật phẩm/Phẩm chất.</t>
  </si>
  <si>
    <t>拼</t>
  </si>
  <si>
    <t>pīn</t>
  </si>
  <si>
    <t>Dùng tay (扌) ghép các mảnh lại với nhau một cách liều mình (并) = Ghép/Nối/Liều.</t>
  </si>
  <si>
    <t>平</t>
  </si>
  <si>
    <t>píng</t>
  </si>
  <si>
    <t>Hình ảnh cái cân thăng bằng = Bằng phẳng/Bình thường.</t>
  </si>
  <si>
    <t>评</t>
  </si>
  <si>
    <t>Dùng lời nói (讠) để phân xử sự bằng phẳng (平) = Đánh giá/Bình luận.</t>
  </si>
  <si>
    <t>凭</t>
  </si>
  <si>
    <t>Dựa vào sức nặng của tảng đá (几 + 土) để giữ tâm bằng phẳng = Dựa vào/Căn cứ.</t>
  </si>
  <si>
    <t>平安</t>
  </si>
  <si>
    <t>píng'ān</t>
  </si>
  <si>
    <t>Bình lặng (平) và yên ổn (安) = Bình an.</t>
  </si>
  <si>
    <t>平衡</t>
  </si>
  <si>
    <t>pínghéng</t>
  </si>
  <si>
    <t>Bằng phẳng (平) và giữ vững cân bằng (衡) = Cân bằng.</t>
  </si>
  <si>
    <t>评价</t>
  </si>
  <si>
    <t>píngjià</t>
  </si>
  <si>
    <t>Đánh giá (评) về giá cả/giá trị (价) = Đánh giá.</t>
  </si>
  <si>
    <t>凭借</t>
  </si>
  <si>
    <t>píngjiè</t>
  </si>
  <si>
    <t>Dựa vào (凭) và mượn (借) lực của người khác = Nhờ vào/Dựa vào.</t>
  </si>
  <si>
    <t>平静</t>
  </si>
  <si>
    <t>píngjìng</t>
  </si>
  <si>
    <t>Bình lặng (平) và yên tĩnh (静) = Bình tĩnh/Yên tĩnh.</t>
  </si>
  <si>
    <t>平均</t>
  </si>
  <si>
    <t>píngjūn</t>
  </si>
  <si>
    <t>Chia đều (均) cho bằng phẳng (平) = Trung bình.</t>
  </si>
  <si>
    <t>屏幕</t>
  </si>
  <si>
    <t>píngmù</t>
  </si>
  <si>
    <t>Tấm màn (幕) phẳng (屏) để hiển thị hình ảnh = Màn hình.</t>
  </si>
  <si>
    <t>平台</t>
  </si>
  <si>
    <t>píngtái</t>
  </si>
  <si>
    <t>Cái bục/đài (台) bằng phẳng (平) = Nền tảng/Sân ga.</t>
  </si>
  <si>
    <t>品牌</t>
  </si>
  <si>
    <t>pǐnpái</t>
  </si>
  <si>
    <t>Cái bảng (牌) khẳng định phẩm cấp (品) = Thương hiệu.</t>
  </si>
  <si>
    <t>聘请</t>
  </si>
  <si>
    <t>pìnqǐng</t>
  </si>
  <si>
    <t>Dùng tai (耳) nghe danh rồi mời (请) về làm việc = Mời làm việc/Thuê.</t>
  </si>
  <si>
    <t>拼音</t>
  </si>
  <si>
    <t>pīnyīn</t>
  </si>
  <si>
    <t>Ghép (拼) các âm thanh (音) lại với nhau = Bính âm (Pinyin).</t>
  </si>
  <si>
    <t>品质</t>
  </si>
  <si>
    <t>pǐnzhì</t>
  </si>
  <si>
    <t>Phẩm chất (品) và bản chất (质) = Chất lượng/Phẩm chất.</t>
  </si>
  <si>
    <t>品种</t>
  </si>
  <si>
    <t>pǐnzhǒng</t>
  </si>
  <si>
    <t>Loại giống (种) của vật phẩm (品) = Chủng loại/Giống vật nuôi.</t>
  </si>
  <si>
    <t>批准</t>
  </si>
  <si>
    <t>pīzhǔn</t>
  </si>
  <si>
    <t>Phê duyệt (批) một cách chuẩn xác (准) = Phê chuẩn/Cho phép.</t>
  </si>
  <si>
    <t>破坏</t>
  </si>
  <si>
    <t>pòhuài</t>
  </si>
  <si>
    <t>Làm cho vỡ nát như đá (破 - bộ Thạch 石) và hỏng hóc (坏) = Phá hoại.</t>
  </si>
  <si>
    <t>普及</t>
  </si>
  <si>
    <t>pǔjí</t>
  </si>
  <si>
    <t>Phổ biến rộng khắp (普) và đạt đến (及) mọi nơi = Phổ cập.</t>
  </si>
  <si>
    <t>齐</t>
  </si>
  <si>
    <t>形、（动、副）</t>
  </si>
  <si>
    <t>Hình ảnh những bông lúa mọc cao bằng nhau = Đều/Đủ/Cùng nhau.</t>
  </si>
  <si>
    <t>其</t>
  </si>
  <si>
    <t>Hình ảnh cái giá đựng đồ, chỉ "cái đó/của nó" = Cái đó/Của nó.</t>
  </si>
  <si>
    <t>欠</t>
  </si>
  <si>
    <t>qiàn</t>
  </si>
  <si>
    <t>Một người đang há miệng ngáp vì thiếu ngủ = Nợ/Thiếu hụt.</t>
  </si>
  <si>
    <t>浅</t>
  </si>
  <si>
    <t>qiǎn</t>
  </si>
  <si>
    <t>Nước (氵) mà mỏng manh như hai lưỡi giáo (戋) = Nông/Cạn.</t>
  </si>
  <si>
    <t>签1</t>
  </si>
  <si>
    <t>Dùng thẻ tre (竹) để ghi tên xác nhận = Ký tên/Thẻ/Nhãn.</t>
  </si>
  <si>
    <t>签订</t>
  </si>
  <si>
    <t>qiāndìng</t>
  </si>
  <si>
    <t>Ký tên (签) để ấn định (定) cam kết = Ký kết.</t>
  </si>
  <si>
    <t>墙</t>
  </si>
  <si>
    <t>Đất (土) đắp lên cao để ngăn cách và che chở (啬) = Bức tường.</t>
  </si>
  <si>
    <t>抢</t>
  </si>
  <si>
    <t>qiǎng</t>
  </si>
  <si>
    <t>Dùng tay (扌) giành lấy một cách khoáng đạt (仓) = Cướp/Giành giật.</t>
  </si>
  <si>
    <t>强大</t>
  </si>
  <si>
    <t>qiángdà</t>
  </si>
  <si>
    <t>Mạnh mẽ (强 - cái cung khỏe) và to lớn (大) = Lớn mạnh/Mạnh mẽ.</t>
  </si>
  <si>
    <t>强调</t>
  </si>
  <si>
    <t>qiángdiào</t>
  </si>
  <si>
    <t>Dùng giọng điệu (调) mạnh mẽ (强) để nói = Nhấn mạnh.</t>
  </si>
  <si>
    <t>强度</t>
  </si>
  <si>
    <t>qiángdù</t>
  </si>
  <si>
    <t>Mức độ (度) của sức mạnh (强) = Cường độ.</t>
  </si>
  <si>
    <t>抢救</t>
  </si>
  <si>
    <t>qiǎngjiù</t>
  </si>
  <si>
    <t>Giành giật (抢) lấy thời gian để cứu sống (救) = Cấp cứu.</t>
  </si>
  <si>
    <t>强烈</t>
  </si>
  <si>
    <t>qiángliè</t>
  </si>
  <si>
    <t>Mạnh mẽ (强) như lửa cháy rực rực (烈) = Mạnh liệt/Dữ dội.</t>
  </si>
  <si>
    <t>前进</t>
  </si>
  <si>
    <t>qiánjìn</t>
  </si>
  <si>
    <t>Tiến (进) về phía trước (前) = Tiến bước.</t>
  </si>
  <si>
    <t>前来</t>
  </si>
  <si>
    <t>qiánlái</t>
  </si>
  <si>
    <t>Đi đến (来) phía trước (前) = Đến/Tới.</t>
  </si>
  <si>
    <t>签名</t>
  </si>
  <si>
    <t>qiānmíng</t>
  </si>
  <si>
    <t>Ký (签) cái tên (名) mình vào.</t>
  </si>
  <si>
    <t>前途</t>
  </si>
  <si>
    <t>qiántú</t>
  </si>
  <si>
    <t>Con đường (途) ở phía trước (前) = Tiền đồ/Tương lai.</t>
  </si>
  <si>
    <t>前往</t>
  </si>
  <si>
    <t>qiánwǎng</t>
  </si>
  <si>
    <t>Đi hướng về (往) phía trước (前) = Đi đến/Hướng tới.</t>
  </si>
  <si>
    <t>签字</t>
  </si>
  <si>
    <t>qiānzì</t>
  </si>
  <si>
    <t>Ký (签) chữ (字) của mình.</t>
  </si>
  <si>
    <t>悄悄</t>
  </si>
  <si>
    <t>qiāoqiāo</t>
  </si>
  <si>
    <t>Trái tim (忄) lặng lẽ tiêu tán (肖) mọi tiếng động = Lặng lẽ/Âm thầm.</t>
  </si>
  <si>
    <t>期待</t>
  </si>
  <si>
    <t>qīdài</t>
  </si>
  <si>
    <t>Mong đợi (待) đến một kỳ hạn (期) nào đó = Kỳ vọng/Mong đợi.</t>
  </si>
  <si>
    <t>切</t>
  </si>
  <si>
    <t>qiē</t>
  </si>
  <si>
    <t>Dùng dao (刀) cắt bảy (七) nhát = Cắt/Thái/Sát sao.</t>
  </si>
  <si>
    <t>奇迹</t>
  </si>
  <si>
    <t>qíjì</t>
  </si>
  <si>
    <t>Dấu tích (迹) của những điều kỳ lạ (奇) = Kỳ tích.</t>
  </si>
  <si>
    <t>期间</t>
  </si>
  <si>
    <t>qījiān</t>
  </si>
  <si>
    <t>Khoảng thời gian (间) trong một kỳ (期) nào đó = Thời kỳ/Khoảng thời gian.</t>
  </si>
  <si>
    <t>亲</t>
  </si>
  <si>
    <t>qīn</t>
  </si>
  <si>
    <t>Đứng (立) trên cây (木) nhìn (见) người thân từ xa = Thân/Hôn.</t>
  </si>
  <si>
    <t>亲爱</t>
  </si>
  <si>
    <t>qīn'ài</t>
  </si>
  <si>
    <t>Người thân thiết (亲) và yêu thương (爱) = Thân yêu.</t>
  </si>
  <si>
    <t>勤奋</t>
  </si>
  <si>
    <t>qínfèn</t>
  </si>
  <si>
    <t>Dùng sức lực (力) làm việc chăm chỉ (勤) để bay cao (奋) = Cần cù/Chăm chỉ.</t>
  </si>
  <si>
    <t>青</t>
  </si>
  <si>
    <t>Màu của mầm cây mọc trên đất xanh tốt = Màu xanh lục/Xanh lam.</t>
  </si>
  <si>
    <t>情感</t>
  </si>
  <si>
    <t>qínggǎn</t>
  </si>
  <si>
    <t>Cảm xúc (感) từ trong tình cảm (情) = Tình cảm.</t>
  </si>
  <si>
    <t>请教</t>
  </si>
  <si>
    <t>qǐngjiào</t>
  </si>
  <si>
    <t>Mời (请) người khác chỉ dạy (教) cho mình = Thỉnh giáo.</t>
  </si>
  <si>
    <t>情景</t>
  </si>
  <si>
    <t>qíngjǐng</t>
  </si>
  <si>
    <t>Cảnh tượng (景) gợi lên tình cảm (情) = Tình cảnh/Cảnh tượng.</t>
  </si>
  <si>
    <t>请求</t>
  </si>
  <si>
    <t>qǐngqiú</t>
  </si>
  <si>
    <t>Mời (请) và cầu xin (求) sự giúp đỡ = Yêu cầu/Thỉnh cầu.</t>
  </si>
  <si>
    <t>情绪</t>
  </si>
  <si>
    <t>qíngxù</t>
  </si>
  <si>
    <t>Đầu mối (绪) của những tình cảm (情) = Tâm trạng/Cảm xúc.</t>
  </si>
  <si>
    <t>轻易</t>
  </si>
  <si>
    <t>qīngyì</t>
  </si>
  <si>
    <t>Nhẹ nhàng (轻) và dễ dàng (易) = Dễ dàng/Tùy tiện.</t>
  </si>
  <si>
    <t>轻重</t>
  </si>
  <si>
    <t>qīngzhòng</t>
  </si>
  <si>
    <t>Sự nhẹ (轻) và nặng (重) = Mức độ/Nặng nhẹ.</t>
  </si>
  <si>
    <t>亲朋好友</t>
  </si>
  <si>
    <t>qīnpéng-hǎoyǒu</t>
  </si>
  <si>
    <t>Người thân (亲), bạn bè (朋) và hảo hữu (好友).</t>
  </si>
  <si>
    <t>亲切</t>
  </si>
  <si>
    <t>qīnqiè</t>
  </si>
  <si>
    <t>Thân thiết (亲) và sát sao (切) = Thân thiết/Gần gũi.</t>
  </si>
  <si>
    <t>亲情</t>
  </si>
  <si>
    <t>qīnqíng</t>
  </si>
  <si>
    <t>Tình cảm (情) giữa những người thân (亲) = Tình thân.</t>
  </si>
  <si>
    <t>亲人</t>
  </si>
  <si>
    <t>qīnrén</t>
  </si>
  <si>
    <t>Người (人) thân thiết (亲) của mình = Người thân.</t>
  </si>
  <si>
    <t>亲自</t>
  </si>
  <si>
    <t>qīnzì</t>
  </si>
  <si>
    <t>Tự (自) bản thân mình (亲) làm = Đích thân/Tự mình.</t>
  </si>
  <si>
    <t>穷</t>
  </si>
  <si>
    <t>qióng</t>
  </si>
  <si>
    <t>Người phải khom lưng dưới mái nhà (穴) hẹp hòi = Nghèo.</t>
  </si>
  <si>
    <t>气球</t>
  </si>
  <si>
    <t>qìqiú</t>
  </si>
  <si>
    <t>Quả cầu (球) chứa đầy không khí (气) = Bóng bay.</t>
  </si>
  <si>
    <t>企业</t>
  </si>
  <si>
    <t>qǐyè</t>
  </si>
  <si>
    <t>Sự nghiệp (业) được xây dựng từ việc bắt đầu (企) = Xí nghiệp/Doanh nghiệp.</t>
  </si>
  <si>
    <t>汽油</t>
  </si>
  <si>
    <t>qìyóu</t>
  </si>
  <si>
    <t>Loại dầu (油) tạo ra khí (汽) khi đốt cháy = Xăng.</t>
  </si>
  <si>
    <t>其余</t>
  </si>
  <si>
    <t>qíyú</t>
  </si>
  <si>
    <t>Những cái còn dư lại (余) của cái đó (其) = Phần còn lại.</t>
  </si>
  <si>
    <t>权</t>
  </si>
  <si>
    <t>名、（副）</t>
  </si>
  <si>
    <t>Cây gậy (木) cầm trong tay người có quyền lực (区) = Quyền/Quyền lợi.</t>
  </si>
  <si>
    <t>劝</t>
  </si>
  <si>
    <t>quàn</t>
  </si>
  <si>
    <t>Dùng lời nói và sức lực (力) để tác động vào người khác (又) = Khuyên bảo.</t>
  </si>
  <si>
    <t>权利</t>
  </si>
  <si>
    <t>quánlì</t>
  </si>
  <si>
    <t>Quyền hạn (权) và lợi ích (利) = Quyền lợi.</t>
  </si>
  <si>
    <t>全力</t>
  </si>
  <si>
    <t>Toàn bộ (全) sức lực (力).</t>
  </si>
  <si>
    <t>全面</t>
  </si>
  <si>
    <t>quánmiàn</t>
  </si>
  <si>
    <t>Toàn bộ (全) các mặt (面) = Toàn diện.</t>
  </si>
  <si>
    <t>全体</t>
  </si>
  <si>
    <t>quántǐ</t>
  </si>
  <si>
    <t>Toàn bộ (全) các cá thể/cơ thể (体) = Toàn thể.</t>
  </si>
  <si>
    <t>全新</t>
  </si>
  <si>
    <t>quánxīn</t>
  </si>
  <si>
    <t>Hoàn toàn (全) là mới mẻ (新) = Mới toanh.</t>
  </si>
  <si>
    <t>确保</t>
  </si>
  <si>
    <t>quèbǎo</t>
  </si>
  <si>
    <t>Bảo đảm (保) một cách chắc chắn như đá (确 - bộ Thạch 石) = Đảm bảo.</t>
  </si>
  <si>
    <t>确定</t>
  </si>
  <si>
    <t>quèdìng</t>
  </si>
  <si>
    <t>Xác định (定) một cách chắc chắn (确) = Xác định/Chắc chắn.</t>
  </si>
  <si>
    <t>缺乏</t>
  </si>
  <si>
    <t>quēfá</t>
  </si>
  <si>
    <t>Thiếu hụt (缺 - cái bình sứt mẻ) và nghèo nàn (乏) = Thiếu thốn/Thiếu hụt.</t>
  </si>
  <si>
    <t>确认</t>
  </si>
  <si>
    <t>quèrèn</t>
  </si>
  <si>
    <t>Thừa nhận (认) một cách chắc chắn (确) = Xác nhận.</t>
  </si>
  <si>
    <t>群</t>
  </si>
  <si>
    <t>qún</t>
  </si>
  <si>
    <t>量、名</t>
  </si>
  <si>
    <t>Đàn quân (君) lính đông như đàn cừu (羊) = Đàn/Bầy/Nhóm.</t>
  </si>
  <si>
    <t>群体</t>
  </si>
  <si>
    <t>qúntǐ</t>
  </si>
  <si>
    <t>Một cơ thể (体) gồm cả một nhóm người (群) = Quần thể/Nhóm.</t>
  </si>
  <si>
    <t>去世</t>
  </si>
  <si>
    <t>qùshì</t>
  </si>
  <si>
    <t>Rời khỏi (去) thế gian (世) = Qua đời.</t>
  </si>
  <si>
    <t>趋势</t>
  </si>
  <si>
    <t>qūshì</t>
  </si>
  <si>
    <t>Cái thế (势) đang đi tới (趋) = Xu hướng.</t>
  </si>
  <si>
    <t>区域</t>
  </si>
  <si>
    <t>qūyù</t>
  </si>
  <si>
    <t>Vùng đất (域) được phân chia ra từng khu (区) = Khu vực.</t>
  </si>
  <si>
    <t>燃烧</t>
  </si>
  <si>
    <t>ránshāo</t>
  </si>
  <si>
    <t>Đốt cháy (烧) bằng ngọn lửa rực sáng (燃) = Đốt cháy/Nhiên liệu.</t>
  </si>
  <si>
    <t>绕</t>
  </si>
  <si>
    <t>rào</t>
  </si>
  <si>
    <t>Dùng sợi tơ (纟) quấn quanh (尧) một vật = Quanh co/Vòng quanh.</t>
  </si>
  <si>
    <t>热爱</t>
  </si>
  <si>
    <t>rè'ài</t>
  </si>
  <si>
    <t>Yêu (爱) một cách nồng nhiệt (热) = Yêu tha thiết.</t>
  </si>
  <si>
    <t>热量</t>
  </si>
  <si>
    <t>rèliàng</t>
  </si>
  <si>
    <t>Số lượng (量) nhiệt độ (热) = Nhiệt lượng/Calo.</t>
  </si>
  <si>
    <t>热烈</t>
  </si>
  <si>
    <t>rèliè</t>
  </si>
  <si>
    <t>Nhiệt tình (热) và rực cháy (烈) = Nồng nhiệt/Sôi nổi.</t>
  </si>
  <si>
    <t>认</t>
  </si>
  <si>
    <t>rèn</t>
  </si>
  <si>
    <t>Dùng lời nói (讠) để nhận diện con người (人) = Nhận/Nhận biết.</t>
  </si>
  <si>
    <t>忍</t>
  </si>
  <si>
    <t>rěn</t>
  </si>
  <si>
    <t>Đặt lưỡi đao (刃) lên trên trái tim (心) mà vẫn chịu được = Chịu đựng/Nhẫn nhịn.</t>
  </si>
  <si>
    <t>人才</t>
  </si>
  <si>
    <t>réncái</t>
  </si>
  <si>
    <t>Người (人) có tài năng (才) = Nhân tài.</t>
  </si>
  <si>
    <t>人工</t>
  </si>
  <si>
    <t>réngōng</t>
  </si>
  <si>
    <t>Công sức (工) do con người (人) làm ra = Nhân tạo/Thủ công.</t>
  </si>
  <si>
    <t>人际</t>
  </si>
  <si>
    <t>rénjì</t>
  </si>
  <si>
    <t>Mối quan hệ giữa (际) người với người (人) = Nhân tế/Quan hệ cá nhân.</t>
  </si>
  <si>
    <t>人口</t>
  </si>
  <si>
    <t>rénkǒu</t>
  </si>
  <si>
    <t>Số miệng (口) ăn của con người (人) = Dân số.</t>
  </si>
  <si>
    <t>人类</t>
  </si>
  <si>
    <t>rénlèi</t>
  </si>
  <si>
    <t>Chủng loại (类) loài người (人) = Loài người.</t>
  </si>
  <si>
    <t>人力</t>
  </si>
  <si>
    <t>rénlì</t>
  </si>
  <si>
    <t>Sức lực (力) của con người (人) = Nhân lực.</t>
  </si>
  <si>
    <t>人民</t>
  </si>
  <si>
    <t>rénmín</t>
  </si>
  <si>
    <t>Người dân (民) nói chung (人) = Nhân dân.</t>
  </si>
  <si>
    <t>人民币</t>
  </si>
  <si>
    <t>rénmínbì</t>
  </si>
  <si>
    <t>Đồng tiền (币) của nhân dân (人民) = Nhân dân tệ.</t>
  </si>
  <si>
    <t>人群</t>
  </si>
  <si>
    <t>rénqún</t>
  </si>
  <si>
    <t>Đám đông/Nhóm (群) người (人) = Đám đông.</t>
  </si>
  <si>
    <t>人体</t>
  </si>
  <si>
    <t>réntǐ</t>
  </si>
  <si>
    <t>Cơ thể (体) con người (人) = Cơ thể người.</t>
  </si>
  <si>
    <t>人物</t>
  </si>
  <si>
    <t>rénwù</t>
  </si>
  <si>
    <t>Một nhân vật (物) con người (人) cụ thể = Nhân vật.</t>
  </si>
  <si>
    <t>热心</t>
  </si>
  <si>
    <t>rèxīn</t>
  </si>
  <si>
    <t>Trái tim (心) nồng nhiệt (热) = Nhiệt tình/Tận tâm.</t>
  </si>
  <si>
    <t>日历</t>
  </si>
  <si>
    <t>rìlì</t>
  </si>
  <si>
    <t>Cuốn sách ghi lại trải nghiệm (历) của từng ngày (日) = Lịch ngày.</t>
  </si>
  <si>
    <t>日用品</t>
  </si>
  <si>
    <t>rìyòngpǐn</t>
  </si>
  <si>
    <t>Vật phẩm (品) sử dụng (用) hàng ngày (日) = Đồ dùng hàng ngày.</t>
  </si>
  <si>
    <t>如</t>
  </si>
  <si>
    <t>rú</t>
  </si>
  <si>
    <t>Lời nói của người phụ nữ (女) phát ra từ miệng (口) thường mềm mỏng = Như/Nếu.</t>
  </si>
  <si>
    <t>软</t>
  </si>
  <si>
    <t>ruǎn</t>
  </si>
  <si>
    <t>Chiếc xe (车) làm bằng vật liệu nhẹ (欠 - thiếu hụt trọng lượng) = Mềm.</t>
  </si>
  <si>
    <t>软件</t>
  </si>
  <si>
    <t>ruǎnjiàn</t>
  </si>
  <si>
    <t>Các linh kiện (件) mềm (软) trong máy tính = Phần mềm.</t>
  </si>
  <si>
    <t>如此</t>
  </si>
  <si>
    <t>rúcǐ</t>
  </si>
  <si>
    <t>Giống như (如) thế này (此) = Như thế/Như vậy.</t>
  </si>
  <si>
    <t>如何</t>
  </si>
  <si>
    <t>rúhé</t>
  </si>
  <si>
    <t>Giống như (如) cái gì (何) = Làm sao/Như thế nào.</t>
  </si>
  <si>
    <t>如今</t>
  </si>
  <si>
    <t>rújīn</t>
  </si>
  <si>
    <t>Giống như (如) lúc này (今) = Ngày nay/Bây giờ.</t>
  </si>
  <si>
    <t>弱</t>
  </si>
  <si>
    <t>ruò</t>
  </si>
  <si>
    <t>Hai cái cung bị gãy, lại thêm hai sợi lông yếu ớt = Yếu/Kém.</t>
  </si>
  <si>
    <t>如同</t>
  </si>
  <si>
    <t>rútóng</t>
  </si>
  <si>
    <t>Giống (如) cùng (同) với nhau = Giống như.</t>
  </si>
  <si>
    <t>如下</t>
  </si>
  <si>
    <t>rúxià</t>
  </si>
  <si>
    <t>Như (如) ở phía dưới (下) đây = Như sau.</t>
  </si>
  <si>
    <t>洒</t>
  </si>
  <si>
    <t>sǎ</t>
  </si>
  <si>
    <t>Nước (氵) rơi xuống hướng Tây (西) khi trời lặn = Rắc/Vẩy/Phun.</t>
  </si>
  <si>
    <t>sàichǎng</t>
  </si>
  <si>
    <t>Vùng đất (土) bằng phẳng để tụ họp = Sân/Trường/Trận.</t>
  </si>
  <si>
    <t>色彩</t>
  </si>
  <si>
    <t>sècǎi</t>
  </si>
  <si>
    <t>Màu sắc (色) rực rỡ (彩) = Màu sắc.</t>
  </si>
  <si>
    <t>傻</t>
  </si>
  <si>
    <t>shǎ</t>
  </si>
  <si>
    <t>Một người (亻) đứng bên đống đồ cũ (甾) trông ngơ ngác = Ngốc/Ngu ngơ.</t>
  </si>
  <si>
    <t>晒</t>
  </si>
  <si>
    <t>shài</t>
  </si>
  <si>
    <t>Đưa đồ ra dưới mặt trời (日) ở hướng Tây (西) để phơi = Phơi nắng.</t>
  </si>
  <si>
    <t>沙漠</t>
  </si>
  <si>
    <t>shāmò</t>
  </si>
  <si>
    <t>Vùng toàn cát (沙) và nước đã mờ mịt biến mất (漠) = Sa mạc.</t>
  </si>
  <si>
    <t>删</t>
  </si>
  <si>
    <t>Dùng dao (刂) gạch bỏ những thẻ tre ghi chép (册) = Xóa bỏ.</t>
  </si>
  <si>
    <t>扇</t>
  </si>
  <si>
    <t>Đôi cánh chim (羽) chuyển động dưới cửa (户) = Cái quạt/Quạt.</t>
  </si>
  <si>
    <t>擅长</t>
  </si>
  <si>
    <t>shàncháng</t>
  </si>
  <si>
    <t>Dùng tay (扌) làm việc một cách tự do, thiện nghệ (擅) và lâu dài (长) = Sở trường/Giỏi về.</t>
  </si>
  <si>
    <t>删除</t>
  </si>
  <si>
    <t>shānchú</t>
  </si>
  <si>
    <t>Xóa bỏ (删) và trừ đi (除) = Xóa đi.</t>
  </si>
  <si>
    <t>赏</t>
  </si>
  <si>
    <t>shǎng</t>
  </si>
  <si>
    <t>Tặng tiền bạc (贝) cho người ở dưới mái nhà đại sảnh (尚) = Thưởng/Khen thưởng.</t>
  </si>
  <si>
    <t>伤</t>
  </si>
  <si>
    <t>shāng</t>
  </si>
  <si>
    <t>Một người (亻) bị trúng tên khi đang nằm trên giường (力 - hình tượng cổ) = Vết thương/Đau lòng.</t>
  </si>
  <si>
    <t>上传</t>
  </si>
  <si>
    <t>shàngchuán</t>
  </si>
  <si>
    <t>Đưa lên (上) và truyền đi (传) = Tải lên (Upload).</t>
  </si>
  <si>
    <t>伤害</t>
  </si>
  <si>
    <t>shānghài</t>
  </si>
  <si>
    <t>Làm tổn thương (伤) và gây hại (害) = Làm hại/Tổn thương.</t>
  </si>
  <si>
    <t>商家</t>
  </si>
  <si>
    <t>shāngjiā</t>
  </si>
  <si>
    <t>Nhà (家) làm nghề kinh doanh (商) = Nhà kinh doanh/Đơn vị bán hàng.</t>
  </si>
  <si>
    <t>商人</t>
  </si>
  <si>
    <t>shāngrén</t>
  </si>
  <si>
    <t>Người (人) làm nghề buôn bán (商) = Thương nhân.</t>
  </si>
  <si>
    <t>上升</t>
  </si>
  <si>
    <t>shàngshēng</t>
  </si>
  <si>
    <t>Đi lên (上) và bay cao lên (升) = Tăng lên/Bay lên.</t>
  </si>
  <si>
    <t>商务</t>
  </si>
  <si>
    <t>shāngwù</t>
  </si>
  <si>
    <t>Các sự vụ (务) liên quan đến kinh doanh (商) = Thương mại/Business.</t>
  </si>
  <si>
    <t>上下</t>
  </si>
  <si>
    <t>shàngxià</t>
  </si>
  <si>
    <t>Trên (上) và dưới (下) = Trên dưới/Khoảng chừng.</t>
  </si>
  <si>
    <t>商业</t>
  </si>
  <si>
    <t>shāngyè</t>
  </si>
  <si>
    <t>Ngành nghề/Sự nghiệp (业) buôn bán (商) = Thương mại.</t>
  </si>
  <si>
    <t>上涨</t>
  </si>
  <si>
    <t>shàngzhǎng</t>
  </si>
  <si>
    <t>Bay lên (上) và dâng cao (涨 - có bộ Thủy 氵) = Tăng giá/Nước dâng.</t>
  </si>
  <si>
    <t>善良</t>
  </si>
  <si>
    <t>shànliáng</t>
  </si>
  <si>
    <t>Tốt bụng (善 - hình con cừu 羊 trên miệng 口) và tốt lành (良) = Lương thiện.</t>
  </si>
  <si>
    <t>山区</t>
  </si>
  <si>
    <t>shānqū</t>
  </si>
  <si>
    <t>Khu vực (区) có nhiều núi (山) = Miền núi.</t>
  </si>
  <si>
    <t>善于</t>
  </si>
  <si>
    <t>shànyú</t>
  </si>
  <si>
    <t>Tốt/Giỏi (善) đối với (于) một lĩnh vực nào đó = Giỏi về/Khéo về.</t>
  </si>
  <si>
    <t>扇子</t>
  </si>
  <si>
    <t>shànzi</t>
  </si>
  <si>
    <t>Đôi cánh chim (羽) dưới cửa (户) dùng để quạt = Cái quạt.</t>
  </si>
  <si>
    <t>烧</t>
  </si>
  <si>
    <t>Dùng lửa (火) đốt các gò đất cao (尧) = Đốt/Nấu/Sốt.</t>
  </si>
  <si>
    <t>烧烤</t>
  </si>
  <si>
    <t>shāokǎo</t>
  </si>
  <si>
    <t>Đốt lửa (烧) để nướng (烤 - bộ Hỏa 火 và khảo 考) = Đồ nướng/BBQ.</t>
  </si>
  <si>
    <t>沙子</t>
  </si>
  <si>
    <t>shāzi</t>
  </si>
  <si>
    <t>Những hạt nhỏ (少) nằm bên dòng nước (氵) = Hạt cát.</t>
  </si>
  <si>
    <t>蛇</t>
  </si>
  <si>
    <t>shé</t>
  </si>
  <si>
    <t>Loài côn trùng (虫) trườn bò trong nhà (它) = Con rắn.</t>
  </si>
  <si>
    <t>设备</t>
  </si>
  <si>
    <t>shèbèi</t>
  </si>
  <si>
    <t>Các vật dụng được thiết lập (设) và chuẩn bị sẵn (备) = Thiết bị.</t>
  </si>
  <si>
    <t>舍不得</t>
  </si>
  <si>
    <t>shěbude</t>
  </si>
  <si>
    <t>Không (不) thể đạt được (得) sự từ bỏ (舍) = Luyến tiếc/Không nỡ.</t>
  </si>
  <si>
    <t>舍得</t>
  </si>
  <si>
    <t>shěde</t>
  </si>
  <si>
    <t>Có thể (得) từ bỏ (舍) được = Sẵn lòng/Không tiếc.</t>
  </si>
  <si>
    <t>设计</t>
  </si>
  <si>
    <t>shèjì</t>
  </si>
  <si>
    <t>Dùng lời nói (讠) để lập ra (设) các kế hoạch tính toán (计) = Thiết kế.</t>
  </si>
  <si>
    <t>设立</t>
  </si>
  <si>
    <t>shèlì</t>
  </si>
  <si>
    <t>Thiết lập (设) để cho nó đứng vững (立) = Thiết lập/Thành lập.</t>
  </si>
  <si>
    <t>伸</t>
  </si>
  <si>
    <t>Một người (亻) duỗi thẳng thân mình như trục nối đất trời (申) = Duỗi ra/Vươn ra.</t>
  </si>
  <si>
    <t>身材</t>
  </si>
  <si>
    <t>shēncái</t>
  </si>
  <si>
    <t>Cái vóc dáng (材) của cơ thể (身) = Vóc dáng/Dáng người.</t>
  </si>
  <si>
    <t>深度</t>
  </si>
  <si>
    <t>shēndù</t>
  </si>
  <si>
    <t>Mức độ (度) sâu của nước (深) = Độ sâu.</t>
  </si>
  <si>
    <t>身份</t>
  </si>
  <si>
    <t>shēnfèn</t>
  </si>
  <si>
    <t>Cái phần (分) địa vị của một cơ thể (身) = Thân phận/Danh tính.</t>
  </si>
  <si>
    <t>胜</t>
  </si>
  <si>
    <t>Dùng sức lực (力) để đạt được ánh trăng (月) huy hoàng = Thắng/Vượt qua.</t>
  </si>
  <si>
    <t>省2</t>
  </si>
  <si>
    <t>Nhìn (目) bớt/thiếu (少) đi để tiết kiệm = Tỉnh (đơn vị hành chính)/Tiết kiệm.</t>
  </si>
  <si>
    <t>升1</t>
  </si>
  <si>
    <t>Hình ảnh cái đấu đong gạo đưa từ dưới lên cao = Lên/Tăng/Lít.</t>
  </si>
  <si>
    <t>生产</t>
  </si>
  <si>
    <t>shēngchǎn</t>
  </si>
  <si>
    <t>Làm nảy sinh (生) và tạo ra sản phẩm (产) = Sản xuất.</t>
  </si>
  <si>
    <t>生存</t>
  </si>
  <si>
    <t>shēngcún</t>
  </si>
  <si>
    <t>Sống (生) và tồn tại (存) = Sinh tồn.</t>
  </si>
  <si>
    <t>生动</t>
  </si>
  <si>
    <t>shēngdòng</t>
  </si>
  <si>
    <t>Sống (生) như đang chuyển động (动) = Sinh động.</t>
  </si>
  <si>
    <t>省份</t>
  </si>
  <si>
    <t>shěngfèn</t>
  </si>
  <si>
    <t>Cái phần (份) của một tỉnh (省) = Tỉnh (địa phận).</t>
  </si>
  <si>
    <t>省会</t>
  </si>
  <si>
    <t>shěnghuì</t>
  </si>
  <si>
    <t>Nơi hội tụ (会) của cả một tỉnh (省) = Tỉnh lỵ/Thủ phủ của tỉnh.</t>
  </si>
  <si>
    <t>升级</t>
  </si>
  <si>
    <t>shēngjí</t>
  </si>
  <si>
    <t>Tăng (升) thêm cấp bậc (级) = Nâng cấp.</t>
  </si>
  <si>
    <t>胜利</t>
  </si>
  <si>
    <t>shènglì</t>
  </si>
  <si>
    <t>Chiến thắng (胜) và giành được lợi ích (利) = Thắng lợi.</t>
  </si>
  <si>
    <t>升温</t>
  </si>
  <si>
    <t>shēngwēn</t>
  </si>
  <si>
    <t>Nhiệt độ (温) tăng cao (升) = Tăng nhiệt.</t>
  </si>
  <si>
    <t>生物</t>
  </si>
  <si>
    <t>shēngwù</t>
  </si>
  <si>
    <t>Những đồ vật (物) có sự sống (生) = Sinh vật.</t>
  </si>
  <si>
    <t>生肖</t>
  </si>
  <si>
    <t>shēngxiào</t>
  </si>
  <si>
    <t>Hình dáng (肖) con vật ứng với năm sinh (生) = Con giáp.</t>
  </si>
  <si>
    <t>生长</t>
  </si>
  <si>
    <t>shēngzhǎng</t>
  </si>
  <si>
    <t>Sinh ra (生) và trưởng thành dài ra (长) = Sinh trưởng/Phát triển.</t>
  </si>
  <si>
    <t>深厚</t>
  </si>
  <si>
    <t>shēnhòu</t>
  </si>
  <si>
    <t>Sâu (深) và dày dặn (厚) = Sâu sắc/Thâm hậu.</t>
  </si>
  <si>
    <t>神话</t>
  </si>
  <si>
    <t>shénhuà</t>
  </si>
  <si>
    <t>Những lời nói (话) về thần tiên (神) = Thần thoại.</t>
  </si>
  <si>
    <t>深刻</t>
  </si>
  <si>
    <t>shēnkè</t>
  </si>
  <si>
    <t>Khắc (刻) sâu (深) vào tâm trí = Sâu sắc.</t>
  </si>
  <si>
    <t>神秘</t>
  </si>
  <si>
    <t>shénmì</t>
  </si>
  <si>
    <t>Những thứ bí mật (秘) mang màu sắc thần thánh (神) = Thần bí.</t>
  </si>
  <si>
    <t>深入</t>
  </si>
  <si>
    <t>shēnrù</t>
  </si>
  <si>
    <t>Đi vào (入) một cách sâu sắc (深) = Thâm nhập/Sâu sát.</t>
  </si>
  <si>
    <t>深远</t>
  </si>
  <si>
    <t>shēnyuǎn</t>
  </si>
  <si>
    <t>Sâu (深) và xa (远) = Sâu xa/Thâm thúy.</t>
  </si>
  <si>
    <t>社区</t>
  </si>
  <si>
    <t>shèqū</t>
  </si>
  <si>
    <t>Một khu vực (区) là nơi tụ họp của xã hội (社) = Cộng đồng/Khu dân cư.</t>
  </si>
  <si>
    <t>设施</t>
  </si>
  <si>
    <t>shèshī</t>
  </si>
  <si>
    <t>Những thứ được thiết lập (设) để thi hành (施) công việc = Cơ sở vật chất.</t>
  </si>
  <si>
    <t>摄影</t>
  </si>
  <si>
    <t>shèyǐng</t>
  </si>
  <si>
    <t>Dùng công cụ thu (摄) lại hình ảnh (影) = Nhiếp ảnh/Chụp ảnh.</t>
  </si>
  <si>
    <t>设置</t>
  </si>
  <si>
    <t>shèzhì</t>
  </si>
  <si>
    <t>Thiết lập (设) và bố trí (置 - có bộ Võng 罒 như cái lưới) = Cài đặt/Thiết lập.</t>
  </si>
  <si>
    <t>式</t>
  </si>
  <si>
    <t>Hình ảnh người cầm thước đo để làm theo khuôn mẫu = Hình thức/Kiểu.</t>
  </si>
  <si>
    <t>诗</t>
  </si>
  <si>
    <t>shī</t>
  </si>
  <si>
    <t>Lời nói (讠) đẹp như ở trong chùa (寺) = Thơ/Bài thơ.</t>
  </si>
  <si>
    <t>湿</t>
  </si>
  <si>
    <t>Nước (氵) đọng lại dưới ánh mặt trời (日) trong mặt đất (土) = Ẩm ướt.</t>
  </si>
  <si>
    <t>时差</t>
  </si>
  <si>
    <t>shíchā</t>
  </si>
  <si>
    <t>Sự sai khác (差) về thời gian (时) = Chênh lệch múi giờ.</t>
  </si>
  <si>
    <t>时常</t>
  </si>
  <si>
    <t>shícháng</t>
  </si>
  <si>
    <t>Thường xuyên (常) theo thời gian (时) = Thường xuyên.</t>
  </si>
  <si>
    <t>时代</t>
  </si>
  <si>
    <t>shídài</t>
  </si>
  <si>
    <t>Các thế hệ (代) nối tiếp nhau trong thời gian (时) = Thời đại.</t>
  </si>
  <si>
    <t>适当</t>
  </si>
  <si>
    <t>shìdàng</t>
  </si>
  <si>
    <t>Làm việc đúng (当) lúc và phù hợp với thời gian (适) = Thích đáng/Phù hợp.</t>
  </si>
  <si>
    <t>似的</t>
  </si>
  <si>
    <t>shìde</t>
  </si>
  <si>
    <t>Tựa như là/Giống như là (thường đứng sau danh từ) = Tựa như.</t>
  </si>
  <si>
    <t>使得</t>
  </si>
  <si>
    <t>shǐde</t>
  </si>
  <si>
    <t>Khiến cho (使) có thể đạt được (得) = Làm cho/Khiến cho.</t>
  </si>
  <si>
    <t>事故</t>
  </si>
  <si>
    <t>shìgù</t>
  </si>
  <si>
    <t>Việc (事) xảy ra do nguyên nhân cũ (故) không mong muốn = Tai nạn/Sự cố.</t>
  </si>
  <si>
    <t>实践</t>
  </si>
  <si>
    <t>shíjiàn</t>
  </si>
  <si>
    <t>Thực hiện (实) bằng cách giẫm chân (践 - có bộ Túc 足) lên thực tế = Thực tiễn.</t>
  </si>
  <si>
    <t>事件</t>
  </si>
  <si>
    <t>shìjiàn</t>
  </si>
  <si>
    <t>Một món (件) sự việc (事) cụ thể = Sự kiện/Vụ việc.</t>
  </si>
  <si>
    <t>试卷</t>
  </si>
  <si>
    <t>shìjuàn</t>
  </si>
  <si>
    <t>Cuốn giấy (卷) dùng để thi cử/thử sức (试) = Đề thi/Bài thi.</t>
  </si>
  <si>
    <t>时刻</t>
  </si>
  <si>
    <t>shíkè</t>
  </si>
  <si>
    <t>Một khắc (刻) thời gian (时) = Thời khắc/Luôn luôn.</t>
  </si>
  <si>
    <t>实力</t>
  </si>
  <si>
    <t>shílì</t>
  </si>
  <si>
    <t>Sức mạnh (力) thực sự (实) = Thực lực.</t>
  </si>
  <si>
    <t>失恋</t>
  </si>
  <si>
    <t>shīliàn</t>
  </si>
  <si>
    <t>Đánh mất (失) tình yêu (恋) = Thất tình.</t>
  </si>
  <si>
    <t>失眠</t>
  </si>
  <si>
    <t>shīmián</t>
  </si>
  <si>
    <t>Đánh mất (失) giấc ngủ (眠 - có bộ Mục 目 chỉ mắt) = Mất ngủ.</t>
  </si>
  <si>
    <t>市民</t>
  </si>
  <si>
    <t>shìmín</t>
  </si>
  <si>
    <t>Người dân (民) sống trong thành phố (市) = Thành dân/Dân thành phố.</t>
  </si>
  <si>
    <t>时期</t>
  </si>
  <si>
    <t>shíqī</t>
  </si>
  <si>
    <t>Một kỳ (期) hạn thời gian (时) = Thời kỳ.</t>
  </si>
  <si>
    <t>诗人</t>
  </si>
  <si>
    <t>shīrén</t>
  </si>
  <si>
    <t>Người (人) làm thơ (诗) = Nhà thơ.</t>
  </si>
  <si>
    <t>实施</t>
  </si>
  <si>
    <t>shíshī</t>
  </si>
  <si>
    <t>Thực tế (实) thi hành (施) = Thực thi/Triển khai.</t>
  </si>
  <si>
    <t>事实</t>
  </si>
  <si>
    <t>shìshí</t>
  </si>
  <si>
    <t>Những việc (事) có thực (实) = Sự thật.</t>
  </si>
  <si>
    <t>石头</t>
  </si>
  <si>
    <t>shítou</t>
  </si>
  <si>
    <t>Cái đầu (头) của tảng đá (石) = Hòn đá/Đá.</t>
  </si>
  <si>
    <t>视为</t>
  </si>
  <si>
    <t>shìwéi</t>
  </si>
  <si>
    <t>Nhìn nhận (视) nó như là (为) = Coi là/Xem như là.</t>
  </si>
  <si>
    <t>事物</t>
  </si>
  <si>
    <t>shìwù</t>
  </si>
  <si>
    <t>Sự việc (事) và đồ vật (物) nói chung = Sự vật.</t>
  </si>
  <si>
    <t>失误</t>
  </si>
  <si>
    <t>shīwù</t>
  </si>
  <si>
    <t>Do sơ suất (失) mà dẫn đến lỗi sai bằng lời nói (误 - có bộ Ngôn 讠) = Sai sót/Lỗi.</t>
  </si>
  <si>
    <t>实习</t>
  </si>
  <si>
    <t>shíxí</t>
  </si>
  <si>
    <t>Thực tế (实) luyện tập (习) = Thực tập.</t>
  </si>
  <si>
    <t>实现</t>
  </si>
  <si>
    <t>shíxiàn</t>
  </si>
  <si>
    <t>Làm cho cái thực tế (实) xuất hiện (现) = Thực hiện/Đạt được.</t>
  </si>
  <si>
    <t>事先</t>
  </si>
  <si>
    <t>shìxiān</t>
  </si>
  <si>
    <t>Làm trước (先) khi sự việc (事) xảy ra = Trước đó/Sẵn.</t>
  </si>
  <si>
    <t>实行</t>
  </si>
  <si>
    <t>shíxíng</t>
  </si>
  <si>
    <t>Thực hiện (实) và tiến hành (行) = Thực hành/Thi hành.</t>
  </si>
  <si>
    <t>实验</t>
  </si>
  <si>
    <t>shíyàn</t>
  </si>
  <si>
    <t>Kiểm tra (验) trên thực tế (实) = Thí nghiệm (khoa học).</t>
  </si>
  <si>
    <t>试验</t>
  </si>
  <si>
    <t>shìyàn</t>
  </si>
  <si>
    <t>Thử nghiệm (试) và kiểm tra (验) = Thử nghiệm/Trải nghiệm.</t>
  </si>
  <si>
    <t>实验室</t>
  </si>
  <si>
    <t>shíyànshì</t>
  </si>
  <si>
    <t>Căn phòng (室) để làm thí nghiệm (实验) = Phòng thí nghiệm.</t>
  </si>
  <si>
    <t>事业</t>
  </si>
  <si>
    <t>shìyè</t>
  </si>
  <si>
    <t>Ngành nghề/Sự nghiệp (业) từ các sự việc (事) lớn = Sự nghiệp.</t>
  </si>
  <si>
    <t>失业</t>
  </si>
  <si>
    <t>shīyè</t>
  </si>
  <si>
    <t>Đánh mất (失) nghề nghiệp (业) = Thất nghiệp.</t>
  </si>
  <si>
    <t>实用</t>
  </si>
  <si>
    <t>shíyòng</t>
  </si>
  <si>
    <t>Sử dụng (用) một cách thực tế (实) = Thực dụng/Tiện dụng.</t>
  </si>
  <si>
    <t>食用</t>
  </si>
  <si>
    <t>Sử dụng (用) để ăn (食) = Ăn được/Dùng để ăn.</t>
  </si>
  <si>
    <t>试用</t>
  </si>
  <si>
    <t>shìyòng</t>
  </si>
  <si>
    <t>Dùng (用) thử (试) = Dùng thử.</t>
  </si>
  <si>
    <t>适用</t>
  </si>
  <si>
    <t>Thích hợp (适) để sử dụng (用) = Thích hợp/Áp dụng cho.</t>
  </si>
  <si>
    <t>始终</t>
  </si>
  <si>
    <t>shǐzhōng</t>
  </si>
  <si>
    <t>Từ lúc bắt đầu (始) cho đến cuối (终) = Từ đầu đến cuối.</t>
  </si>
  <si>
    <t>守</t>
  </si>
  <si>
    <t>Giữ gìn (寸 - tấc đất) dưới mái nhà (宀) = Canh giữ/Tuân thủ.</t>
  </si>
  <si>
    <t>首次</t>
  </si>
  <si>
    <t>shǒucì</t>
  </si>
  <si>
    <t>Lần (次) đầu tiên (首 - hình cái đầu) = Lần đầu.</t>
  </si>
  <si>
    <t>手段</t>
  </si>
  <si>
    <t>shǒuduàn</t>
  </si>
  <si>
    <t>Một đoạn (段) hành động của bàn tay (手) = Thủ đoạn/Phương thức.</t>
  </si>
  <si>
    <t>手工</t>
  </si>
  <si>
    <t>shǒugōng</t>
  </si>
  <si>
    <t>Công việc (工) làm bằng tay (手) = Thủ công.</t>
  </si>
  <si>
    <t>收获</t>
  </si>
  <si>
    <t>shōuhuò</t>
  </si>
  <si>
    <t>Thu về (收) những bông lúa đã gặt (获) = Thu hoạch.</t>
  </si>
  <si>
    <t>收集</t>
  </si>
  <si>
    <t>shōují</t>
  </si>
  <si>
    <t>Thu về (收) và tập hợp lại (集) = Thu thập/Gom góp.</t>
  </si>
  <si>
    <t>售价</t>
  </si>
  <si>
    <t>shòujià</t>
  </si>
  <si>
    <t>Giá (价) để bán (售 - bán bằng miệng 口) ra = Giá bán.</t>
  </si>
  <si>
    <t>收看</t>
  </si>
  <si>
    <t>shōukàn</t>
  </si>
  <si>
    <t>Thu nhận và xem (看) = Xem (truyền hình/clip).</t>
  </si>
  <si>
    <t>手术</t>
  </si>
  <si>
    <t>shǒushù</t>
  </si>
  <si>
    <t>Kỹ thuật (术) thực hiện bằng bàn tay (手) của bác sĩ = Phẫu thuật.</t>
  </si>
  <si>
    <t>手套</t>
  </si>
  <si>
    <t>shǒutào</t>
  </si>
  <si>
    <t>Cái vỏ bọc/bao (套) dùng cho bàn tay (手) = Găng tay.</t>
  </si>
  <si>
    <t>手续</t>
  </si>
  <si>
    <t>shǒuxù</t>
  </si>
  <si>
    <t>Các trình tự (续 - nối tiếp) cần làm bằng tay để hoàn tất = Thủ tục.</t>
  </si>
  <si>
    <t>手指</t>
  </si>
  <si>
    <t>shǒuzhǐ</t>
  </si>
  <si>
    <t>Bộ phận dùng để chỉ (指) trên bàn tay (手) = Ngón tay.</t>
  </si>
  <si>
    <t>束</t>
  </si>
  <si>
    <t>Hình ảnh cái cây (木) được buộc thắt nút (口) ở giữa = Bó/Cuốn/Buộc.</t>
  </si>
  <si>
    <t>shǔ</t>
  </si>
  <si>
    <t>Dùng gậy gõ nhẹ (攵) để đếm các hạt gạo (米) phụ nữ (女) hái = Đếm/Số.</t>
  </si>
  <si>
    <t>摔</t>
  </si>
  <si>
    <t>shuāi</t>
  </si>
  <si>
    <t>Dùng tay (扌) tác động khiến một vật rơi xuống đất vỡ nát = Ngã/Rơi vỡ.</t>
  </si>
  <si>
    <t>双方</t>
  </si>
  <si>
    <t>shuāngfāng</t>
  </si>
  <si>
    <t>Cả hai phía/phương (方) đôi (双) bên = Đôi bên/Song phương.</t>
  </si>
  <si>
    <t>鼠标</t>
  </si>
  <si>
    <t>shǔbiāo</t>
  </si>
  <si>
    <t>Vật đánh dấu (标) có hình dáng con chuột (鼠) = Chuột máy tính.</t>
  </si>
  <si>
    <t>蔬菜</t>
  </si>
  <si>
    <t>shūcài</t>
  </si>
  <si>
    <t>Loại rau (菜) có nhiều nước, giúp thông suốt (疏) cơ thể = Rau xanh.</t>
  </si>
  <si>
    <t>书法</t>
  </si>
  <si>
    <t>shūfǎ</t>
  </si>
  <si>
    <t>Phương pháp (法) viết chữ (书) nghệ thuật = Thư pháp.</t>
  </si>
  <si>
    <t>书房</t>
  </si>
  <si>
    <t>shūfáng</t>
  </si>
  <si>
    <t>Căn phòng (房) dùng để đọc và cất sách (书) = Phòng đọc sách.</t>
  </si>
  <si>
    <t>税</t>
  </si>
  <si>
    <t>Phần lúa gạo (禾) phải nộp cho nhà vua để giải quyết (兑) việc nước = Thuế.</t>
  </si>
  <si>
    <t>水分</t>
  </si>
  <si>
    <t>shuǐfèn</t>
  </si>
  <si>
    <t>Thành phần (分) nước (水) có trong một vật = Thành phần nước/Độ ẩm.</t>
  </si>
  <si>
    <t>睡眠</t>
  </si>
  <si>
    <t>shuìmián</t>
  </si>
  <si>
    <t>Trạng thái ngủ (睡) khi mắt (目) nhắm lại (眠) = Giấc ngủ.</t>
  </si>
  <si>
    <t>书架</t>
  </si>
  <si>
    <t>shūjià</t>
  </si>
  <si>
    <t>Cái giá/kệ (架) làm bằng gỗ (木) để đỡ sách (书) = Giá sách.</t>
  </si>
  <si>
    <t>数据</t>
  </si>
  <si>
    <t>shùjù</t>
  </si>
  <si>
    <t>Các con số (数) dùng làm căn cứ (据) = Dữ liệu.</t>
  </si>
  <si>
    <t>熟练</t>
  </si>
  <si>
    <t>shúliàn</t>
  </si>
  <si>
    <t>Luyện tập (练) nhiều đến mức chín muồi (熟) = Thành thục/Thành thạo.</t>
  </si>
  <si>
    <t>树木</t>
  </si>
  <si>
    <t>shùmù</t>
  </si>
  <si>
    <t>Cây cối (树) nói chung (như những mắt gỗ 木) = Cây cối.</t>
  </si>
  <si>
    <t>顺</t>
  </si>
  <si>
    <t>shùn</t>
  </si>
  <si>
    <t>动、介、形</t>
  </si>
  <si>
    <t>Dòng nước chảy theo hướng đầu (页) của dòng sông (川) = Thuận tiện/Dọc theo.</t>
  </si>
  <si>
    <t>说不定</t>
  </si>
  <si>
    <t>shuōbudìng</t>
  </si>
  <si>
    <t>Nói (说) ra nhưng không (不) chắc chắn/ấn định (定) = Có lẽ/Không chừng.</t>
  </si>
  <si>
    <t>说服</t>
  </si>
  <si>
    <t>shuōfú</t>
  </si>
  <si>
    <t>Dùng lời nói (说) để khiến người khác khuất phục/nghe theo (服) = Thuyết phục.</t>
  </si>
  <si>
    <t>熟人</t>
  </si>
  <si>
    <t>shúrén</t>
  </si>
  <si>
    <t>Người (人) mà mình đã quen biết chín muồi (熟) = Người quen.</t>
  </si>
  <si>
    <t>输入</t>
  </si>
  <si>
    <t>shūrù</t>
  </si>
  <si>
    <t>Đưa vào (入) một cách thông suốt (输) = Nhập vào (dữ liệu).</t>
  </si>
  <si>
    <t>舒适</t>
  </si>
  <si>
    <t>shūshì</t>
  </si>
  <si>
    <t>Cảm thấy thư giãn (舒) và phù hợp/vừa vặn (适) = Dễ chịu/Thoải mái.</t>
  </si>
  <si>
    <t>属于</t>
  </si>
  <si>
    <t>shǔyú</t>
  </si>
  <si>
    <t>Gắn liền với (于) một bộ phận/loài (属) nào đó = Thuộc về.</t>
  </si>
  <si>
    <t>四处</t>
  </si>
  <si>
    <t>sìchù</t>
  </si>
  <si>
    <t>Bốn (四) nơi/nơi chốn (处) = Khắp nơi.</t>
  </si>
  <si>
    <t>似乎</t>
  </si>
  <si>
    <t>sìhū</t>
  </si>
  <si>
    <t>Giống như là (似) vậy sao (乎) = Dường như/Có vẻ như.</t>
  </si>
  <si>
    <t>思考</t>
  </si>
  <si>
    <t>sīkǎo</t>
  </si>
  <si>
    <t>Dùng tâm (心) để suy nghĩ và khảo sát (考) vấn đề = Suy nghĩ/Tư duy.</t>
  </si>
  <si>
    <t>私人</t>
  </si>
  <si>
    <t>sīrén</t>
  </si>
  <si>
    <t>Con người (人) với tư cách riêng tư (私 - hình ruộng lúa của riêng mình) = Cá nhân/Riêng tư.</t>
  </si>
  <si>
    <t>思维</t>
  </si>
  <si>
    <t>sīwéi</t>
  </si>
  <si>
    <t>Suy nghĩ (思) liên kết lại như sợi tơ (维 - bộ mịch 纟) = Tư duy.</t>
  </si>
  <si>
    <t>思想</t>
  </si>
  <si>
    <t>sīxiǎng</t>
  </si>
  <si>
    <t>Suy nghĩ (思) và tưởng tượng (想) trong tâm trí = Tư tưởng/Ý nghĩ.</t>
  </si>
  <si>
    <t>四周</t>
  </si>
  <si>
    <t>sìzhōu</t>
  </si>
  <si>
    <t>Bốn (四) mặt xung quanh (周) = Xung quanh.</t>
  </si>
  <si>
    <t>搜</t>
  </si>
  <si>
    <t>sōu</t>
  </si>
  <si>
    <t>Dùng tay (扌) tìm kiếm người núp dưới mái nhà (叟) = Tìm kiếm.</t>
  </si>
  <si>
    <t>搜索</t>
  </si>
  <si>
    <t>sōusuǒ</t>
  </si>
  <si>
    <t>Tìm kiếm (搜) và lần theo sợi dây (索) manh mối = Search/Tìm kiếm.</t>
  </si>
  <si>
    <t>酸甜苦辣</t>
  </si>
  <si>
    <t>suān-tián-kǔ-là</t>
  </si>
  <si>
    <t>Bốn vị của cuộc đời: Chua, Ngọt, Đắng, Cay.</t>
  </si>
  <si>
    <t>随</t>
  </si>
  <si>
    <t>suí</t>
  </si>
  <si>
    <t>Đi theo (辶) những người cùng vùng đất (隋) = Theo/Tùy.</t>
  </si>
  <si>
    <t>碎</t>
  </si>
  <si>
    <t>Viên đá (石) bị vỡ vụn thành mười (十) mảnh nhỏ = Vỡ vụn/Lẻ.</t>
  </si>
  <si>
    <t>随后</t>
  </si>
  <si>
    <t>suíhòu</t>
  </si>
  <si>
    <t>Theo (随) ngay sau (后) đó = Ngay sau đó.</t>
  </si>
  <si>
    <t>随时</t>
  </si>
  <si>
    <t>suíshí</t>
  </si>
  <si>
    <t>Theo (随) bất cứ thời gian (时) nào = Bất cứ lúc nào.</t>
  </si>
  <si>
    <t>随手</t>
  </si>
  <si>
    <t>suíshǒu</t>
  </si>
  <si>
    <t>Theo (随) quán tính của bàn tay (手) = Tiện tay.</t>
  </si>
  <si>
    <t>随意</t>
  </si>
  <si>
    <t>suíyì</t>
  </si>
  <si>
    <t>Theo (随) theo ý (意) muốn của mình = Tùy ý.</t>
  </si>
  <si>
    <t>损害</t>
  </si>
  <si>
    <t>sǔnhài</t>
  </si>
  <si>
    <t>Làm hao hụt (损) và gây hại (害) = Tổn hại.</t>
  </si>
  <si>
    <t>损失</t>
  </si>
  <si>
    <t>sǔnshī</t>
  </si>
  <si>
    <t>Hao hụt (损) và mất mát (失) = Thiệt hại/Thua lỗ.</t>
  </si>
  <si>
    <t>所1</t>
  </si>
  <si>
    <t>suǒ</t>
  </si>
  <si>
    <t>Dùng rìu (斤) đẽo cửa (户) để tạo ra một địa điểm = Nơi/Chỗ/Tòa.</t>
  </si>
  <si>
    <t>锁</t>
  </si>
  <si>
    <t>Vật bằng kim loại (钅) dùng để khóa cửa lại (琐) = Cái khóa/Khóa.</t>
  </si>
  <si>
    <t>缩短</t>
  </si>
  <si>
    <t>suōduǎn</t>
  </si>
  <si>
    <t>Co lại như sợi tơ (纟) khiến độ dài ngắn (短) lại = Rút ngắn.</t>
  </si>
  <si>
    <t>缩小</t>
  </si>
  <si>
    <t>suōxiǎo</t>
  </si>
  <si>
    <t>Co lại (缩) cho nhỏ (小) lại = Thu nhỏ.</t>
  </si>
  <si>
    <t>宿舍</t>
  </si>
  <si>
    <t>sùshè</t>
  </si>
  <si>
    <t>Ngôi nhà (舍) để ngủ qua đêm (宿) = Ký túc xá.</t>
  </si>
  <si>
    <t>台灯</t>
  </si>
  <si>
    <t>táidēng</t>
  </si>
  <si>
    <t>Cái đèn (灯) đặt trên cái bục/giá (台) = Đèn bàn.</t>
  </si>
  <si>
    <t>台阶</t>
  </si>
  <si>
    <t>táijiē</t>
  </si>
  <si>
    <t>Các bậc (阶) của cái bục cao (台) = Bậc thang/Thềm nhà.</t>
  </si>
  <si>
    <t>太太</t>
  </si>
  <si>
    <t>tàitai</t>
  </si>
  <si>
    <t>Người phụ nữ cao quý nhất trong nhà = Vợ/Phu nhân.</t>
  </si>
  <si>
    <t>谈话</t>
  </si>
  <si>
    <t>tánhuà</t>
  </si>
  <si>
    <t>Dùng lời nói (言) để thảo luận về những điều nóng bỏng như lửa (炎) = Trò chuyện.</t>
  </si>
  <si>
    <t>桃</t>
  </si>
  <si>
    <t>táo</t>
  </si>
  <si>
    <t>Loại cây (木) ra quả vào triệu (兆) năm trước = Quả đào.</t>
  </si>
  <si>
    <t>套</t>
  </si>
  <si>
    <t>tào</t>
  </si>
  <si>
    <t>Một vật lớn (大) bao trùm lên vật khác (长) = Vỏ bọc/Bao/Bộ.</t>
  </si>
  <si>
    <t>他人</t>
  </si>
  <si>
    <t>tārén</t>
  </si>
  <si>
    <t>Con người (人) khác (他) = Người khác.</t>
  </si>
  <si>
    <t>特产</t>
  </si>
  <si>
    <t>tèchǎn</t>
  </si>
  <si>
    <t>Sản phẩm (产) đặc biệt (特) của một vùng = Đặc sản.</t>
  </si>
  <si>
    <t>疼痛</t>
  </si>
  <si>
    <t>téngtòng</t>
  </si>
  <si>
    <t>Cảm giác đau đớn (痛) như bị đông cứng (疼) = Đau đớn.</t>
  </si>
  <si>
    <t>特色</t>
  </si>
  <si>
    <t>tèsè</t>
  </si>
  <si>
    <t>Màu sắc (色) đặc trưng (特) = Đặc sắc/Nét riêng.</t>
  </si>
  <si>
    <t>特殊</t>
  </si>
  <si>
    <t>tèshū</t>
  </si>
  <si>
    <t>Đặc biệt (特) và khác biệt hoàn toàn (殊) = Đặc biệt/Cá biệt.</t>
  </si>
  <si>
    <t>特有</t>
  </si>
  <si>
    <t>tèyǒu</t>
  </si>
  <si>
    <t>Chỉ riêng nơi đó mới có (有) một cách đặc biệt (特) = Riêng biệt/Vốn có.</t>
  </si>
  <si>
    <t>特征</t>
  </si>
  <si>
    <t>tèzhēng</t>
  </si>
  <si>
    <t>Những dấu hiệu (征) đặc biệt (特) để nhận biết = Đặc điểm/Trưng tính.</t>
  </si>
  <si>
    <t>替</t>
  </si>
  <si>
    <t>tì</t>
  </si>
  <si>
    <t>Hai người (夫+夫) đứng dưới ánh mặt trời (日) để thay phiên nhau làm việc = Thay thế.</t>
  </si>
  <si>
    <t>填</t>
  </si>
  <si>
    <t>Dùng đất (土) để lấp đầy cái chân (真) trống trải = Điền vào/Lấp đầy.</t>
  </si>
  <si>
    <t>天空</t>
  </si>
  <si>
    <t>tiānkōng</t>
  </si>
  <si>
    <t>Khoảng không (空) của bầu trời (天) = Bầu trời.</t>
  </si>
  <si>
    <t>甜品</t>
  </si>
  <si>
    <t>tiánpǐn</t>
  </si>
  <si>
    <t>Vật phẩm (品) có vị ngọt (甜) = Món tráng miệng/Đồ ngọt.</t>
  </si>
  <si>
    <t>天上</t>
  </si>
  <si>
    <t>tiānshàng</t>
  </si>
  <si>
    <t>Phía trên (上) bầu trời (天) = Trên trời.</t>
  </si>
  <si>
    <t>调</t>
  </si>
  <si>
    <t>Dùng lời nói (讠) để điều động hoặc điều chỉnh (周) = Điều chỉnh/Giai điệu.</t>
  </si>
  <si>
    <t>挑</t>
  </si>
  <si>
    <t>tiāo</t>
  </si>
  <si>
    <t>Dùng tay (扌) gánh đồ trên vai như một điềm báo (兆) = Gánh/Vác.</t>
  </si>
  <si>
    <t>跳高</t>
  </si>
  <si>
    <t>tiàogāo</t>
  </si>
  <si>
    <t>Dùng chân (足) nhảy (跳) lên cao (高) = Nhảy cao.</t>
  </si>
  <si>
    <t>调皮</t>
  </si>
  <si>
    <t>tiáopí</t>
  </si>
  <si>
    <t>Đứa trẻ nghịch ngợm khiến ta phải điều chỉnh (调) lớp da (皮) của nó = Nghịch ngợm.</t>
  </si>
  <si>
    <t>挑选</t>
  </si>
  <si>
    <t>tiāoxuǎn</t>
  </si>
  <si>
    <t>Dùng tay (扌) chọn lựa (挑) và tuyển chọn (选) = Chọn lựa.</t>
  </si>
  <si>
    <t>跳远</t>
  </si>
  <si>
    <t>tiàoyuǎn</t>
  </si>
  <si>
    <t>Dùng chân (足) nhảy (跳) ra xa (远) = Nhảy xa.</t>
  </si>
  <si>
    <t>挑战</t>
  </si>
  <si>
    <t>tiǎozhàn</t>
  </si>
  <si>
    <t>Khiêu khích (挑) để dẫn đến chiến tranh (战) = Thử thách/Thách thức.</t>
  </si>
  <si>
    <t>调整</t>
  </si>
  <si>
    <t>tiáozhěng</t>
  </si>
  <si>
    <t>Điều chỉnh (调) cho ngay ngắn/chỉnh tề (整) = Điều chỉnh.</t>
  </si>
  <si>
    <t>提倡</t>
  </si>
  <si>
    <t>tíchàng</t>
  </si>
  <si>
    <t>Dùng tay (扌) nâng cao và xướng tên (唱) một ý tưởng = Đề xướng.</t>
  </si>
  <si>
    <t>贴</t>
  </si>
  <si>
    <t>tiē</t>
  </si>
  <si>
    <t>Dùng tiền bạc (贝) để dán/chiếm lấy một vị trí (占) = Dán/Sát gần.</t>
  </si>
  <si>
    <t>铁路</t>
  </si>
  <si>
    <t>tiělù</t>
  </si>
  <si>
    <t>Con đường (路) làm bằng sắt (铁) = Đường sắt.</t>
  </si>
  <si>
    <t>体会</t>
  </si>
  <si>
    <t>tǐhuì</t>
  </si>
  <si>
    <t>Dùng cơ thể (体) để lĩnh hội (会) cảm giác = Trải nghiệm/Nhận thức.</t>
  </si>
  <si>
    <t>提交</t>
  </si>
  <si>
    <t>tíjiāo</t>
  </si>
  <si>
    <t>Dùng tay (扌) đưa lên (提) và giao nộp (交) = Nộp/Gửi (báo cáo).</t>
  </si>
  <si>
    <t>体力</t>
  </si>
  <si>
    <t>tǐlì</t>
  </si>
  <si>
    <t>Sức lực (力) của cơ thể (体) = Thể lực.</t>
  </si>
  <si>
    <t>题目</t>
  </si>
  <si>
    <t>tímù</t>
  </si>
  <si>
    <t>Điểm nhìn (目) quan trọng nhất ở đầu (页) trang giấy = Tiêu đề/Câu hỏi.</t>
  </si>
  <si>
    <t>停留</t>
  </si>
  <si>
    <t>tíngliú</t>
  </si>
  <si>
    <t>Dừng lại (停) và ở lại (留) = Dừng lại/Lưu lại.</t>
  </si>
  <si>
    <t>提起</t>
  </si>
  <si>
    <t>tíqǐ</t>
  </si>
  <si>
    <t>Dùng tay nâng lên (提) hoặc nhấc lên (起) một vấn đề = Đề cập/Nhắc đến.</t>
  </si>
  <si>
    <t>提升</t>
  </si>
  <si>
    <t>tíshēng</t>
  </si>
  <si>
    <t>Nâng cao (提) và bay lên (升) = Nâng cao/Đề bạt.</t>
  </si>
  <si>
    <t>提问</t>
  </si>
  <si>
    <t>tíwèn</t>
  </si>
  <si>
    <t>Đưa ra (提) câu hỏi (问) = Đặt câu hỏi.</t>
  </si>
  <si>
    <t>体现</t>
  </si>
  <si>
    <t>tǐxiàn</t>
  </si>
  <si>
    <t>Làm cho hiện ra (现) thông qua hình thể (体) = Thể hiện.</t>
  </si>
  <si>
    <t>体验</t>
  </si>
  <si>
    <t>tǐyàn</t>
  </si>
  <si>
    <t>Dùng cơ thể (体) để kiểm tra (验) thực tế = Trải nghiệm.</t>
  </si>
  <si>
    <t>同</t>
  </si>
  <si>
    <t>tóng</t>
  </si>
  <si>
    <t>形、动、副、介、连</t>
  </si>
  <si>
    <t>Mọi người cùng chung một cái miệng (口) dưới một mái nhà = Cùng/Giống.</t>
  </si>
  <si>
    <t>通常</t>
  </si>
  <si>
    <t>tōngcháng</t>
  </si>
  <si>
    <t>Thường xuyên (常) và thông suốt (通) = Thông thường.</t>
  </si>
  <si>
    <t>统计</t>
  </si>
  <si>
    <t>tǒngjì</t>
  </si>
  <si>
    <t>Tập hợp lại (统 - có bộ mịch 纟) để tính toán (计) = Thống kê.</t>
  </si>
  <si>
    <t>痛苦</t>
  </si>
  <si>
    <t>tòngkǔ</t>
  </si>
  <si>
    <t>Đau đớn (痛) và đắng cay (苦) = Đau khổ.</t>
  </si>
  <si>
    <t>同情</t>
  </si>
  <si>
    <t>tóngqíng</t>
  </si>
  <si>
    <t>Có cùng (同) tình cảm (情) với người khác = Đồng cảm/Thương hại.</t>
  </si>
  <si>
    <t>通行</t>
  </si>
  <si>
    <t>tōngxíng</t>
  </si>
  <si>
    <t>Đi qua (行) một cách thông suốt (通) = Thông hành/Đi lại.</t>
  </si>
  <si>
    <t>同一</t>
  </si>
  <si>
    <t>tóngyī</t>
  </si>
  <si>
    <t>Cùng (同) là một (一) = Cùng một/Đồng nhất.</t>
  </si>
  <si>
    <t>统一</t>
  </si>
  <si>
    <t>tǒngyī</t>
  </si>
  <si>
    <t>Thống nhất các đầu mối (统) về làm một (一) = Thống nhất.</t>
  </si>
  <si>
    <t>tou</t>
  </si>
  <si>
    <t>Hình ảnh cái đầu con người với hai sợi tóc trên cùng = Đầu.</t>
  </si>
  <si>
    <t>投</t>
  </si>
  <si>
    <t>Dùng tay (扌) ném đồ vật vào cái giá (殳) = Ném/Đầu tư.</t>
  </si>
  <si>
    <t>投入</t>
  </si>
  <si>
    <t>tóurù</t>
  </si>
  <si>
    <t>Ném (投) mình vào (入) một việc gì đó = Đầu tư/Tập trung cao độ.</t>
  </si>
  <si>
    <t>团</t>
  </si>
  <si>
    <t>tuán</t>
  </si>
  <si>
    <t>Những thứ bị nhốt trong khuôn (囗) tạo thành một khối tài năng (才) = Đoàn/Khối/Nhóm.</t>
  </si>
  <si>
    <t>团队</t>
  </si>
  <si>
    <t>tuánduì</t>
  </si>
  <si>
    <t>Một nhóm/khối (团) các đội ngũ (队) hợp lại = Đội ngũ/Team.</t>
  </si>
  <si>
    <t>突出</t>
  </si>
  <si>
    <t>tūchū</t>
  </si>
  <si>
    <t>Con chó nhảy vọt ra khỏi hang (突) để đi ra ngoài (出) = Nổi bật/Vượt trội.</t>
  </si>
  <si>
    <t>土地</t>
  </si>
  <si>
    <t>tǔdì</t>
  </si>
  <si>
    <t>Đất (土) và địa hình (地) = Đất đai.</t>
  </si>
  <si>
    <t>土豆</t>
  </si>
  <si>
    <t>tǔdòu</t>
  </si>
  <si>
    <t>Loại đậu (豆) mọc ở dưới đất (土) = Khoai tây.</t>
  </si>
  <si>
    <t>图画</t>
  </si>
  <si>
    <t>túhuà</t>
  </si>
  <si>
    <t>Những bức vẽ (画) trong bản đồ/tranh (图) = Bức tranh.</t>
  </si>
  <si>
    <t>退</t>
  </si>
  <si>
    <t>tuì</t>
  </si>
  <si>
    <t>Bước chân (辶) đi ngược lại để tránh vật cản (艮) = Lùi/Thoái.</t>
  </si>
  <si>
    <t>退出</t>
  </si>
  <si>
    <t>tuìchū</t>
  </si>
  <si>
    <t>Rút lui (退) ra khỏi (出) một nơi/vị trí = Rút khỏi/Thoát ra.</t>
  </si>
  <si>
    <t>推动</t>
  </si>
  <si>
    <t>tuīdòng</t>
  </si>
  <si>
    <t>Dùng tay (扌) tác động để làm chuyển động (动) = Thúc đẩy.</t>
  </si>
  <si>
    <t>推广</t>
  </si>
  <si>
    <t>tuīguǎng</t>
  </si>
  <si>
    <t>Dùng tay (扌) đẩy một thứ ra phạm vi rộng lớn (广) = Phổ biến/Mở rộng.</t>
  </si>
  <si>
    <t>退还</t>
  </si>
  <si>
    <t>tuìhuán</t>
  </si>
  <si>
    <t>Lùi lại (退) và trả lại (还) = Trả lại.</t>
  </si>
  <si>
    <t>推荐</t>
  </si>
  <si>
    <t>tuījiàn</t>
  </si>
  <si>
    <t>Dùng tay (扌) đưa một người/vật tốt đẹp như cỏ tiên (荐) lên = Tiến cử/Giới thiệu.</t>
  </si>
  <si>
    <t>推进</t>
  </si>
  <si>
    <t>tuījìn</t>
  </si>
  <si>
    <t>Đẩy (推) cho tiến (进) về phía trước = Đẩy mạnh/Tiến hành.</t>
  </si>
  <si>
    <t>退休</t>
  </si>
  <si>
    <t>tuìxiū</t>
  </si>
  <si>
    <t>Thối lui (退) để đi nghỉ ngơi (休 - người dựa vào cây) = Nghỉ hưu.</t>
  </si>
  <si>
    <t>拖鞋</t>
  </si>
  <si>
    <t>tuōxié</t>
  </si>
  <si>
    <t>Chiếc giày (鞋) dùng để lê lết/kéo (拖) trên sàn = Dép lê.</t>
  </si>
  <si>
    <t>图书</t>
  </si>
  <si>
    <t>túshū</t>
  </si>
  <si>
    <t>Bản đồ (图) và sách vở (书) nói chung = Sách/Đồ thư.</t>
  </si>
  <si>
    <t>兔子</t>
  </si>
  <si>
    <t>tùzi</t>
  </si>
  <si>
    <t>Hình ảnh con thỏ có cái đuôi ngắn (dấu chấm ở dưới) = Con thỏ.</t>
  </si>
  <si>
    <t>外部</t>
  </si>
  <si>
    <t>wàibù</t>
  </si>
  <si>
    <t>Bộ phận (部) nằm ở phía ngoài (外) = Bên ngoài.</t>
  </si>
  <si>
    <t>外公</t>
  </si>
  <si>
    <t>wàigōng</t>
  </si>
  <si>
    <t>Người đàn ông (公) ở phía bên ngoài (họ mẹ) = Ông ngoại.</t>
  </si>
  <si>
    <t>外观</t>
  </si>
  <si>
    <t>wàiguān</t>
  </si>
  <si>
    <t>Cái nhìn (观) từ phía bên ngoài (外) = Diện mạo/Vẻ ngoài.</t>
  </si>
  <si>
    <t>外婆</t>
  </si>
  <si>
    <t>wàipó</t>
  </si>
  <si>
    <t>Người bà (婆) ở phía bên ngoài (họ mẹ) = Bà ngoại.</t>
  </si>
  <si>
    <t>外形</t>
  </si>
  <si>
    <t>wàixíng</t>
  </si>
  <si>
    <t>Hình dáng (形) bên ngoài (外) = Hình dáng bên ngoài.</t>
  </si>
  <si>
    <t>弯</t>
  </si>
  <si>
    <t>wān</t>
  </si>
  <si>
    <t>Hình ảnh chiếc cung (弓) bị uốn cong = Cong/Quẹo.</t>
  </si>
  <si>
    <t>往返</t>
  </si>
  <si>
    <t>wǎngfǎn</t>
  </si>
  <si>
    <t>Đi hướng về (往) rồi lại quay ngược lại (返) = Khứ hồi/Đi đi về về.</t>
  </si>
  <si>
    <t>网络</t>
  </si>
  <si>
    <t>wǎngluò</t>
  </si>
  <si>
    <t>Cái mạng lưới (网) được đan bằng các sợi tơ (络) = Mạng internet.</t>
  </si>
  <si>
    <t>玩具</t>
  </si>
  <si>
    <t>wánjù</t>
  </si>
  <si>
    <t>Công cụ (具) để vui chơi (玩) = Đồ chơi.</t>
  </si>
  <si>
    <t>完美</t>
  </si>
  <si>
    <t>wánměi</t>
  </si>
  <si>
    <t>Đã hoàn thành (完) lại còn rất đẹp (美) = Hoàn mỹ.</t>
  </si>
  <si>
    <t>完善</t>
  </si>
  <si>
    <t>wánshàn</t>
  </si>
  <si>
    <t>Hoàn thiện (完) và trở nên tốt đẹp (善) = Hoàn thiện.</t>
  </si>
  <si>
    <t>万一</t>
  </si>
  <si>
    <t>wànyī</t>
  </si>
  <si>
    <t>Trong một vạn (万) trường hợp mới có một (一) = Lỡ như/Vạn nhất.</t>
  </si>
  <si>
    <t>完整</t>
  </si>
  <si>
    <t>wánzhěng</t>
  </si>
  <si>
    <t>Hoàn chỉnh (完) và ngay ngắn (整) = Nguyên vẹn/Đầy đủ.</t>
  </si>
  <si>
    <t>围</t>
  </si>
  <si>
    <t>Bao quanh một vùng đất (韦) bằng một cái khung (囗) = Vây quanh/Bao quanh.</t>
  </si>
  <si>
    <t>为2</t>
  </si>
  <si>
    <t>Làm vì một mục đích nào đó = Vì/Để.</t>
  </si>
  <si>
    <t>胃</t>
  </si>
  <si>
    <t>Bộ phận thịt (月) nằm dưới ruộng lúa (田) để chứa thức ăn = Dạ dày.</t>
  </si>
  <si>
    <t>喂2</t>
  </si>
  <si>
    <t>Dùng miệng (口) để gọi hoặc đút ăn = Alo/Cho ăn.</t>
  </si>
  <si>
    <t>尾巴</t>
  </si>
  <si>
    <t>wěiba</t>
  </si>
  <si>
    <t>Phần lông (毛) mọc ở xác/đít (尸) của con vật = Cái đuôi.</t>
  </si>
  <si>
    <t>维持</t>
  </si>
  <si>
    <t>wéichí</t>
  </si>
  <si>
    <t>Dùng sợi tơ (维) và bàn tay (持) để giữ gìn = Duy trì.</t>
  </si>
  <si>
    <t>伟大</t>
  </si>
  <si>
    <t>wěidà</t>
  </si>
  <si>
    <t>Con người (亻) có phẩm hạnh cao quý (韦) và to lớn (大) = Vĩ đại.</t>
  </si>
  <si>
    <t>违法</t>
  </si>
  <si>
    <t>wéifǎ</t>
  </si>
  <si>
    <t>Làm trái (违) với pháp luật (法) = Vi phạm pháp luật.</t>
  </si>
  <si>
    <t>违反</t>
  </si>
  <si>
    <t>wéifǎn</t>
  </si>
  <si>
    <t>Làm ngược lại (反) và trái với (违) quy định = Vi phạm.</t>
  </si>
  <si>
    <t>危害</t>
  </si>
  <si>
    <t>wēihài</t>
  </si>
  <si>
    <t>Sự nguy hiểm (危) gây ra tai hại (害) = Nguy hại.</t>
  </si>
  <si>
    <t>围巾</t>
  </si>
  <si>
    <t>wéijīn</t>
  </si>
  <si>
    <t>Tấm khăn (巾) dùng để quàng quanh (围) cổ = Khăn quàng cổ.</t>
  </si>
  <si>
    <t>未来</t>
  </si>
  <si>
    <t>wèilái</t>
  </si>
  <si>
    <t>Những thứ chưa (未) đến (来) = Tương lai.</t>
  </si>
  <si>
    <t>围绕</t>
  </si>
  <si>
    <t>wéirào</t>
  </si>
  <si>
    <t>Vây quanh (围) và xoay vòng (绕) = Xoay quanh.</t>
  </si>
  <si>
    <t>微笑</t>
  </si>
  <si>
    <t>wēixiào</t>
  </si>
  <si>
    <t>Nụ cười (笑) nhỏ nhẹ (微) = Mỉm cười.</t>
  </si>
  <si>
    <t>威胁</t>
  </si>
  <si>
    <t>wēixié</t>
  </si>
  <si>
    <t>Sự nguy hiểm (危) ép buộc từ hai phía (胁 - có bộ nhục 月 và 3 chữ lực 力) = Đe dọa.</t>
  </si>
  <si>
    <t>维修</t>
  </si>
  <si>
    <t>wéixiū</t>
  </si>
  <si>
    <t>Duy trì (维) và tu sửa (修) = Bảo trì/Sửa chữa.</t>
  </si>
  <si>
    <t>唯一</t>
  </si>
  <si>
    <t>wéiyī</t>
  </si>
  <si>
    <t>Chỉ (唯) có một (一) = Duy nhất.</t>
  </si>
  <si>
    <t>位于</t>
  </si>
  <si>
    <t>wèiyú</t>
  </si>
  <si>
    <t>Đứng (位) ở (于) một vị trí nào đó = Nằm ở/Tọa lạc tại.</t>
  </si>
  <si>
    <t>位置</t>
  </si>
  <si>
    <t>wèizhì</t>
  </si>
  <si>
    <t>Vị trí (位) được sắp đặt (置) = Vị trí/Chỗ ngồi.</t>
  </si>
  <si>
    <t>稳定</t>
  </si>
  <si>
    <t>wěndìng</t>
  </si>
  <si>
    <t>Lúa gạo (禾) được giữ yên trong nhà (定) thì sẽ = Ổn định.</t>
  </si>
  <si>
    <t>问卷</t>
  </si>
  <si>
    <t>wènjuàn</t>
  </si>
  <si>
    <t>Tập giấy (卷) chứa các câu hỏi (问) = Bảng câu hỏi/Khảo sát.</t>
  </si>
  <si>
    <t>温暖</t>
  </si>
  <si>
    <t>wēnnuǎn</t>
  </si>
  <si>
    <t>Nước (氵) ấm và có ánh mặt trời (日) chiếu vào người (爰) = Ấm áp.</t>
  </si>
  <si>
    <t>文学</t>
  </si>
  <si>
    <t>wénxué</t>
  </si>
  <si>
    <t>Học (学) về vẻ đẹp của con chữ (文) = Văn học.</t>
  </si>
  <si>
    <t>握</t>
  </si>
  <si>
    <t>wò</t>
  </si>
  <si>
    <t>Dùng tay (扌) nắm chặt lấy một vật bên trong nhà (屋) = Cầm/Nắm.</t>
  </si>
  <si>
    <t>卧室</t>
  </si>
  <si>
    <t>wòshì</t>
  </si>
  <si>
    <t>Căn phòng (室) để nằm (卧) nghỉ ngơi = Phòng ngủ.</t>
  </si>
  <si>
    <t>握手</t>
  </si>
  <si>
    <t>wòshǒu</t>
  </si>
  <si>
    <t>Nắm (握) lấy bàn tay (手) = Bắt tay.</t>
  </si>
  <si>
    <t>雾</t>
  </si>
  <si>
    <t>wù</t>
  </si>
  <si>
    <t>Mưa (雨) rơi xuống nhưng lại biến thành công việc (务) của làn khói = Sương mù.</t>
  </si>
  <si>
    <t>舞蹈</t>
  </si>
  <si>
    <t>wǔdǎo</t>
  </si>
  <si>
    <t>Dùng chân nhảy múa (舞) và dẫn dắt (导) cơ thể = Vũ đạo/Nhảy múa.</t>
  </si>
  <si>
    <t>无关</t>
  </si>
  <si>
    <t>wúguān</t>
  </si>
  <si>
    <t>Không (无) liên quan (关) gì đến nhau = Không liên quan.</t>
  </si>
  <si>
    <t>物价</t>
  </si>
  <si>
    <t>wùjià</t>
  </si>
  <si>
    <t>Giá cả (价) của đồ vật (物) = Giá cả thị trường.</t>
  </si>
  <si>
    <t>物理</t>
  </si>
  <si>
    <t>wùlǐ</t>
  </si>
  <si>
    <t>Đạo lý (理) của các sự vật (物) trong tự nhiên = Vật lý.</t>
  </si>
  <si>
    <t>无奈</t>
  </si>
  <si>
    <t>wúnài</t>
  </si>
  <si>
    <t>Không (无) có cách nào (奈) khác cả = Đành chịu/Bất lực.</t>
  </si>
  <si>
    <t>物品</t>
  </si>
  <si>
    <t>wùpǐn</t>
  </si>
  <si>
    <t>Những vật phẩm (品) đồ vật (物) nói chung = Vật phẩm/Đồ đạc.</t>
  </si>
  <si>
    <t>无数</t>
  </si>
  <si>
    <t>wúshù</t>
  </si>
  <si>
    <t>Nhiều đến mức không (无) thể đếm (数) được = Vô số.</t>
  </si>
  <si>
    <t>武术</t>
  </si>
  <si>
    <t>wǔshù</t>
  </si>
  <si>
    <t>Kỹ thuật (术) dùng để ngăn chặn binh đao (武) = Võ thuật.</t>
  </si>
  <si>
    <t>舞台</t>
  </si>
  <si>
    <t>wǔtái</t>
  </si>
  <si>
    <t>Cái bục/đài (台) để biểu diễn nhảy múa (舞) = Sân khấu.</t>
  </si>
  <si>
    <t>无限</t>
  </si>
  <si>
    <t>wúxiàn</t>
  </si>
  <si>
    <t>Không (无) có giới hạn (限) = Vô hạn.</t>
  </si>
  <si>
    <t>无效</t>
  </si>
  <si>
    <t>wúxiào</t>
  </si>
  <si>
    <t>Không (无) mang lại hiệu quả (效) = Vô hiệu/Không hiệu lực.</t>
  </si>
  <si>
    <t>五颜六色</t>
  </si>
  <si>
    <t>wǔyán-liùsè</t>
  </si>
  <si>
    <t>Năm màu sáu sắc = Đủ màu sắc/Sặc sỡ.</t>
  </si>
  <si>
    <t>物业</t>
  </si>
  <si>
    <t>wùyè</t>
  </si>
  <si>
    <t>Ngành nghề kinh doanh (业) quản lý tài sản/vật chất (物) = Quản lý tòa nhà.</t>
  </si>
  <si>
    <t>物质</t>
  </si>
  <si>
    <t>wùzhì</t>
  </si>
  <si>
    <t>Bản chất (质) của đồ vật (物) = Vật chất.</t>
  </si>
  <si>
    <t>戏</t>
  </si>
  <si>
    <t>Dùng binh khí (戈) biểu diễn để vui chơi (又) = Kịch/Trò chơi.</t>
  </si>
  <si>
    <t>Những sợi tơ (糸) liên kết lại thành một hệ thống = Hệ/Khoa/Liên kết.</t>
  </si>
  <si>
    <t>闲</t>
  </si>
  <si>
    <t>Đứng nhìn trăng (月) qua khe cửa (门) là lúc nhàn rỗi = Nhàn rỗi.</t>
  </si>
  <si>
    <t>县</t>
  </si>
  <si>
    <t>xiàn</t>
  </si>
  <si>
    <t>Một vùng đất được quản lý như treo ngược các đầu mối (系) = Huyện.</t>
  </si>
  <si>
    <t>现场</t>
  </si>
  <si>
    <t>xiànchǎng</t>
  </si>
  <si>
    <t>Địa điểm (场) đang hiện diện (现) sự việc = Hiện trường.</t>
  </si>
  <si>
    <t>现代</t>
  </si>
  <si>
    <t>xiàndài</t>
  </si>
  <si>
    <t>Thời đại (代) hiện nay (现) = Hiện đại.</t>
  </si>
  <si>
    <t>现代化</t>
  </si>
  <si>
    <t>xiàndàihuà</t>
  </si>
  <si>
    <t>Biến đổi (化) theo hướng hiện đại (现代) = Hiện đại hóa.</t>
  </si>
  <si>
    <t>显得</t>
  </si>
  <si>
    <t>xiǎnde</t>
  </si>
  <si>
    <t>Có vẻ như hiện rõ (显) ra và đạt được (得) cảm nhận = Có vẻ/Lộ ra.</t>
  </si>
  <si>
    <t>乡</t>
  </si>
  <si>
    <t>Hình ảnh những con đường uốn lượn ở vùng quê = Quê hương/Làng xã.</t>
  </si>
  <si>
    <t>相册</t>
  </si>
  <si>
    <t>xiàngcè</t>
  </si>
  <si>
    <t>Cuốn sổ (册) dùng để lưu giữ hình ảnh (相) = Album ảnh.</t>
  </si>
  <si>
    <t>相处</t>
  </si>
  <si>
    <t>xiāngchǔ</t>
  </si>
  <si>
    <t>Cùng nhau (相) chung sống ở một nơi (处) = Chung sống/Ăn ở với nhau.</t>
  </si>
  <si>
    <t>乡村</t>
  </si>
  <si>
    <t>xiāngcūn</t>
  </si>
  <si>
    <t>Thôn xóm (村) ở vùng quê (乡) = Nông thôn/Miền quê.</t>
  </si>
  <si>
    <t>相当</t>
  </si>
  <si>
    <t>xiāngdāng</t>
  </si>
  <si>
    <t>Tương ứng (相) và xứng đáng (当) = Khá là/Tương đương.</t>
  </si>
  <si>
    <t>相对</t>
  </si>
  <si>
    <t>xiāngduì</t>
  </si>
  <si>
    <t>Đối diện (对) và tương quan (相) với nhau = Tương đối.</t>
  </si>
  <si>
    <t>相关</t>
  </si>
  <si>
    <t>xiāngguān</t>
  </si>
  <si>
    <t>Có liên quan (关) qua lại (相) = Liên quan.</t>
  </si>
  <si>
    <t>项目</t>
  </si>
  <si>
    <t>xiàngmù</t>
  </si>
  <si>
    <t>Các hạng mục (目) lớn như đầu người (页) trong công việc = Dự án/Hạng mục.</t>
  </si>
  <si>
    <t>想念</t>
  </si>
  <si>
    <t>xiǎngniàn</t>
  </si>
  <si>
    <t>Trái tim (心) luôn suy nghĩ (想) và nhớ nhung (念) = Nhớ nhung.</t>
  </si>
  <si>
    <t>橡皮</t>
  </si>
  <si>
    <t>xiàngpí</t>
  </si>
  <si>
    <t>Lớp da (皮) của cây cao su (橡) = Cục tẩy/Cục gôm.</t>
  </si>
  <si>
    <t>向上</t>
  </si>
  <si>
    <t>xiàngshàng</t>
  </si>
  <si>
    <t>Hướng về (向) phía trên (上) = Đi lên/Tiến lên.</t>
  </si>
  <si>
    <t>响声</t>
  </si>
  <si>
    <t>xiǎngshēng</t>
  </si>
  <si>
    <t>Âm thanh (声) vang vọng (响 - mặt trời chiếu qua mồm) = Tiếng vang.</t>
  </si>
  <si>
    <t>享受</t>
  </si>
  <si>
    <t>xiǎngshòu</t>
  </si>
  <si>
    <t>Đón nhận (受) những điều tốt đẹp cao quý (享) = Hưởng thụ.</t>
  </si>
  <si>
    <t>相似</t>
  </si>
  <si>
    <t>xiāngsì</t>
  </si>
  <si>
    <t>Tương tự (相) và giống nhau (似) = Tương tự/Giống nhau.</t>
  </si>
  <si>
    <t>想象</t>
  </si>
  <si>
    <t>xiǎngxiàng</t>
  </si>
  <si>
    <t>Dùng tâm trí nghĩ (想) về hình dáng con voi (象) = Tưởng tượng.</t>
  </si>
  <si>
    <t>象征</t>
  </si>
  <si>
    <t>xiàngzhēng</t>
  </si>
  <si>
    <t>Hình dáng (象) dùng để làm dấu hiệu (征) = Tượng trưng.</t>
  </si>
  <si>
    <t>先后</t>
  </si>
  <si>
    <t>xiānhòu</t>
  </si>
  <si>
    <t>Trước (先) và sau (后) = Trước sau/Thứ tự.</t>
  </si>
  <si>
    <t>先进</t>
  </si>
  <si>
    <t>xiānjìn</t>
  </si>
  <si>
    <t>Tiến (进) về phía trước (先) = Tiên tiến.</t>
  </si>
  <si>
    <t>线路</t>
  </si>
  <si>
    <t>xiànlù</t>
  </si>
  <si>
    <t>Sợi dây (线) kết nối con đường (路)</t>
  </si>
  <si>
    <t>显然</t>
  </si>
  <si>
    <t>xiǎnrán</t>
  </si>
  <si>
    <t>Hiển (显): Hiện rõ dưới ánh mặt trời (日) + Nhiên (然): Tự nhiên như thế. 
 Mẹo: Cái gì hiện rõ dưới nắng thì "hiển nhiên/rõ ràng" là ai cũng thấy.</t>
  </si>
  <si>
    <t>现实</t>
  </si>
  <si>
    <t>xiànshí</t>
  </si>
  <si>
    <t>Hiện (现): Hiện tại + Thực (实): Có thật, thực tế. 
 Mẹo: Những gì đang hiện ra trước mắt và có thật thì gọi là "thực tế/hiện thực".</t>
  </si>
  <si>
    <t>显示</t>
  </si>
  <si>
    <t>xiǎnshì</t>
  </si>
  <si>
    <t>Hiển (显): Làm cho rõ + Thị (示): Chỉ ra cho xem. 
 Mẹo: Hành động làm cho hiện rõ ra để người khác xem (như màn hình máy tính) là "hiển thị/cho thấy".</t>
  </si>
  <si>
    <t>现象</t>
  </si>
  <si>
    <t>xiànxiàng</t>
  </si>
  <si>
    <t>Những hình dáng (象) đang hiện ra (现) trước mắt = Hiện tượng.</t>
  </si>
  <si>
    <t>限制</t>
  </si>
  <si>
    <t>xiànzhì</t>
  </si>
  <si>
    <t>Đưa ra định mức (制) cho một phạm vi/ngưỡng (限) = Hạn chế/Giới hạn.</t>
  </si>
  <si>
    <t>现状</t>
  </si>
  <si>
    <t>xiànzhuàng</t>
  </si>
  <si>
    <t>Tình trạng (状) hiện nay (现) = Hiện trạng.</t>
  </si>
  <si>
    <t>消费</t>
  </si>
  <si>
    <t>xiāofèi</t>
  </si>
  <si>
    <t>Làm tiêu tán (消) đi tiền phí (费) = Tiêu dùng/Tiêu thụ.</t>
  </si>
  <si>
    <t>消费者</t>
  </si>
  <si>
    <t>xiāofèizhě</t>
  </si>
  <si>
    <t>Người (者) thực hiện việc tiêu dùng (消费) = Người tiêu dùng.</t>
  </si>
  <si>
    <t>消化</t>
  </si>
  <si>
    <t>xiāohuà</t>
  </si>
  <si>
    <t>Làm tiêu tan (消) thức ăn thành chất khác (化) = Tiêu hóa.</t>
  </si>
  <si>
    <t>消极</t>
  </si>
  <si>
    <t>xiāojí</t>
  </si>
  <si>
    <t>Cực điểm (极) của sự lụi tàn/tan biến (消) = Tiêu cực.</t>
  </si>
  <si>
    <t>小姐</t>
  </si>
  <si>
    <t>xiǎojiě</t>
  </si>
  <si>
    <t>Người chị (姐) nhỏ nhắn (小) = Cô gái/Tiểu thư.</t>
  </si>
  <si>
    <t>销量</t>
  </si>
  <si>
    <t>xiāoliàng</t>
  </si>
  <si>
    <t>Số lượng (量) hàng hóa tiêu thụ được (销) = Sản lượng bán ra.</t>
  </si>
  <si>
    <t>效率</t>
  </si>
  <si>
    <t>xiàolǜ</t>
  </si>
  <si>
    <t>Tỷ lệ (率) đạt được hiệu quả (效) = Hiệu suất/Năng suất.</t>
  </si>
  <si>
    <t>消失</t>
  </si>
  <si>
    <t>xiāoshī</t>
  </si>
  <si>
    <t>Tan biến (消) và mất mát (失) đi = Biến mất.</t>
  </si>
  <si>
    <t>销售</t>
  </si>
  <si>
    <t>xiāoshòu</t>
  </si>
  <si>
    <t>Tiêu thụ (销) và bán hàng (售) = Bán hàng/Doanh số.</t>
  </si>
  <si>
    <t>小型</t>
  </si>
  <si>
    <t>xiǎoxíng</t>
  </si>
  <si>
    <t>Khuôn mẫu (型) loại nhỏ (小) = Cỡ nhỏ/Quy mô nhỏ.</t>
  </si>
  <si>
    <t>小于</t>
  </si>
  <si>
    <t>xiǎoyú</t>
  </si>
  <si>
    <t>Nhỏ (小) hơn đối với (于) một số khác = Nhỏ hơn (&lt;).</t>
  </si>
  <si>
    <t>下载</t>
  </si>
  <si>
    <t>xiàzài</t>
  </si>
  <si>
    <t>Đưa từ trên mạng xuống (下) và chứa vào thiết bị (载) = Tải xuống (Download).</t>
  </si>
  <si>
    <t>西餐</t>
  </si>
  <si>
    <t>xīcān</t>
  </si>
  <si>
    <t>Bữa ăn (餐) theo kiểu phương Tây (西) = Món Âu.</t>
  </si>
  <si>
    <t>斜</t>
  </si>
  <si>
    <t>Dùng cái đấu (斗) đong gạo nhưng tay bị nghiêng/lệch (余) = Nghiêng/Chéo.</t>
  </si>
  <si>
    <t>协议</t>
  </si>
  <si>
    <t>xiéyì</t>
  </si>
  <si>
    <t>Cùng nhau hợp sức (协) để đạt được ý nghĩa (议) chung = Hiệp nghị/Thỏa thuận.</t>
  </si>
  <si>
    <t>写作</t>
  </si>
  <si>
    <t>xiězuò</t>
  </si>
  <si>
    <t>Công việc (作) viết lách (写) = Viết lách/Sáng tác.</t>
  </si>
  <si>
    <t>吸管</t>
  </si>
  <si>
    <t>xīguǎn</t>
  </si>
  <si>
    <t>Cái ống (管) dùng để hút (吸) nước = Ống hút.</t>
  </si>
  <si>
    <t>细节</t>
  </si>
  <si>
    <t>xìjié</t>
  </si>
  <si>
    <t>Những chi tiết nhỏ như sợi tơ (细) và các đốt tre (节) = Chi tiết.</t>
  </si>
  <si>
    <t>戏剧</t>
  </si>
  <si>
    <t>xìjù</t>
  </si>
  <si>
    <t>Những vở kịch (剧) dùng để vui chơi/diễn xướng (戏) = Kịch/Hí kịch.</t>
  </si>
  <si>
    <t>信封</t>
  </si>
  <si>
    <t>xìnfēng</t>
  </si>
  <si>
    <t>Thứ dùng để niêm phong (封) bức thư (信) = Phong bì.</t>
  </si>
  <si>
    <t>行程</t>
  </si>
  <si>
    <t>xíngchéng</t>
  </si>
  <si>
    <t>Quá trình (程) di chuyển (行) = Lịch trình/Chặng đường.</t>
  </si>
  <si>
    <t>形成</t>
  </si>
  <si>
    <t>Hình dáng (形) đã trở thành (成) hiện thực = Hình thành.</t>
  </si>
  <si>
    <t>行动</t>
  </si>
  <si>
    <t>xíngdòng</t>
  </si>
  <si>
    <t>Đi lại (行) và cử động (动) = Hành động.</t>
  </si>
  <si>
    <t>行人</t>
  </si>
  <si>
    <t>xíngrén</t>
  </si>
  <si>
    <t>Người (人) đang đi bộ (行) trên đường = Người đi bộ.</t>
  </si>
  <si>
    <t>形容</t>
  </si>
  <si>
    <t>xíngróng</t>
  </si>
  <si>
    <t>Miêu tả hình dáng (形) và diện mạo (容) = Miêu tả/Hình dung.</t>
  </si>
  <si>
    <t>形式</t>
  </si>
  <si>
    <t>xíngshì</t>
  </si>
  <si>
    <t>Hình dáng (形) theo một khuôn mẫu/nghi thức (式) = Hình thức.</t>
  </si>
  <si>
    <t>形势</t>
  </si>
  <si>
    <t>Cái thế (势) của tình hình (形) hiện tại = Hình thế/Tình hình.</t>
  </si>
  <si>
    <t>行驶</t>
  </si>
  <si>
    <t>xíngshǐ</t>
  </si>
  <si>
    <t>Điều khiển/Sai khiến (使) phương tiện di chuyển (行) = Lưu thông/Chạy xe.</t>
  </si>
  <si>
    <t>行为</t>
  </si>
  <si>
    <t>xíngwéi</t>
  </si>
  <si>
    <t>Việc làm (为) thể hiện qua hành động (行) = Hành vi.</t>
  </si>
  <si>
    <t>形象</t>
  </si>
  <si>
    <t>xíngxiàng</t>
  </si>
  <si>
    <t>Hình dáng (形) và tượng trưng (象) = Hình ảnh/Hình tượng.</t>
  </si>
  <si>
    <t>幸运</t>
  </si>
  <si>
    <t>xìngyùn</t>
  </si>
  <si>
    <t>Sự vận hành (运) của số phận mang lại hạnh phúc (幸) = May mắn.</t>
  </si>
  <si>
    <t>性质</t>
  </si>
  <si>
    <t>xìngzhì</t>
  </si>
  <si>
    <t>Bản chất (质) của tính cách/đặc tính (性) = Tính chất.</t>
  </si>
  <si>
    <t>形状</t>
  </si>
  <si>
    <t>xíngzhuàng</t>
  </si>
  <si>
    <t>Hình dáng (形) và trạng thái (状) bên ngoài = Hình dạng.</t>
  </si>
  <si>
    <t>行走</t>
  </si>
  <si>
    <t>xíngzǒu</t>
  </si>
  <si>
    <t>Đi lại (行) và chạy bước (走) = Đi bộ/Di chuyển.</t>
  </si>
  <si>
    <t>新郎</t>
  </si>
  <si>
    <t>xīnláng</t>
  </si>
  <si>
    <t>Người chàng trai (郎) mới (新) cưới vợ = Chú rể.</t>
  </si>
  <si>
    <t>心理</t>
  </si>
  <si>
    <t>Đạo lý/Quy luật (理) của con tim (心) = Tâm lý.</t>
  </si>
  <si>
    <t>新娘</t>
  </si>
  <si>
    <t>xīnniáng</t>
  </si>
  <si>
    <t>Người nương tử (娘) mới (新) cưới chồng = Cô dâu.</t>
  </si>
  <si>
    <t>信任</t>
  </si>
  <si>
    <t>xìnrèn</t>
  </si>
  <si>
    <t>Tin tưởng (信) và giao phó trọng trách (任) = Tin tưởng/Tín nhiệm.</t>
  </si>
  <si>
    <t>新人</t>
  </si>
  <si>
    <t>xīnrén</t>
  </si>
  <si>
    <t>Người (人) mới (新) gia nhập = Người mới.</t>
  </si>
  <si>
    <t>欣赏</t>
  </si>
  <si>
    <t>xīnshǎng</t>
  </si>
  <si>
    <t>Dùng tâm (心) để thưởng thức/khen thưởng (赏) cái đẹp = Thưởng thức/Ngưỡng mộ.</t>
  </si>
  <si>
    <t>心态</t>
  </si>
  <si>
    <t>xīntài</t>
  </si>
  <si>
    <t>Trạng thái (态) của con tim (心) = Tâm thế/Thái độ tâm lý.</t>
  </si>
  <si>
    <t>新型</t>
  </si>
  <si>
    <t>xīnxíng</t>
  </si>
  <si>
    <t>Kiểu mẫu (型) mới (新) = Kiểu mới.</t>
  </si>
  <si>
    <t>信用</t>
  </si>
  <si>
    <t>xìnyòng</t>
  </si>
  <si>
    <t>Sự tin tưởng (信) để có thể sử dụng (用) danh tiếng = Tín dụng/Uy tín.</t>
  </si>
  <si>
    <t>吸收</t>
  </si>
  <si>
    <t>xīshōu</t>
  </si>
  <si>
    <t>Hút vào (吸) và thu nhận (收) lấy = Hấp thụ.</t>
  </si>
  <si>
    <t>系统</t>
  </si>
  <si>
    <t>xìtǒng</t>
  </si>
  <si>
    <t>Các sợi tơ (系) được quy tụ về một mối (统) = Hệ thống.</t>
  </si>
  <si>
    <t>修改</t>
  </si>
  <si>
    <t>xiūgǎi</t>
  </si>
  <si>
    <t>Tu sửa (修) và thay đổi (改) cho tốt hơn = Sửa đổi/Chỉnh sửa.</t>
  </si>
  <si>
    <t>修建</t>
  </si>
  <si>
    <t>xiūjiàn</t>
  </si>
  <si>
    <t>Tu sửa (修) và xây dựng (建) = Xây dựng/Kiến thiết.</t>
  </si>
  <si>
    <t>休闲</t>
  </si>
  <si>
    <t>xiūxián</t>
  </si>
  <si>
    <t>Nghỉ ngơi (休 - người dựa vào cây) và nhàn rỗi (闲 - ngắm trăng qua cửa) = Nghỉ dưỡng/Giải trí.</t>
  </si>
  <si>
    <t>西装</t>
  </si>
  <si>
    <t>xīzhuāng</t>
  </si>
  <si>
    <t>Trang phục (装) theo kiểu phương Tây (西) = Com-lê/Vest.</t>
  </si>
  <si>
    <t>需</t>
  </si>
  <si>
    <t>xū</t>
  </si>
  <si>
    <t>Mưa (雨) rơi xuống mặt đất (而) là thứ mà vạn vật đều cần = Cần/Nhu cầu.</t>
  </si>
  <si>
    <t>宣布</t>
  </si>
  <si>
    <t>xuānbù</t>
  </si>
  <si>
    <t>Tuyên bố (宣) và phổ biến (布 - hình tấm vải) ra khắp nơi = Tuyên bố/Công bố.</t>
  </si>
  <si>
    <t>宣传</t>
  </si>
  <si>
    <t>xuānchuán</t>
  </si>
  <si>
    <t>Tuyên truyền (宣) và truyền bá (传) rộng rãi = Tuyên truyền.</t>
  </si>
  <si>
    <t>选手</t>
  </si>
  <si>
    <t>xuǎnshǒu</t>
  </si>
  <si>
    <t>Người (手 - tay/người làm việc) được tuyển chọn (选) = Tuyển thủ/Thí sinh.</t>
  </si>
  <si>
    <t>学分</t>
  </si>
  <si>
    <t>xuéfēn</t>
  </si>
  <si>
    <t>Điểm số (分) đạt được trong học tập (学) = Tín chỉ (học tập).</t>
  </si>
  <si>
    <t>雪糕</t>
  </si>
  <si>
    <t>xuěgāo</t>
  </si>
  <si>
    <t>Loại bánh (糕) lạnh như tuyết (雪) = Kem que/Kem.</t>
  </si>
  <si>
    <t>学科</t>
  </si>
  <si>
    <t>xuékē</t>
  </si>
  <si>
    <t>Các môn (科) trong học tập (学) = Môn học/Ngành học.</t>
  </si>
  <si>
    <t>学历</t>
  </si>
  <si>
    <t>xuélì</t>
  </si>
  <si>
    <t>Quá trình trải nghiệm (历) học tập (学) = Học vấn/Bằng cấp.</t>
  </si>
  <si>
    <t>学年</t>
  </si>
  <si>
    <t>xuénián</t>
  </si>
  <si>
    <t>Năm (年) học (学) = Năm học.</t>
  </si>
  <si>
    <t>学术</t>
  </si>
  <si>
    <t>xuéshù</t>
  </si>
  <si>
    <t>Kỹ thuật (术) và kiến thức học thuật (学) = Học thuật.</t>
  </si>
  <si>
    <t>学者</t>
  </si>
  <si>
    <t>xuézhě</t>
  </si>
  <si>
    <t>Người (者) chuyên làm về học thuật (学) = Học giả.</t>
  </si>
  <si>
    <t>训练</t>
  </si>
  <si>
    <t>xùnliàn</t>
  </si>
  <si>
    <t>Dùng lời nói (讠) chỉ dạy và luyện tập (练) bằng tơ (纟) cho dẻo dai = Huấn luyện.</t>
  </si>
  <si>
    <t>迅速</t>
  </si>
  <si>
    <t>xùnsù</t>
  </si>
  <si>
    <t>Nhanh chóng như bước chân (辶) của con ngựa (马) đang chạy (xùn) = Nhanh chóng.</t>
  </si>
  <si>
    <t>询问</t>
  </si>
  <si>
    <t>xúnwèn</t>
  </si>
  <si>
    <t>Tìm kiếm (寻) để hỏi (问) cho rõ = Hỏi han/Thăm dò.</t>
  </si>
  <si>
    <t>寻找</t>
  </si>
  <si>
    <t>xúnzhǎo</t>
  </si>
  <si>
    <t>Tìm kiếm (寻) và tìm tòi (找) = Tìm kiếm.</t>
  </si>
  <si>
    <t>需求</t>
  </si>
  <si>
    <t>xūqiú</t>
  </si>
  <si>
    <t>Cần thiết (需) và mong cầu (求) = Nhu cầu.</t>
  </si>
  <si>
    <t>虚心</t>
  </si>
  <si>
    <t>xūxīn</t>
  </si>
  <si>
    <t>Trái tim (心) trống rỗng (虚) để tiếp thu kiến thức = Khiêm tốn.</t>
  </si>
  <si>
    <t>呀</t>
  </si>
  <si>
    <t>Cái miệng (口) thốt lên khi thấy hàm răng (牙) = Trợ từ (a/nhỉ).</t>
  </si>
  <si>
    <t>牙齿</t>
  </si>
  <si>
    <t>yáchǐ</t>
  </si>
  <si>
    <t>Răng (牙) và các cái răng nhỏ (齿) = Răng.</t>
  </si>
  <si>
    <t>押金</t>
  </si>
  <si>
    <t>yājīn</t>
  </si>
  <si>
    <t>Tiền (金) dùng để cầm cố/thế chấp (押) = Tiền đặt cọc.</t>
  </si>
  <si>
    <t>沿</t>
  </si>
  <si>
    <t>介、动、名</t>
  </si>
  <si>
    <t>Nước (氵) chảy dọc theo cái miệng hang (口) = Dọc theo/Men theo.</t>
  </si>
  <si>
    <t>眼</t>
  </si>
  <si>
    <t>Bộ phận mắt (目) dùng để nhìn sự vật đứng yên (艮) = Mắt.</t>
  </si>
  <si>
    <t>延长</t>
  </si>
  <si>
    <t>yáncháng</t>
  </si>
  <si>
    <t>Kéo dài (延) độ dài (长) ra = Kéo dài.</t>
  </si>
  <si>
    <t>研发</t>
  </si>
  <si>
    <t>yánfā</t>
  </si>
  <si>
    <t>Nghiên cứu (研) và phát triển (发) = R&amp;D (Nghiên cứu &amp; Phát triển).</t>
  </si>
  <si>
    <t>样式</t>
  </si>
  <si>
    <t>yàngshì</t>
  </si>
  <si>
    <t>Hình dáng (样) theo khuôn mẫu (式) = Kiểu dáng/Mẫu mã.</t>
  </si>
  <si>
    <t>阳台</t>
  </si>
  <si>
    <t>yángtái</t>
  </si>
  <si>
    <t>Cái bục/đài (台) đón ánh mặt trời (阳) = Ban công.</t>
  </si>
  <si>
    <t>演讲</t>
  </si>
  <si>
    <t>yǎnjiǎng</t>
  </si>
  <si>
    <t>Diễn giải (演) và giảng nói (讲) = Diễn thuyết/Thuyết trình.</t>
  </si>
  <si>
    <t>眼泪</t>
  </si>
  <si>
    <t>yǎnlèi</t>
  </si>
  <si>
    <t>Nước mắt (泪) chảy ra từ mắt (眼).</t>
  </si>
  <si>
    <t>严肃</t>
  </si>
  <si>
    <t>yánsù</t>
  </si>
  <si>
    <t>Thái độ nghiêm túc như tay cầm gậy canh gác dưới mái nhà = Nghiêm túc.</t>
  </si>
  <si>
    <t>研制</t>
  </si>
  <si>
    <t>yánzhì</t>
  </si>
  <si>
    <t>Nghiên cứu (研) và chế tạo (制) = Nghiên cứu chế tạo.</t>
  </si>
  <si>
    <t>摇</t>
  </si>
  <si>
    <t>yáo</t>
  </si>
  <si>
    <t>Dùng tay (扌) làm lay động vật phẩm trong chum cao (yáo) = Lắc/Rung/Chèo.</t>
  </si>
  <si>
    <t>咬</t>
  </si>
  <si>
    <t>yǎo</t>
  </si>
  <si>
    <t>Dùng miệng (口) để giao nhau (交) trên miếng ăn = Cắn/Ngoạm.</t>
  </si>
  <si>
    <t>腰</t>
  </si>
  <si>
    <t>yāo</t>
  </si>
  <si>
    <t>Bộ phận thịt (月) nằm ở giữa yếu huyệt (yāo) của cơ thể = Thắt lưng/Eo.</t>
  </si>
  <si>
    <t>要不（然）</t>
  </si>
  <si>
    <t>yàobù(rán)</t>
  </si>
  <si>
    <t>Nếu không (要不) thì sẽ tự nhiên (然) như vậy = Nếu không thì.</t>
  </si>
  <si>
    <t>要不是</t>
  </si>
  <si>
    <t>yàobúshì</t>
  </si>
  <si>
    <t>Nếu (要) không phải là (不是) = Nếu không phải vì.</t>
  </si>
  <si>
    <t>药品</t>
  </si>
  <si>
    <t>yàopǐn</t>
  </si>
  <si>
    <t>Vật phẩm (品) làm từ thảo dược (药) = Dược phẩm/Thuốc.</t>
  </si>
  <si>
    <t>药物</t>
  </si>
  <si>
    <t>yàowù</t>
  </si>
  <si>
    <t>Đồ vật (物) dùng làm thuốc (药) = Thuốc men.</t>
  </si>
  <si>
    <t>压岁钱</t>
  </si>
  <si>
    <t>yāsuìqián</t>
  </si>
  <si>
    <t>Tiền (钱) dùng để đè nén (压) những điều xui xẻo của tuổi (岁) = Tiền lì xì.</t>
  </si>
  <si>
    <t>鸭子</t>
  </si>
  <si>
    <t>yāzi</t>
  </si>
  <si>
    <t>Loại chim (鸟) có tiếng kêu "áp" (甲) = Con vịt.</t>
  </si>
  <si>
    <t>夜间</t>
  </si>
  <si>
    <t>yèjiān</t>
  </si>
  <si>
    <t>Khoảng thời gian (间) trong đêm (夜) = Ban đêm.</t>
  </si>
  <si>
    <t>夜市</t>
  </si>
  <si>
    <t>yèshì</t>
  </si>
  <si>
    <t>Khu chợ (市) hoạt động vào ban đêm (夜) = Chợ đêm.</t>
  </si>
  <si>
    <t>业务</t>
  </si>
  <si>
    <t>yèwù</t>
  </si>
  <si>
    <t>Các sự vụ (务) liên quan đến nghề nghiệp (业) = Nghiệp vụ/Kinh doanh.</t>
  </si>
  <si>
    <t>业余</t>
  </si>
  <si>
    <t>yèyú</t>
  </si>
  <si>
    <t>Thời gian dư thừa (余) ngoài nghề nghiệp chính (业) = Nghiệp dư/Lúc rảnh.</t>
  </si>
  <si>
    <t>移</t>
  </si>
  <si>
    <t>yí</t>
  </si>
  <si>
    <t>Cây lúa (禾) được dịch chuyển đi nhiều (多) = Di chuyển/Dời đi.</t>
  </si>
  <si>
    <t>亿</t>
  </si>
  <si>
    <t>yì</t>
  </si>
  <si>
    <t>Một người (亻) đứng trước con số khổng lồ (yì) = Một trăm triệu.</t>
  </si>
  <si>
    <t>乙</t>
  </si>
  <si>
    <t>Hình ảnh mầm cây mới nhú, đứng thứ 2 trong Thiên can = Vị trí thứ 2 (B).</t>
  </si>
  <si>
    <t>以</t>
  </si>
  <si>
    <t>介、（连）</t>
  </si>
  <si>
    <t>Hình ảnh người đang mang một vật gì đó để dùng làm công cụ = Dùng/Để/Bằng.</t>
  </si>
  <si>
    <t>一次性</t>
  </si>
  <si>
    <t>yícìxìng</t>
  </si>
  <si>
    <t>Tính chất (性) chỉ dùng một (一) lần (次) = Dùng một lần.</t>
  </si>
  <si>
    <t>一代</t>
  </si>
  <si>
    <t>yídài</t>
  </si>
  <si>
    <t>Một (一) thế hệ (代 - người thay thế nhau) = Một thế hệ.</t>
  </si>
  <si>
    <t>一旦</t>
  </si>
  <si>
    <t>yídàn</t>
  </si>
  <si>
    <t>Một (一) khi mặt trời mọc (旦 - chữ Nhật 日 trên mặt đất 一) = Một khi/Một khi đã.</t>
  </si>
  <si>
    <t>移动</t>
  </si>
  <si>
    <t>yídòng</t>
  </si>
  <si>
    <t>Di chuyển (移 - dời cây lúa) và chuyển động (动) = Di động/Di chuyển.</t>
  </si>
  <si>
    <t>遗憾</t>
  </si>
  <si>
    <t>yíhàn</t>
  </si>
  <si>
    <t>Để lại (遗) sự hối hận trong tim (憾 - có bộ tâm 忄) = Đáng tiếc/Hối tiếc.</t>
  </si>
  <si>
    <t>以及</t>
  </si>
  <si>
    <t>yǐjí</t>
  </si>
  <si>
    <t>Lấy đó (以) và đạt đến (及) các thứ khác = Cũng như/Và.</t>
  </si>
  <si>
    <t>依据</t>
  </si>
  <si>
    <t>yījù</t>
  </si>
  <si>
    <t>名、动、介</t>
  </si>
  <si>
    <t>Dựa vào (依) các chứng cứ (据 - tay cầm bằng chứng) = Căn cứ vào.</t>
  </si>
  <si>
    <t>依靠</t>
  </si>
  <si>
    <t>yīkào</t>
  </si>
  <si>
    <t>Tựa vào (依) và dựa lưng vào (靠) = Dựa dẫm/Nương tựa.</t>
  </si>
  <si>
    <t>以来</t>
  </si>
  <si>
    <t>yǐlái</t>
  </si>
  <si>
    <t>Từ mốc đó (以) đến nay (来) = Từ trước đến nay/Kể từ.</t>
  </si>
  <si>
    <t>医疗</t>
  </si>
  <si>
    <t>yīliáo</t>
  </si>
  <si>
    <t>Y học (医) để chữa trị (疗 - bộ bệnh 疒) = Y tế/Điều trị.</t>
  </si>
  <si>
    <t>一路</t>
  </si>
  <si>
    <t>yílù</t>
  </si>
  <si>
    <t>Cùng đi chung một (一) con đường (路) = Suốt dọc đường.</t>
  </si>
  <si>
    <t>一路顺风</t>
  </si>
  <si>
    <t>yílù-shùnfēng</t>
  </si>
  <si>
    <t>Suốt đường (一路) đều thuận (顺) theo gió (风) = Thuận buồm xuôi gió.</t>
  </si>
  <si>
    <t>因而</t>
  </si>
  <si>
    <t>yīn’ér</t>
  </si>
  <si>
    <t>Bởi vì (因) mà dẫn đến (而) kết quả = Cho nên/Vì thế.</t>
  </si>
  <si>
    <t>迎</t>
  </si>
  <si>
    <t>Bước chân (辶) đi ra để đón người đang tới (卬) = Đón/Nghênh.</t>
  </si>
  <si>
    <t>硬</t>
  </si>
  <si>
    <t>yìng</t>
  </si>
  <si>
    <t>Cứng như tảng đá (石) dù có mang đi đổi chác (更) = Cứng/Gượng ép.</t>
  </si>
  <si>
    <t>应当</t>
  </si>
  <si>
    <t>yīngdāng</t>
  </si>
  <si>
    <t>Nên (应) làm việc đúng đắn (当) = Nên/Phải.</t>
  </si>
  <si>
    <t>应对</t>
  </si>
  <si>
    <t>yìngduì</t>
  </si>
  <si>
    <t>Phản ứng (应) và đối đáp (对) lại = Ứng phó/Đối phó.</t>
  </si>
  <si>
    <t>硬件</t>
  </si>
  <si>
    <t>yìngjiàn</t>
  </si>
  <si>
    <t>Các linh kiện (件) cứng (硬) của máy tính = Phần cứng.</t>
  </si>
  <si>
    <t>迎接</t>
  </si>
  <si>
    <t>yíngjiē</t>
  </si>
  <si>
    <t>Đi đón (迎) và tiếp nhận (接) khách = Đón tiếp.</t>
  </si>
  <si>
    <t>影片</t>
  </si>
  <si>
    <t>yǐngpiàn</t>
  </si>
  <si>
    <t>Những thước phim/ảnh (影) trên tấm phim (片) = Bộ phim.</t>
  </si>
  <si>
    <t>影视</t>
  </si>
  <si>
    <t>yǐngshì</t>
  </si>
  <si>
    <t>Phim ảnh (影) và truyền hình (视 - nhìn) = Điện ảnh và truyền hình.</t>
  </si>
  <si>
    <t>营养</t>
  </si>
  <si>
    <t>yíngyǎng</t>
  </si>
  <si>
    <t>Sự vận hành (营) để nuôi dưỡng (养) cơ thể = Dinh dưỡng.</t>
  </si>
  <si>
    <t>营业</t>
  </si>
  <si>
    <t>yíngyè</t>
  </si>
  <si>
    <t>Vận hành (营) các ngành nghề/công việc (业) = Kinh doanh.</t>
  </si>
  <si>
    <t>应用</t>
  </si>
  <si>
    <t>yìngyòng</t>
  </si>
  <si>
    <t>Phản ứng (应) để đưa vào sử dụng (用) = Ứng dụng.</t>
  </si>
  <si>
    <t>引进</t>
  </si>
  <si>
    <t>yǐnjìn</t>
  </si>
  <si>
    <t>Dẫn dắt (引 - hình cái cung) đưa vào bên trong (进) = Nhập khẩu/Đưa vào.</t>
  </si>
  <si>
    <t>音量</t>
  </si>
  <si>
    <t>yīnliàng</t>
  </si>
  <si>
    <t>Mức độ (量) của âm thanh (音) = Âm lượng.</t>
  </si>
  <si>
    <t>饮食</t>
  </si>
  <si>
    <t>yǐnshí</t>
  </si>
  <si>
    <t>Uống (饮) và ăn (食) = Ăn uống.</t>
  </si>
  <si>
    <t>印刷</t>
  </si>
  <si>
    <t>yìnshuā</t>
  </si>
  <si>
    <t>Đóng dấu (印) và dùng bàn chải (刷) quét mực = In ấn.</t>
  </si>
  <si>
    <t>因素</t>
  </si>
  <si>
    <t>yīnsù</t>
  </si>
  <si>
    <t>Nguyên nhân (因) gốc rễ như sợi tơ trắng (素) = Nhân tố.</t>
  </si>
  <si>
    <t>依然</t>
  </si>
  <si>
    <t>yīrán</t>
  </si>
  <si>
    <t>Vẫn dựa (依) theo vẻ tự nhiên (然) ban đầu = Vẫn như cũ.</t>
  </si>
  <si>
    <t>意识</t>
  </si>
  <si>
    <t>yìshí</t>
  </si>
  <si>
    <t>Ý nghĩ (意) và sự hiểu biết (识) = Ý thức/Nhận thức.</t>
  </si>
  <si>
    <t>意外</t>
  </si>
  <si>
    <t>yìwài</t>
  </si>
  <si>
    <t>Ngoài (外) cả ý nghĩ (意) dự tính = Ngoài ý muốn/Tai nạn.</t>
  </si>
  <si>
    <t>意味着</t>
  </si>
  <si>
    <t>yìwèizhe</t>
  </si>
  <si>
    <t>Mang (着) theo cái ý nghĩa (意) và hương vị (味) = Có nghĩa là.</t>
  </si>
  <si>
    <t>疑问</t>
  </si>
  <si>
    <t>yíwèn</t>
  </si>
  <si>
    <t>Sự nghi ngờ (疑) và câu hỏi (问) = Thắc mắc/Nghi vấn.</t>
  </si>
  <si>
    <t>义务</t>
  </si>
  <si>
    <t>yìwù</t>
  </si>
  <si>
    <t>Việc (务) làm vì nghĩa lớn (义) không vụ lợi = Nghĩa vụ.</t>
  </si>
  <si>
    <t>医学</t>
  </si>
  <si>
    <t>yīxué</t>
  </si>
  <si>
    <t>Học (学) về y thuật (医) = Y học.</t>
  </si>
  <si>
    <t>意义</t>
  </si>
  <si>
    <t>yìyì</t>
  </si>
  <si>
    <t>Ý nghĩ (意) và nghĩa lý (义) = Ý nghĩa.</t>
  </si>
  <si>
    <t>一致</t>
  </si>
  <si>
    <t>yízhì</t>
  </si>
  <si>
    <t>Cùng hướng về một (一) mục đích đạt đến (致) = Thống nhất/Nhất trí.</t>
  </si>
  <si>
    <t>拥抱</t>
  </si>
  <si>
    <t>yōngbào</t>
  </si>
  <si>
    <t>Dùng tay ôm (拥) và bao bọc (抱) lấy nhau = Ôm.</t>
  </si>
  <si>
    <t>用法</t>
  </si>
  <si>
    <t>yòngfǎ</t>
  </si>
  <si>
    <t>Phương pháp (法) sử dụng (用) = Cách dùng.</t>
  </si>
  <si>
    <t>用户</t>
  </si>
  <si>
    <t>yònghù</t>
  </si>
  <si>
    <t>Hộ gia đình (户) sử dụng (用) dịch vụ = Người dùng.</t>
  </si>
  <si>
    <t>用力</t>
  </si>
  <si>
    <t>yònglì</t>
  </si>
  <si>
    <t>Sử dụng (用) sức lực (力) = Dùng sức.</t>
  </si>
  <si>
    <t>用品</t>
  </si>
  <si>
    <t>yòngpǐn</t>
  </si>
  <si>
    <t>Những vật phẩm (品) để sử dụng (用) = Đồ dùng.</t>
  </si>
  <si>
    <t>勇气</t>
  </si>
  <si>
    <t>yǒngqì</t>
  </si>
  <si>
    <t>Cái khí chất (气) dũng cảm (勇 - bộ lực 力 bên dưới) = Dũng khí.</t>
  </si>
  <si>
    <t>用途</t>
  </si>
  <si>
    <t>yòngtú</t>
  </si>
  <si>
    <t>Con đường (途) để sử dụng (用) một vật = Công dụng.</t>
  </si>
  <si>
    <t>拥有</t>
  </si>
  <si>
    <t>yōngyǒu</t>
  </si>
  <si>
    <t>Ôm giữ (拥) và có (有) trong tay = Sở hữu.</t>
  </si>
  <si>
    <t>由此</t>
  </si>
  <si>
    <t>yóu cǐ</t>
  </si>
  <si>
    <t>Do (由) cái này (此) mà ra = Từ đó/Do vậy.</t>
  </si>
  <si>
    <t>有害</t>
  </si>
  <si>
    <t>yǒu hài</t>
  </si>
  <si>
    <t>Có (有) sự gây hại (害) = Có hại.</t>
  </si>
  <si>
    <t>幼儿园</t>
  </si>
  <si>
    <t>yòu'éryuán</t>
  </si>
  <si>
    <t>Cái vườn (园) dành cho trẻ nhỏ (幼) và trẻ con (儿) = Trường mầm non.</t>
  </si>
  <si>
    <t>优惠</t>
  </si>
  <si>
    <t>yōuhuì</t>
  </si>
  <si>
    <t>Ưu tiên (优) và ban ơn huệ (惠) = Ưu đãi.</t>
  </si>
  <si>
    <t>邮寄</t>
  </si>
  <si>
    <t>yóujì</t>
  </si>
  <si>
    <t>Gửi (寄) qua đường bưu điện (邮) = Gửi bưu điện.</t>
  </si>
  <si>
    <t>悠久</t>
  </si>
  <si>
    <t>yōujiǔ</t>
  </si>
  <si>
    <t>Nhàn nhã (悠) và lâu dài (久) = Lâu đời/Thâm căn cố đế.</t>
  </si>
  <si>
    <t>邮局</t>
  </si>
  <si>
    <t>yóujú</t>
  </si>
  <si>
    <t>Một trạm (局) của bưu điện (邮) = Bưu điện.</t>
  </si>
  <si>
    <t>游览</t>
  </si>
  <si>
    <t>yóulǎn</t>
  </si>
  <si>
    <t>Đi chơi (游) và quan sát (览 - nhìn) cảnh vật = Du ngoạn/Tham quan.</t>
  </si>
  <si>
    <t>有力</t>
  </si>
  <si>
    <t>yǒulì</t>
  </si>
  <si>
    <t>Có (有) sức lực (力) = Mạnh mẽ/Có lực.</t>
  </si>
  <si>
    <t>有利</t>
  </si>
  <si>
    <t>Có (有) lợi ích (利) = Có lợi.</t>
  </si>
  <si>
    <t>优良</t>
  </si>
  <si>
    <t>yōuliáng</t>
  </si>
  <si>
    <t>Ưu tú (优) và tốt lành (良) = Ưu tú/Tốt lành.</t>
  </si>
  <si>
    <t>优美</t>
  </si>
  <si>
    <t>yōuměi</t>
  </si>
  <si>
    <t>Ưu tú (优) và xinh đẹp (美) = Đẹp đẽ/Tuyệt mỹ.</t>
  </si>
  <si>
    <t>邮票</t>
  </si>
  <si>
    <t>yóupiào</t>
  </si>
  <si>
    <t>Tấm vé (票) của bưu điện (邮) = Tem thư.</t>
  </si>
  <si>
    <t>优势</t>
  </si>
  <si>
    <t>yōushì</t>
  </si>
  <si>
    <t>Cái thế (势) ưu tiên (优) hơn người khác = Ưu thế.</t>
  </si>
  <si>
    <t>油条</t>
  </si>
  <si>
    <t>yóutiáo</t>
  </si>
  <si>
    <t>Thanh (条) bột chiên trong dầu (油) = Quẩy.</t>
  </si>
  <si>
    <t>有限</t>
  </si>
  <si>
    <t>yǒuxiàn</t>
  </si>
  <si>
    <t>Có (有) giới hạn (限) = Hữu hạn/Có hạn.</t>
  </si>
  <si>
    <t>有益</t>
  </si>
  <si>
    <t>Có (有) ích lợi (益 - cái bát đầy tràn) = Có ích.</t>
  </si>
  <si>
    <t>犹豫</t>
  </si>
  <si>
    <t>yóuyù</t>
  </si>
  <si>
    <t>Tâm trí cứ chạy qua chạy lại giữa con voi và con khỉ = Do dự/Ngập ngừng.</t>
  </si>
  <si>
    <t>优质</t>
  </si>
  <si>
    <t>yōuzhì</t>
  </si>
  <si>
    <t>Bản chất (质) ưu tú (优) = Chất lượng cao.</t>
  </si>
  <si>
    <t>有助于</t>
  </si>
  <si>
    <t>yǒuzhùyú</t>
  </si>
  <si>
    <t>Có (有) sự giúp đỡ (助) đối với (于) việc gì = Có lợi cho/Giúp ích cho.</t>
  </si>
  <si>
    <t>原</t>
  </si>
  <si>
    <t>Nguồn nước chảy ra từ vách núi (厂) = Nguyên bản/Vốn dĩ.</t>
  </si>
  <si>
    <t>圆</t>
  </si>
  <si>
    <t>Những thứ bị nhốt trong khuôn (囗) tạo thành hình tròn = Tròn/Viên mãn.</t>
  </si>
  <si>
    <t>愿</t>
  </si>
  <si>
    <t>yuàn</t>
  </si>
  <si>
    <t>Trái tim (心) luôn hướng về nguồn gốc (原) = Nguyện vọng/Bằng lòng.</t>
  </si>
  <si>
    <t>原有</t>
  </si>
  <si>
    <t>yuán yǒu</t>
  </si>
  <si>
    <t>Vốn dĩ (原) đã có (有) = Vốn có.</t>
  </si>
  <si>
    <t>元旦</t>
  </si>
  <si>
    <t>Yuándàn</t>
  </si>
  <si>
    <t>Ngày đầu tiên (元) khi mặt trời mọc (旦) = Tết Dương lịch.</t>
  </si>
  <si>
    <t>员工</t>
  </si>
  <si>
    <t>yuángōng</t>
  </si>
  <si>
    <t>Những cá nhân (员) làm công việc (工) = Nhân viên.</t>
  </si>
  <si>
    <t>愿望</t>
  </si>
  <si>
    <t>yuànwàng</t>
  </si>
  <si>
    <t>Nguyện vọng (愿) và mong mỏi (望) = Nguyện vọng/Mong ước.</t>
  </si>
  <si>
    <t>原则</t>
  </si>
  <si>
    <t>yuánzé</t>
  </si>
  <si>
    <t>Các quy tắc (则) căn bản (原) = Nguyên tắc.</t>
  </si>
  <si>
    <t>预报</t>
  </si>
  <si>
    <t>yùbào</t>
  </si>
  <si>
    <t>Thông báo (报) trước (预) khi sự việc xảy ra = Dự báo.</t>
  </si>
  <si>
    <t>预测</t>
  </si>
  <si>
    <t>yùcè</t>
  </si>
  <si>
    <t>Đo đạc (测) trước (预) tình hình = Dự đoán.</t>
  </si>
  <si>
    <t>预订</t>
  </si>
  <si>
    <t>yùdìng</t>
  </si>
  <si>
    <t>Ấn định (订) trước (预) để giữ chỗ = Đặt trước (vé, phòng).</t>
  </si>
  <si>
    <t>约定</t>
  </si>
  <si>
    <t>yuēdìng</t>
  </si>
  <si>
    <t>Thỏa thuận (约) và ấn định (定) = Hẹn ước/Quy định.</t>
  </si>
  <si>
    <t>预防</t>
  </si>
  <si>
    <t>yùfáng</t>
  </si>
  <si>
    <t>Phòng bị (防) từ trước (预) = Phòng ngừa.</t>
  </si>
  <si>
    <t>预计</t>
  </si>
  <si>
    <t>yùjì</t>
  </si>
  <si>
    <t>Tính toán (计) trước (预) = Dự tính/Ước tính.</t>
  </si>
  <si>
    <t>娱乐</t>
  </si>
  <si>
    <t>yúlè</t>
  </si>
  <si>
    <t>Làm cho vui vẻ (乐) và giải trí (娱) = Giải trí.</t>
  </si>
  <si>
    <t>玉米</t>
  </si>
  <si>
    <t>yùmǐ</t>
  </si>
  <si>
    <t>Loại hạt giống hạt gạo (米) quý như ngọc (玉) = Ngô/Bắp.</t>
  </si>
  <si>
    <t>运</t>
  </si>
  <si>
    <t>yùn</t>
  </si>
  <si>
    <t>Mang vật đi trên xe (车) theo con đường (辶) = Vận chuyển/Vận may.</t>
  </si>
  <si>
    <t>运费</t>
  </si>
  <si>
    <t>yùnfèi</t>
  </si>
  <si>
    <t>Tiền phí (费) vận chuyển (运) = Phí vận chuyển.</t>
  </si>
  <si>
    <t>运气</t>
  </si>
  <si>
    <t>yùnqi</t>
  </si>
  <si>
    <t>Khí chất (气) vận hành (运) xung quanh mình = Vận may/Số đỏ.</t>
  </si>
  <si>
    <t>运输</t>
  </si>
  <si>
    <t>yùnshū</t>
  </si>
  <si>
    <t>Vận tải (运) và chuyển đi thông suốt (输) = Vận tải.</t>
  </si>
  <si>
    <t>运用</t>
  </si>
  <si>
    <t>yùnyòng</t>
  </si>
  <si>
    <t>Vận hành (运) để đưa vào sử dụng (用) = Vận dụng.</t>
  </si>
  <si>
    <t>语气</t>
  </si>
  <si>
    <t>yǔqì</t>
  </si>
  <si>
    <t>Cái khí chất (气) trong lời nói (语) = Ngữ khí/Giọng điệu.</t>
  </si>
  <si>
    <t>雨水</t>
  </si>
  <si>
    <t>yǔshuǐ</t>
  </si>
  <si>
    <t>Nước (水) của cơn mưa (雨) = Nước mưa.</t>
  </si>
  <si>
    <t>语文</t>
  </si>
  <si>
    <t>yǔwén</t>
  </si>
  <si>
    <t>Ngôn ngữ (语) và văn tự (文) = Ngôn ngữ/Ngữ văn.</t>
  </si>
  <si>
    <t>语音</t>
  </si>
  <si>
    <t>yǔyīn</t>
  </si>
  <si>
    <t>Âm thanh (音) của lời nói (语) = Ngữ âm/Giọng nói.</t>
  </si>
  <si>
    <t>预约</t>
  </si>
  <si>
    <t>yùyuē</t>
  </si>
  <si>
    <t>Hẹn (约) trước (预) một cuộc gặp = Hẹn trước.</t>
  </si>
  <si>
    <t>在场</t>
  </si>
  <si>
    <t>zàichǎng</t>
  </si>
  <si>
    <t>Có mặt hiện diện tại (在) địa điểm (场) = Có mặt tại hiện trường.</t>
  </si>
  <si>
    <t>在乎</t>
  </si>
  <si>
    <t>zàihu</t>
  </si>
  <si>
    <t>Để tâm vào (在) điều đó sao (乎) = Để ý/Quan tâm.</t>
  </si>
  <si>
    <t>在内</t>
  </si>
  <si>
    <t>zàinèi</t>
  </si>
  <si>
    <t>Nằm ở (在) bên trong (内) = Bao gồm bên trong.</t>
  </si>
  <si>
    <t>在线</t>
  </si>
  <si>
    <t>zàixiàn</t>
  </si>
  <si>
    <t>Đang kết nối trên (在) đường dây (线) = Trực tuyến (Online).</t>
  </si>
  <si>
    <t>在于</t>
  </si>
  <si>
    <t>zàiyú</t>
  </si>
  <si>
    <t>Nằm (在) ở (于) chỗ nào đó = Tại vì/Cốt ở chỗ.</t>
  </si>
  <si>
    <t>赞成</t>
  </si>
  <si>
    <t>zànchéng</t>
  </si>
  <si>
    <t>Tán thưởng (赞) và giúp làm cho thành công (成) = Tán thành/Đồng ý.</t>
  </si>
  <si>
    <t>造</t>
  </si>
  <si>
    <t>zào</t>
  </si>
  <si>
    <t>Vừa đi (辶) vừa thông báo (告) để tạo dựng sự nghiệp = Chế tạo/Xây dựng.</t>
  </si>
  <si>
    <t>糟</t>
  </si>
  <si>
    <t>zāo</t>
  </si>
  <si>
    <t>Gạo (米) bị nát vụn như cỏ rác (曹) = Tồi tệ/Hỏng bét.</t>
  </si>
  <si>
    <t>造成</t>
  </si>
  <si>
    <t>zàochéng</t>
  </si>
  <si>
    <t>Chế tạo (造) làm cho trở thành (成) = Gây ra (hậu quả).</t>
  </si>
  <si>
    <t>糟糕</t>
  </si>
  <si>
    <t>zāogāo</t>
  </si>
  <si>
    <t>Gạo (米) bị nát vụn như cỏ rác (曹) = Hỏng bét/Tồi tệ.</t>
  </si>
  <si>
    <t>早期</t>
  </si>
  <si>
    <t>zǎoqī</t>
  </si>
  <si>
    <t>Thời kỳ (期) ban đầu/sớm (早) = Giai đoạn đầu.</t>
  </si>
  <si>
    <t>早晚</t>
  </si>
  <si>
    <t>zǎowǎn</t>
  </si>
  <si>
    <t>Sớm (早) và muộn (晚) = Sớm muộn gì cũng....</t>
  </si>
  <si>
    <t>早已</t>
  </si>
  <si>
    <t>zǎoyǐ</t>
  </si>
  <si>
    <t>Đã (已) xảy ra từ sớm (早) = Từ lâu/Đã lâu.</t>
  </si>
  <si>
    <t>赠</t>
  </si>
  <si>
    <t>zèng</t>
  </si>
  <si>
    <t>Tặng tiền bạc/đồ quý (贝) cho người bạn (曾) = Tặng/Biếu.</t>
  </si>
  <si>
    <t>增</t>
  </si>
  <si>
    <t>zēng</t>
  </si>
  <si>
    <t>Đắp thêm đất (土) cho người bạn (曾) để cao hơn = Tăng thêm.</t>
  </si>
  <si>
    <t>增进</t>
  </si>
  <si>
    <t>zēngjìn</t>
  </si>
  <si>
    <t>Tăng thêm (增) và tiến tới (进) = Tăng cường/Củng cố.</t>
  </si>
  <si>
    <t>增强</t>
  </si>
  <si>
    <t>zēngqiáng</t>
  </si>
  <si>
    <t>Tăng thêm (增) sức mạnh (强) = Tăng cường/Làm mạnh thêm.</t>
  </si>
  <si>
    <t>赠送</t>
  </si>
  <si>
    <t>zèngsòng</t>
  </si>
  <si>
    <t>Tặng (赠) và đưa đi (送) = Tặng quà/Biếu tặng.</t>
  </si>
  <si>
    <t>炸</t>
  </si>
  <si>
    <t>zhá</t>
  </si>
  <si>
    <t>Dùng lửa (火) đốt để nổ tung hoặc chiên giòn = Rán/Chiên/Nổ.</t>
  </si>
  <si>
    <t>窄</t>
  </si>
  <si>
    <t>zhǎi</t>
  </si>
  <si>
    <t>Ở trong hang (穴) mà còn phải đứng nghiêm (乍) thì rất chật = Hẹp/Chật.</t>
  </si>
  <si>
    <t>摘</t>
  </si>
  <si>
    <t>zhāi</t>
  </si>
  <si>
    <t>Dùng tay (扌) hái các thứ dưới gốc cây thành từng xấp (啇) = Hái/Ngắt/Gỡ bỏ.</t>
  </si>
  <si>
    <t>占</t>
  </si>
  <si>
    <t>Dùng miệng (口) bói toán (卜) để chiếm giữ đất đai = Chiếm/Chiếm giữ.</t>
  </si>
  <si>
    <t>展出</t>
  </si>
  <si>
    <t>zhǎnchū</t>
  </si>
  <si>
    <t>Mở ra (展) để đưa ra ngoài (出) cho mọi người xem = Trưng bày.</t>
  </si>
  <si>
    <t>涨</t>
  </si>
  <si>
    <t>Nước (氵) dâng cao làm cung tên căng ra (张) = Lên giá/Nước dâng.</t>
  </si>
  <si>
    <t>账号</t>
  </si>
  <si>
    <t>zhànghào</t>
  </si>
  <si>
    <t>Số hiệu (号) của sổ sách kế toán (账 - có bộ bối 贝) = Số tài khoản.</t>
  </si>
  <si>
    <t>账户</t>
  </si>
  <si>
    <t>zhànghù</t>
  </si>
  <si>
    <t>Cửa ngõ (户) dẫn vào sổ sách tài chính (账) = Tài khoản.</t>
  </si>
  <si>
    <t>涨价</t>
  </si>
  <si>
    <t>zhǎngjià</t>
  </si>
  <si>
    <t>Giá cả (价) tăng lên (涨) = Tăng giá.</t>
  </si>
  <si>
    <t>掌声</t>
  </si>
  <si>
    <t>zhǎngshēng</t>
  </si>
  <si>
    <t>Âm thanh (声) từ lòng bàn tay (掌) = Tiếng vỗ tay.</t>
  </si>
  <si>
    <t>掌握</t>
  </si>
  <si>
    <t>zhǎngwò</t>
  </si>
  <si>
    <t>Nắm giữ trong lòng bàn tay (掌) và cầm chắc (握) = Nắm vững.</t>
  </si>
  <si>
    <t>展开</t>
  </si>
  <si>
    <t>zhǎnkāi</t>
  </si>
  <si>
    <t>Mở ra (展) và tách ra (开) rộng rãi = Triển khai/Mở rộng.</t>
  </si>
  <si>
    <t>展览</t>
  </si>
  <si>
    <t>zhǎnlǎn</t>
  </si>
  <si>
    <t>Mở ra (展) để quan sát (览 - có bộ kiến 见) = Triển lãm.</t>
  </si>
  <si>
    <t>展示</t>
  </si>
  <si>
    <t>zhǎnshì</t>
  </si>
  <si>
    <t>Mở ra (展) và chỉ cho thấy (示) = Hiển thị/Trình bày.</t>
  </si>
  <si>
    <t>站台</t>
  </si>
  <si>
    <t>zhàntái</t>
  </si>
  <si>
    <t>Cái bục (台) để đứng (站) chờ tàu = Sân ga.</t>
  </si>
  <si>
    <t>占线</t>
  </si>
  <si>
    <t>zhànxiàn</t>
  </si>
  <si>
    <t>Đường dây (线) đang bị chiếm giữ (占) = Máy bận.</t>
  </si>
  <si>
    <t>展现</t>
  </si>
  <si>
    <t>zhǎnxiàn</t>
  </si>
  <si>
    <t>Mở ra (展) và xuất hiện (现) trước mắt = Thể hiện/Bộc lộ.</t>
  </si>
  <si>
    <t>召开</t>
  </si>
  <si>
    <t>zhàokāi</t>
  </si>
  <si>
    <t>Triệu tập (召 - dùng mồm kêu gọi) để mở (开) cuộc họp = Triệu tập (họp).</t>
  </si>
  <si>
    <t>着凉</t>
  </si>
  <si>
    <t>zháoliáng</t>
  </si>
  <si>
    <t>Chạm phải (着) luồng khí lạnh (凉) = Bị nhiễm lạnh.</t>
  </si>
  <si>
    <t>折扣</t>
  </si>
  <si>
    <t>zhékòu</t>
  </si>
  <si>
    <t>Dùng tay (扌) bẻ gãy (折) bớt một phần tiền rồi khấu đi (扣) = Chiết khấu/Giảm giá.</t>
  </si>
  <si>
    <t>阵</t>
  </si>
  <si>
    <t>zhèn</t>
  </si>
  <si>
    <t>Đội quân đứng bên gò đất (阝) để tạo thế trận = Trận (cơn mưa/trận đấu).</t>
  </si>
  <si>
    <t>真诚</t>
  </si>
  <si>
    <t>zhēnchéng</t>
  </si>
  <si>
    <t>Sự chân thật (真) và thành khẩn (诚) = Chân thành.</t>
  </si>
  <si>
    <t>诊断</t>
  </si>
  <si>
    <t>zhěnduàn</t>
  </si>
  <si>
    <t>Xem xét (诊) và phán đoán (断) bệnh tình = Chẩn đoán.</t>
  </si>
  <si>
    <t>针对</t>
  </si>
  <si>
    <t>zhēnduì</t>
  </si>
  <si>
    <t>Nhắm vào một cái kim (针) để đối diện (对) = Nhằm vào/Đối với.</t>
  </si>
  <si>
    <t>挣</t>
  </si>
  <si>
    <t>Dùng tay (扌) đấu tranh (争) để kiếm tiền = Kiếm tiền/Giành giật.</t>
  </si>
  <si>
    <t>争</t>
  </si>
  <si>
    <t>zhēng</t>
  </si>
  <si>
    <t>Hai tay tranh giành nhau một đồ vật = Tranh giành/Tranh luận.</t>
  </si>
  <si>
    <t>政府</t>
  </si>
  <si>
    <t>zhèngfǔ</t>
  </si>
  <si>
    <t>Nơi xử lý việc chính trị (政) ở phủ đường (府) = Chính phủ.</t>
  </si>
  <si>
    <t>证据</t>
  </si>
  <si>
    <t>zhèngjù</t>
  </si>
  <si>
    <t>Chứng cứ (证 - có bộ ngôn 讠) dùng làm căn cứ (据) = Bằng chứng.</t>
  </si>
  <si>
    <t>整齐</t>
  </si>
  <si>
    <t>zhěngqí</t>
  </si>
  <si>
    <t>Sắp xếp ngay ngắn (整) và đều nhau (齐) = Gọn gàng/Ngay ngắn.</t>
  </si>
  <si>
    <t>争取</t>
  </si>
  <si>
    <t>zhēngqǔ</t>
  </si>
  <si>
    <t>Tranh giành (争) để đạt lấy (取) = Tranh thủ/Cố gắng đạt được.</t>
  </si>
  <si>
    <t>正如</t>
  </si>
  <si>
    <t>zhèngrú</t>
  </si>
  <si>
    <t>Chính (正) như (如) vậy = Đúng như/Hệt như.</t>
  </si>
  <si>
    <t>证书</t>
  </si>
  <si>
    <t>zhèngshū</t>
  </si>
  <si>
    <t>Cuốn sách/tờ giấy (书) chứng nhận (证) = Chứng chỉ/Bằng cấp.</t>
  </si>
  <si>
    <t>整体</t>
  </si>
  <si>
    <t>zhěngtǐ</t>
  </si>
  <si>
    <t>Một cơ thể (体) hoàn chỉnh (整) = Toàn thể/Tổng thể.</t>
  </si>
  <si>
    <t>珍贵</t>
  </si>
  <si>
    <t>zhēnguì</t>
  </si>
  <si>
    <t>Quý giá như viên ngọc (珍 - có bộ vương 玉) và đắt đỏ (贵) = Quý giá.</t>
  </si>
  <si>
    <t>整整</t>
  </si>
  <si>
    <t>zhěngzhěng</t>
  </si>
  <si>
    <t>Một con số chẵn hoàn chỉnh (整) = Tròn/Đầy đủ.</t>
  </si>
  <si>
    <t>政治</t>
  </si>
  <si>
    <t>zhèngzhì</t>
  </si>
  <si>
    <t>Việc cai trị (治) các công việc chính yếu (政) = Chính trị.</t>
  </si>
  <si>
    <t>真实</t>
  </si>
  <si>
    <t>zhēnshí</t>
  </si>
  <si>
    <t>Chân thật (真) và có thực (实) = Xác thực/Thật sự.</t>
  </si>
  <si>
    <t>珍惜</t>
  </si>
  <si>
    <t>zhēnxī</t>
  </si>
  <si>
    <t>Coi quý như ngọc (珍) và tiếc rẻ (惜 - có bộ tâm 忄) = Trân trọng.</t>
  </si>
  <si>
    <t>哲学</t>
  </si>
  <si>
    <t>zhéxué</t>
  </si>
  <si>
    <t>Học (学) về sự thông thái và triết lý (哲) = Triết học.</t>
  </si>
  <si>
    <t>直</t>
  </si>
  <si>
    <t>Hình ảnh con mắt (目) nhìn thẳng về phía trước = Thẳng/Trực tiếp.</t>
  </si>
  <si>
    <t>至</t>
  </si>
  <si>
    <t>zhì</t>
  </si>
  <si>
    <t>Hình ảnh mũi tên rơi xuống mặt đất (đạt đến đích) = Đến/Đạt đến.</t>
  </si>
  <si>
    <t>治</t>
  </si>
  <si>
    <t>Dùng nước (氵) để bình ổn và quản lý một vùng đất (台) = Cai trị/Chữa trị.</t>
  </si>
  <si>
    <t>止</t>
  </si>
  <si>
    <t>Hình ảnh bàn chân đang đứng lại, không đi tiếp = Dừng lại/Đình chỉ.</t>
  </si>
  <si>
    <t>支1</t>
  </si>
  <si>
    <t>Tay cầm một cành cây làm chỗ tựa = Ủng hộ/Chi trả/Nhánh.</t>
  </si>
  <si>
    <t>直播</t>
  </si>
  <si>
    <t>zhíbō</t>
  </si>
  <si>
    <t>Phát sóng (播) trực tiếp (直) = Livestream/Phát trực tiếp.</t>
  </si>
  <si>
    <t>职场</t>
  </si>
  <si>
    <t>zhíchǎng</t>
  </si>
  <si>
    <t>Địa điểm (场) làm nghề nghiệp (职 - có bộ nhĩ 耳 lắng nghe) = Nơi làm việc.</t>
  </si>
  <si>
    <t>指导</t>
  </si>
  <si>
    <t>zhǐdǎo</t>
  </si>
  <si>
    <t>Dùng ngón tay chỉ (指) để dẫn dắt (导) = Chỉ đạo/Hướng dẫn.</t>
  </si>
  <si>
    <t>制订</t>
  </si>
  <si>
    <t>zhìdìng</t>
  </si>
  <si>
    <t>Chế tạo (制) và ấn định (订) dự thảo/kế hoạch = Đề ra/Soạn thảo.</t>
  </si>
  <si>
    <t>制定</t>
  </si>
  <si>
    <t>Chế tạo (制) và xác định (定) thành quy tắc = Ban hành/Thiết lập.</t>
  </si>
  <si>
    <t>制度</t>
  </si>
  <si>
    <t>zhìdù</t>
  </si>
  <si>
    <t>Các mức độ (度) đã được quy định/chế định (制) = Chế độ/Quy chế.</t>
  </si>
  <si>
    <t>职工</t>
  </si>
  <si>
    <t>zhígōng</t>
  </si>
  <si>
    <t>Người làm nghề (职) và thợ thuyền (工) = Công nhân viên.</t>
  </si>
  <si>
    <t>智慧</t>
  </si>
  <si>
    <t>zhìhuì</t>
  </si>
  <si>
    <t>Sự thông thái (智) nảy sinh từ trái tim (慧 - có bộ tâm 心) = Trí tuệ.</t>
  </si>
  <si>
    <t>至今</t>
  </si>
  <si>
    <t>zhìjīn</t>
  </si>
  <si>
    <t>Đạt đến (至) thời điểm bây giờ (今) = Đến nay.</t>
  </si>
  <si>
    <t>治疗</t>
  </si>
  <si>
    <t>zhìliáo</t>
  </si>
  <si>
    <t>Chữa trị (治) căn bệnh (疗 - có bộ nạch 疒) = Trị liệu/Điều trị.</t>
  </si>
  <si>
    <t>知名</t>
  </si>
  <si>
    <t>zhīmíng</t>
  </si>
  <si>
    <t>Được biết (知) cái tên (名) rộng rãi = Nổi tiếng.</t>
  </si>
  <si>
    <t>智能</t>
  </si>
  <si>
    <t>zhìnéng</t>
  </si>
  <si>
    <t>Trí tuệ (智) và khả năng (能) = Thông minh (AI/Smart).</t>
  </si>
  <si>
    <t>执行</t>
  </si>
  <si>
    <t>zhíxíng</t>
  </si>
  <si>
    <t>Cầm lấy và tiến hành (行) công việc = Thi hành/Thực hiện.</t>
  </si>
  <si>
    <t>志愿者</t>
  </si>
  <si>
    <t>zhìyuànzhě</t>
  </si>
  <si>
    <t>Người (者) làm theo ý nguyện (愿) và ý chí (志) = Tình nguyện viên.</t>
  </si>
  <si>
    <t>制造</t>
  </si>
  <si>
    <t>zhìzào</t>
  </si>
  <si>
    <t>Chế tác (制) và tạo dựng (造) = Chế tạo/Sản xuất.</t>
  </si>
  <si>
    <t>制作</t>
  </si>
  <si>
    <t>zhìzuò</t>
  </si>
  <si>
    <t>Chế tác (制) và làm ra (作) = Chế tác/Làm ra.</t>
  </si>
  <si>
    <t>重大</t>
  </si>
  <si>
    <t>zhòngdà</t>
  </si>
  <si>
    <t>Nặng nề (重) và to lớn (大) = Trọng đại/Nghiêm trọng.</t>
  </si>
  <si>
    <t>众多</t>
  </si>
  <si>
    <t>zhòngduō</t>
  </si>
  <si>
    <t>Đám đông người (众 - 3 chữ nhân 人) rất nhiều (多) = Nhiều/Đông đảo.</t>
  </si>
  <si>
    <t>中华</t>
  </si>
  <si>
    <t>Zhōnghuá</t>
  </si>
  <si>
    <t>Sự tinh hoa (华) của vùng đất trung tâm (中) = Trung Hoa.</t>
  </si>
  <si>
    <t>中华民族</t>
  </si>
  <si>
    <t>Zhōnghuá Mínzú</t>
  </si>
  <si>
    <t>Dân tộc (民族) Trung Hoa (中华).</t>
  </si>
  <si>
    <t>中级</t>
  </si>
  <si>
    <t>zhōngjí</t>
  </si>
  <si>
    <t>Cấp bậc (级) ở mức giữa (中) = Trung cấp.</t>
  </si>
  <si>
    <t>中介</t>
  </si>
  <si>
    <t>zhōngjiè</t>
  </si>
  <si>
    <t>Người đứng ở giữa (中) để giới thiệu (介) = Môi giới.</t>
  </si>
  <si>
    <t>种类</t>
  </si>
  <si>
    <t>zhǒnglèi</t>
  </si>
  <si>
    <t>Các chủng loại (类) hạt giống (种) = Chủng loại/Loại.</t>
  </si>
  <si>
    <t>重量</t>
  </si>
  <si>
    <t>zhòngliàng</t>
  </si>
  <si>
    <t>Mức độ (量) nặng (重) của vật = Trọng lượng.</t>
  </si>
  <si>
    <t>中期</t>
  </si>
  <si>
    <t>zhōngqī</t>
  </si>
  <si>
    <t>Khoảng thời gian (期) ở giữa (中) = Trung kỳ/Giữa kỳ.</t>
  </si>
  <si>
    <t>中外</t>
  </si>
  <si>
    <t>zhōngwài</t>
  </si>
  <si>
    <t>Trong nước (中) và ngoài nước (外) = Trong và ngoài nước.</t>
  </si>
  <si>
    <t>中心</t>
  </si>
  <si>
    <t>zhōngxīn</t>
  </si>
  <si>
    <t>Cái tâm (心) ở giữa (中) = Trung tâm.</t>
  </si>
  <si>
    <t>中药</t>
  </si>
  <si>
    <t>zhōngyào</t>
  </si>
  <si>
    <t>Thuốc (药) kiểu Trung Hoa (中) = Thuốc Đông y.</t>
  </si>
  <si>
    <t>中医</t>
  </si>
  <si>
    <t>zhōngyī</t>
  </si>
  <si>
    <t>Y học (医) kiểu Trung Hoa (中) = Đông y/Bác sĩ Đông y.</t>
  </si>
  <si>
    <t>种植</t>
  </si>
  <si>
    <t>zhòngzhí</t>
  </si>
  <si>
    <t>Trồng hạt giống (种) và cây cối (植) = Trồng trọt.</t>
  </si>
  <si>
    <t>种子</t>
  </si>
  <si>
    <t>zhǒngzi</t>
  </si>
  <si>
    <t>Đứa con của loài cây = Hạt giống.</t>
  </si>
  <si>
    <t>周年</t>
  </si>
  <si>
    <t>zhōunián</t>
  </si>
  <si>
    <t>Một năm (年) đi hết một vòng (周) = Kỷ niệm năm/Tròn một năm.</t>
  </si>
  <si>
    <t>煮</t>
  </si>
  <si>
    <t>zhǔ</t>
  </si>
  <si>
    <t>Dùng lửa (灬) để nấu thức ăn trong giả (者) = Nấu/Luộc.</t>
  </si>
  <si>
    <t>猪</t>
  </si>
  <si>
    <t>zhū</t>
  </si>
  <si>
    <t>Con vật (犭) thường thấy ở trong chuồng (者) = Con lợn/heo.</t>
  </si>
  <si>
    <t>抓</t>
  </si>
  <si>
    <t>zhuā</t>
  </si>
  <si>
    <t>Dùng tay (扌) vồ lấy như móng vuốt (爪) = Bắt/Nắm lấy.</t>
  </si>
  <si>
    <t>抓紧</t>
  </si>
  <si>
    <t>zhuājǐn</t>
  </si>
  <si>
    <t>Nắm lấy (抓) thật chặt (紧) = Tranh thủ/Nắm vững.</t>
  </si>
  <si>
    <t>转变</t>
  </si>
  <si>
    <t>zhuǎnbiàn</t>
  </si>
  <si>
    <t>Xoay chuyển (转 - bộ xe 车) và biến đổi (变) = Chuyển biến.</t>
  </si>
  <si>
    <t>撞</t>
  </si>
  <si>
    <t>zhuàng</t>
  </si>
  <si>
    <t>Chiếc xe (车) đâm vào hình hài đứa trẻ (童) bên gò đất = Đâm/Va chạm.</t>
  </si>
  <si>
    <t>转告</t>
  </si>
  <si>
    <t>zhuǎngào</t>
  </si>
  <si>
    <t>Chuyển (转) lời thông báo (告) đến người khác = Chuyển lời.</t>
  </si>
  <si>
    <t>状况</t>
  </si>
  <si>
    <t>zhuàngkuàng</t>
  </si>
  <si>
    <t>Trạng thái (状) và tình hình (况) = Tình trạng.</t>
  </si>
  <si>
    <t>装饰</t>
  </si>
  <si>
    <t>zhuāngshì</t>
  </si>
  <si>
    <t>Trang phục (装) và sức trang sức (饰) = Trang trí.</t>
  </si>
  <si>
    <t>状态</t>
  </si>
  <si>
    <t>zhuàngtài</t>
  </si>
  <si>
    <t>Hình dáng (状) và thái độ/vẻ ngoài (态) = Trạng thái.</t>
  </si>
  <si>
    <t>装修</t>
  </si>
  <si>
    <t>zhuāngxiū</t>
  </si>
  <si>
    <t>Trang hoàng (装) và sửa sang (修) = Trang trí nội thất.</t>
  </si>
  <si>
    <t>专家</t>
  </si>
  <si>
    <t>zhuānjiā</t>
  </si>
  <si>
    <t>Người đứng đầu một nhà (家) chuyên sâu (专) về một lĩnh vực = Chuyên gia.</t>
  </si>
  <si>
    <t>专心</t>
  </si>
  <si>
    <t>zhuānxīn</t>
  </si>
  <si>
    <t>Tập trung trái tim (心) vào một việc chuyên nhất (专) = Chuyên tâm.</t>
  </si>
  <si>
    <t>逐步</t>
  </si>
  <si>
    <t>zhúbù</t>
  </si>
  <si>
    <t>Từng bước (步) đi dọc theo khóm tre (竹) = Từng bước.</t>
  </si>
  <si>
    <t>注册</t>
  </si>
  <si>
    <t>zhùcè</t>
  </si>
  <si>
    <t>Ghi tên vào sổ sách (册) bằng lời nói (讠- trong chữ 注) = Đăng ký.</t>
  </si>
  <si>
    <t>主持</t>
  </si>
  <si>
    <t>zhǔchí</t>
  </si>
  <si>
    <t>Người làm chủ (主) và nắm giữ (持) buổi lễ = Chủ trì/Dẫn chương trình.</t>
  </si>
  <si>
    <t>主动</t>
  </si>
  <si>
    <t>zhǔdòng</t>
  </si>
  <si>
    <t>Tự mình làm chủ (主) hành động (动) = Chủ động.</t>
  </si>
  <si>
    <t>住房</t>
  </si>
  <si>
    <t>zhùfáng</t>
  </si>
  <si>
    <t>Căn phòng (房) để ở (住) = Nhà ở.</t>
  </si>
  <si>
    <t>主观</t>
  </si>
  <si>
    <t>zhǔguān</t>
  </si>
  <si>
    <t>Cái nhìn (观) từ phía chủ thể (主) = Chủ quan.</t>
  </si>
  <si>
    <t>追</t>
  </si>
  <si>
    <t>zhuī</t>
  </si>
  <si>
    <t>Bước chân (辶) đuổi theo quân đội (𠂤) = Đuổi theo/Truy đuổi.</t>
  </si>
  <si>
    <t>追求</t>
  </si>
  <si>
    <t>zhuīqiú</t>
  </si>
  <si>
    <t>Đuổi theo (追) và cầu mong (求) đạt được = Theo đuổi.</t>
  </si>
  <si>
    <t>逐渐</t>
  </si>
  <si>
    <t>zhújiàn</t>
  </si>
  <si>
    <t>Từng bước một như nước (氵) thấm dần (渐) = Dần dần.</t>
  </si>
  <si>
    <t>主人</t>
  </si>
  <si>
    <t>zhǔrén</t>
  </si>
  <si>
    <t>Người (人) làm chủ (主) = Chủ nhân.</t>
  </si>
  <si>
    <t>主任</t>
  </si>
  <si>
    <t>zhǔrèn</t>
  </si>
  <si>
    <t>Người giữ trọng trách (任) chính (主) = Chủ nhiệm.</t>
  </si>
  <si>
    <t>主食</t>
  </si>
  <si>
    <t>zhǔshí</t>
  </si>
  <si>
    <t>Món ăn (食) chính (主) = Món chính/Lương thực chính.</t>
  </si>
  <si>
    <t>住宿</t>
  </si>
  <si>
    <t>zhùsù</t>
  </si>
  <si>
    <t>Ở lại (住) và ngủ qua đêm (宿) = Trọ lại/Chỗ ở.</t>
  </si>
  <si>
    <t>主题</t>
  </si>
  <si>
    <t>zhǔtí</t>
  </si>
  <si>
    <t>Đề tài (题) chính (主) = Chủ đề.</t>
  </si>
  <si>
    <t>主席</t>
  </si>
  <si>
    <t>zhǔxí</t>
  </si>
  <si>
    <t>Người ngồi ở vị trí chiếu (席) chính (主) = Chủ tịch.</t>
  </si>
  <si>
    <t>住址</t>
  </si>
  <si>
    <t>zhùzhǐ</t>
  </si>
  <si>
    <t>Địa chỉ nơi ở (住) và dừng chân (址) = Địa chỉ cư trú.</t>
  </si>
  <si>
    <t>注重</t>
  </si>
  <si>
    <t>zhùzhòng</t>
  </si>
  <si>
    <t>Coi trọng (重) và rót tâm trí vào (注) = Chú trọng.</t>
  </si>
  <si>
    <t>竹子</t>
  </si>
  <si>
    <t>zhúzi</t>
  </si>
  <si>
    <t>Loài cây có lá rủ xuống đối xứng = Cây tre.</t>
  </si>
  <si>
    <t>紫</t>
  </si>
  <si>
    <t>zǐ</t>
  </si>
  <si>
    <t>Màu sắc của sợi tơ (糸) được nhuộm bằng thảo mộc (此) = Màu tím.</t>
  </si>
  <si>
    <t>自从</t>
  </si>
  <si>
    <t>zìcóng</t>
  </si>
  <si>
    <t>Từ (自) điểm xuất phát đi theo (从) = Kể từ khi.</t>
  </si>
  <si>
    <t>自动</t>
  </si>
  <si>
    <t>zìdòng</t>
  </si>
  <si>
    <t>Tự bản thân (自) chuyển động (动) = Tự động.</t>
  </si>
  <si>
    <t>资格</t>
  </si>
  <si>
    <t>zīgé</t>
  </si>
  <si>
    <t>Tư cách dựa trên thang bậc của cây tài sản (资) = Tư cách.</t>
  </si>
  <si>
    <t>资金</t>
  </si>
  <si>
    <t>zījīn</t>
  </si>
  <si>
    <t>Tiền bạc (金) dùng làm tài sản/nguồn vốn (资) = Tiền vốn/Kinh phí.</t>
  </si>
  <si>
    <t>自觉</t>
  </si>
  <si>
    <t>zìjué</t>
  </si>
  <si>
    <t>Tự mình (自) cảm nhận/nhận thức (觉) = Tự giác.</t>
  </si>
  <si>
    <t>字母</t>
  </si>
  <si>
    <t>zìmǔ</t>
  </si>
  <si>
    <t>Chữ cái con (子) sinh ra từ chữ mẹ (母) = Bảng chữ cái.</t>
  </si>
  <si>
    <t>子女</t>
  </si>
  <si>
    <t>zǐnǚ</t>
  </si>
  <si>
    <t>Con trai (子) và con gái (女) = Con cái.</t>
  </si>
  <si>
    <t>自身</t>
  </si>
  <si>
    <t>zìshēn</t>
  </si>
  <si>
    <t>Tự (自) bản thân (身) mình = Tự thân/Bản thân.</t>
  </si>
  <si>
    <t>姿势</t>
  </si>
  <si>
    <t>zīshì</t>
  </si>
  <si>
    <t>Cái thế (势) của người phụ nữ đẹp (姿) = Tư thế/Dáng vẻ.</t>
  </si>
  <si>
    <t>咨询</t>
  </si>
  <si>
    <t>zīxún</t>
  </si>
  <si>
    <t>Dùng lời nói (讠) để hỏi về các nguồn lực (资) = Tư vấn.</t>
  </si>
  <si>
    <t>自由</t>
  </si>
  <si>
    <t>zìyóu</t>
  </si>
  <si>
    <t>Tự mình (自) làm theo ý do mình chọn (由) = Tự do.</t>
  </si>
  <si>
    <t>资源</t>
  </si>
  <si>
    <t>zīyuán</t>
  </si>
  <si>
    <t>Nguồn gốc (源) của các tài sản (资) = Tài nguyên.</t>
  </si>
  <si>
    <t>总部</t>
  </si>
  <si>
    <t>zǒngbù</t>
  </si>
  <si>
    <t>Bộ phận (部) quản lý tổng quát (总) = Trụ sở chính.</t>
  </si>
  <si>
    <t>总共</t>
  </si>
  <si>
    <t>zǒnggòng</t>
  </si>
  <si>
    <t>Tổng hợp (总) và cùng nhau (共) = Tổng cộng.</t>
  </si>
  <si>
    <t>综合</t>
  </si>
  <si>
    <t>zōnghé</t>
  </si>
  <si>
    <t>Tổng quát (总) và hợp lại (合) = Tổng hợp.</t>
  </si>
  <si>
    <t>总数</t>
  </si>
  <si>
    <t>zǒngshù</t>
  </si>
  <si>
    <t>Con số (数) tổng quát (总) = Tổng số.</t>
  </si>
  <si>
    <t>总体</t>
  </si>
  <si>
    <t>zǒngtǐ</t>
  </si>
  <si>
    <t>Toàn bộ cơ thể (体) tổng quát (总) = Tổng thể.</t>
  </si>
  <si>
    <t>总统</t>
  </si>
  <si>
    <t>zǒngtǒng</t>
  </si>
  <si>
    <t>Người thống lĩnh (统) tổng quát (总) cả nước = Tổng thống.</t>
  </si>
  <si>
    <t>总之</t>
  </si>
  <si>
    <t>zǒngzhī</t>
  </si>
  <si>
    <t>Tóm lại là cái điều (之) tổng quát (总) = Tóm lại.</t>
  </si>
  <si>
    <t>族</t>
  </si>
  <si>
    <t>zú</t>
  </si>
  <si>
    <t>Những người sống dưới cùng một lá cờ (方) và dùng chung mũi tên (矢) = Dân tộc/Tộc.</t>
  </si>
  <si>
    <t>组成</t>
  </si>
  <si>
    <t>zǔchéng</t>
  </si>
  <si>
    <t>Tổ chức (组) lại để tạo thành (成) = Cấu thành/Hợp thành.</t>
  </si>
  <si>
    <t>足够</t>
  </si>
  <si>
    <t>zúgòu</t>
  </si>
  <si>
    <t>Cái chân (足) đã đi đến mức vừa đủ (够) = Đầy đủ.</t>
  </si>
  <si>
    <t>组合</t>
  </si>
  <si>
    <t>zǔhé</t>
  </si>
  <si>
    <t>Tổ chức (组) và kết hợp (合) lại = Tổ hợp/Kết hợp.</t>
  </si>
  <si>
    <t>醉</t>
  </si>
  <si>
    <t>Uống rượu (酉) quá nhiều đến mức như bị tốt (卒) đi = Say.</t>
  </si>
  <si>
    <t>嘴巴</t>
  </si>
  <si>
    <t>zuǐba</t>
  </si>
  <si>
    <t>Cái miệng (嘴) dùng để nhai/mút (巴) = Cái miệng.</t>
  </si>
  <si>
    <t>最初</t>
  </si>
  <si>
    <t>zuìchū</t>
  </si>
  <si>
    <t>Lần đầu tiên (初) và sớm nhất (最) = Lúc đầu/Ban đầu.</t>
  </si>
  <si>
    <t>最佳</t>
  </si>
  <si>
    <t>zuìjiā</t>
  </si>
  <si>
    <t>Tốt đẹp (佳) nhất (最) = Tốt nhất.</t>
  </si>
  <si>
    <t>租金</t>
  </si>
  <si>
    <t>zūjīn</t>
  </si>
  <si>
    <t>Tiền (金) dùng để thuê (租 - lúa gạo 禾 mang đi đóng tiền) = Tiền thuê.</t>
  </si>
  <si>
    <t>尊敬</t>
  </si>
  <si>
    <t>zūnjìng</t>
  </si>
  <si>
    <t>Thái độ tôn trọng người cầm bình rượu quý (尊) và kính cẩn (敬) = Tôn kính.</t>
  </si>
  <si>
    <t>遵守</t>
  </si>
  <si>
    <t>zūnshǒu</t>
  </si>
  <si>
    <t>Đi theo (辶) và gìn giữ (守) quy định = Tuân thủ.</t>
  </si>
  <si>
    <t>作出</t>
  </si>
  <si>
    <t>zuòchū</t>
  </si>
  <si>
    <t>Làm ra (作) và đưa ra ngoài (出) = Đưa ra/Làm ra.</t>
  </si>
  <si>
    <t>阻止</t>
  </si>
  <si>
    <t>zǔzhǐ</t>
  </si>
  <si>
    <t>Ngăn cản (阻) để dừng lại (止) = Ngăn chặn.</t>
  </si>
  <si>
    <t>组织</t>
  </si>
  <si>
    <t>zǔzhī</t>
  </si>
  <si>
    <t>Các sợi tơ (纟) đan lại (织) theo một nhóm (组) = Tổ chức.</t>
  </si>
  <si>
    <t>深思熟虑</t>
  </si>
  <si>
    <t>Shēnsīshúlǜ</t>
  </si>
  <si>
    <t>suy nghĩ sâu sắc và kỹ càng</t>
  </si>
  <si>
    <t>必不可少</t>
  </si>
  <si>
    <t>Bì bùkě shǎo</t>
  </si>
  <si>
    <t>nhất định không thể thiếu</t>
  </si>
  <si>
    <t>1-3600 sheet HSK1,2,3,4,5</t>
  </si>
  <si>
    <t>岸</t>
  </si>
  <si>
    <t>昂贵</t>
  </si>
  <si>
    <t>ángguì</t>
  </si>
  <si>
    <t>案例</t>
  </si>
  <si>
    <t>ànlì</t>
  </si>
  <si>
    <t>按摩</t>
  </si>
  <si>
    <t>ànmó</t>
  </si>
  <si>
    <t>暗示</t>
  </si>
  <si>
    <t>ànshì</t>
  </si>
  <si>
    <t>败</t>
  </si>
  <si>
    <t>bài</t>
  </si>
  <si>
    <t>摆</t>
  </si>
  <si>
    <t>白白</t>
  </si>
  <si>
    <t>báibái</t>
  </si>
  <si>
    <t>拜访</t>
  </si>
  <si>
    <t>bàifǎng</t>
  </si>
  <si>
    <t>摆放</t>
  </si>
  <si>
    <t>bǎifàng</t>
  </si>
  <si>
    <t>百分点</t>
  </si>
  <si>
    <t>bǎifēndiǎn</t>
  </si>
  <si>
    <t>百货</t>
  </si>
  <si>
    <t>bǎihuò</t>
  </si>
  <si>
    <t>白领</t>
  </si>
  <si>
    <t>báilǐng</t>
  </si>
  <si>
    <t>拜年</t>
  </si>
  <si>
    <t>bàinián</t>
  </si>
  <si>
    <t>摆脱</t>
  </si>
  <si>
    <t>bǎituō</t>
  </si>
  <si>
    <t>版</t>
  </si>
  <si>
    <t>bǎn</t>
  </si>
  <si>
    <t>版本</t>
  </si>
  <si>
    <t>bǎnběn</t>
  </si>
  <si>
    <t>棒球</t>
  </si>
  <si>
    <t>bàngqiú</t>
  </si>
  <si>
    <t>榜样</t>
  </si>
  <si>
    <t>bǎngyàng</t>
  </si>
  <si>
    <t>伴随</t>
  </si>
  <si>
    <t>bànsuí</t>
  </si>
  <si>
    <t>扮演</t>
  </si>
  <si>
    <t>bànyǎn</t>
  </si>
  <si>
    <t>爆</t>
  </si>
  <si>
    <t>爆发</t>
  </si>
  <si>
    <t>bàofā</t>
  </si>
  <si>
    <t>保管</t>
  </si>
  <si>
    <t>bǎoguǎn</t>
  </si>
  <si>
    <t>保健</t>
  </si>
  <si>
    <t>bǎojiàn</t>
  </si>
  <si>
    <t>报刊</t>
  </si>
  <si>
    <t>bàokān</t>
  </si>
  <si>
    <t>暴力</t>
  </si>
  <si>
    <t>bàolì</t>
  </si>
  <si>
    <t>暴露</t>
  </si>
  <si>
    <t>bàolù</t>
  </si>
  <si>
    <t>保暖</t>
  </si>
  <si>
    <t>bǎonuǎn</t>
  </si>
  <si>
    <t>报社</t>
  </si>
  <si>
    <t>bàoshè</t>
  </si>
  <si>
    <t>保修</t>
  </si>
  <si>
    <t>bǎoxiū</t>
  </si>
  <si>
    <t>爆炸</t>
  </si>
  <si>
    <t>bàozhà</t>
  </si>
  <si>
    <t>保障</t>
  </si>
  <si>
    <t>bǎozhàng</t>
  </si>
  <si>
    <t>被动</t>
  </si>
  <si>
    <t>bèidòng</t>
  </si>
  <si>
    <t>悲观</t>
  </si>
  <si>
    <t>bēiguān</t>
  </si>
  <si>
    <t>北极</t>
  </si>
  <si>
    <t>běijí</t>
  </si>
  <si>
    <t>悲剧</t>
  </si>
  <si>
    <t>bēijù</t>
  </si>
  <si>
    <t>北美洲</t>
  </si>
  <si>
    <t>Běiměizhōu</t>
  </si>
  <si>
    <t>被迫</t>
  </si>
  <si>
    <t>bèipò</t>
  </si>
  <si>
    <t>悲伤</t>
  </si>
  <si>
    <t>bēishāng</t>
  </si>
  <si>
    <t>背心</t>
  </si>
  <si>
    <t>bèixīn</t>
  </si>
  <si>
    <t>备用</t>
  </si>
  <si>
    <t>bèiyòng</t>
  </si>
  <si>
    <t>倍增</t>
  </si>
  <si>
    <t>bèizēng</t>
  </si>
  <si>
    <t>本能</t>
  </si>
  <si>
    <t>běnnéng</t>
  </si>
  <si>
    <t>奔跑</t>
  </si>
  <si>
    <t>bēnpǎo</t>
  </si>
  <si>
    <t>本身</t>
  </si>
  <si>
    <t>běnshēn</t>
  </si>
  <si>
    <t>本土</t>
  </si>
  <si>
    <t>běntǔ</t>
  </si>
  <si>
    <t>闭</t>
  </si>
  <si>
    <t>避</t>
  </si>
  <si>
    <t>逼</t>
  </si>
  <si>
    <t>bī</t>
  </si>
  <si>
    <t>编</t>
  </si>
  <si>
    <t>遍地</t>
  </si>
  <si>
    <t>biàndì</t>
  </si>
  <si>
    <t>编辑</t>
  </si>
  <si>
    <t>biānjí</t>
  </si>
  <si>
    <t>便捷</t>
  </si>
  <si>
    <t>biànjié</t>
  </si>
  <si>
    <t>编写</t>
  </si>
  <si>
    <t>biānxiě</t>
  </si>
  <si>
    <t>变质</t>
  </si>
  <si>
    <t>biànzhì</t>
  </si>
  <si>
    <t>比方</t>
  </si>
  <si>
    <t>bǐfang</t>
  </si>
  <si>
    <t>兵</t>
  </si>
  <si>
    <t>病毒</t>
  </si>
  <si>
    <t>bìngdú</t>
  </si>
  <si>
    <t>必修</t>
  </si>
  <si>
    <t>bìxiū</t>
  </si>
  <si>
    <t>比重</t>
  </si>
  <si>
    <t>bǐzhòng</t>
  </si>
  <si>
    <t>播</t>
  </si>
  <si>
    <t>bō</t>
  </si>
  <si>
    <t>博览会</t>
  </si>
  <si>
    <t>bólǎnhuì</t>
  </si>
  <si>
    <t>薄弱</t>
  </si>
  <si>
    <t>bóruò</t>
  </si>
  <si>
    <t>播种</t>
  </si>
  <si>
    <t>bōzhǒng</t>
  </si>
  <si>
    <t>脖子</t>
  </si>
  <si>
    <t>bózi</t>
  </si>
  <si>
    <t>布</t>
  </si>
  <si>
    <t>补</t>
  </si>
  <si>
    <t>bǔ</t>
  </si>
  <si>
    <t>捕</t>
  </si>
  <si>
    <t>不耐烦</t>
  </si>
  <si>
    <t>bú nàifán</t>
  </si>
  <si>
    <t>不安</t>
  </si>
  <si>
    <t>bù’ān</t>
  </si>
  <si>
    <t>不曾</t>
  </si>
  <si>
    <t>bùcéng</t>
  </si>
  <si>
    <t>补偿</t>
  </si>
  <si>
    <t>bǔcháng</t>
  </si>
  <si>
    <t>不成</t>
  </si>
  <si>
    <t>bùchéng</t>
  </si>
  <si>
    <t>动、形、助</t>
  </si>
  <si>
    <t>不得</t>
  </si>
  <si>
    <t>bùdé</t>
  </si>
  <si>
    <t>部队</t>
  </si>
  <si>
    <t>bùduì</t>
  </si>
  <si>
    <t>不顾</t>
  </si>
  <si>
    <t>búgù</t>
  </si>
  <si>
    <t>不禁</t>
  </si>
  <si>
    <t>bùjīn</t>
  </si>
  <si>
    <t>补课</t>
  </si>
  <si>
    <t>bǔkè</t>
  </si>
  <si>
    <t>不料</t>
  </si>
  <si>
    <t>búliào</t>
  </si>
  <si>
    <t>不适</t>
  </si>
  <si>
    <t>búshì</t>
  </si>
  <si>
    <t>不时</t>
  </si>
  <si>
    <t>bùshí</t>
  </si>
  <si>
    <t>补贴</t>
  </si>
  <si>
    <t>bǔtiē</t>
  </si>
  <si>
    <t>部位</t>
  </si>
  <si>
    <t>bùwèi</t>
  </si>
  <si>
    <t>补习</t>
  </si>
  <si>
    <t>bǔxí</t>
  </si>
  <si>
    <t>不许</t>
  </si>
  <si>
    <t>bùxǔ</t>
  </si>
  <si>
    <t>不宜</t>
  </si>
  <si>
    <t>bùyí</t>
  </si>
  <si>
    <t>不已</t>
  </si>
  <si>
    <t>bùyǐ</t>
  </si>
  <si>
    <t>布置</t>
  </si>
  <si>
    <t>bùzhì</t>
  </si>
  <si>
    <t>不止</t>
  </si>
  <si>
    <t>bùzhǐ</t>
  </si>
  <si>
    <t>不至于</t>
  </si>
  <si>
    <t>búzhìyú</t>
  </si>
  <si>
    <t>步骤</t>
  </si>
  <si>
    <t>bùzhòu</t>
  </si>
  <si>
    <t>踩</t>
  </si>
  <si>
    <t>cǎi</t>
  </si>
  <si>
    <t>猜测</t>
  </si>
  <si>
    <t>cāicè</t>
  </si>
  <si>
    <t>财产</t>
  </si>
  <si>
    <t>cáichǎn</t>
  </si>
  <si>
    <t>财富</t>
  </si>
  <si>
    <t>cáifù</t>
  </si>
  <si>
    <t>采购</t>
  </si>
  <si>
    <t>cǎigòu</t>
  </si>
  <si>
    <t>彩虹</t>
  </si>
  <si>
    <t>cǎihóng</t>
  </si>
  <si>
    <t>才华</t>
  </si>
  <si>
    <t>cáihuá</t>
  </si>
  <si>
    <t>采集</t>
  </si>
  <si>
    <t>cǎijí</t>
  </si>
  <si>
    <t>采纳</t>
  </si>
  <si>
    <t>cǎinà</t>
  </si>
  <si>
    <t>才能</t>
  </si>
  <si>
    <t>cáinéng</t>
  </si>
  <si>
    <t>彩票</t>
  </si>
  <si>
    <t>cǎipiào</t>
  </si>
  <si>
    <t>财务</t>
  </si>
  <si>
    <t>cáiwù</t>
  </si>
  <si>
    <t>财物</t>
  </si>
  <si>
    <t>材质</t>
  </si>
  <si>
    <t>cáizhì</t>
  </si>
  <si>
    <t>仓库</t>
  </si>
  <si>
    <t>cāngkù</t>
  </si>
  <si>
    <t>残疾</t>
  </si>
  <si>
    <t>cánjí</t>
  </si>
  <si>
    <t>参展</t>
  </si>
  <si>
    <t>cānzhǎn</t>
  </si>
  <si>
    <t>草原</t>
  </si>
  <si>
    <t>cǎoyuán</t>
  </si>
  <si>
    <t>侧</t>
  </si>
  <si>
    <t>策划</t>
  </si>
  <si>
    <t>cèhuà</t>
  </si>
  <si>
    <t>测量</t>
  </si>
  <si>
    <t>cèliáng</t>
  </si>
  <si>
    <t>策略</t>
  </si>
  <si>
    <t>cèlüè</t>
  </si>
  <si>
    <t>层次</t>
  </si>
  <si>
    <t>céngcì</t>
  </si>
  <si>
    <t>层面</t>
  </si>
  <si>
    <t>céngmiàn</t>
  </si>
  <si>
    <t>叉</t>
  </si>
  <si>
    <t>拆除</t>
  </si>
  <si>
    <t>chāichú</t>
  </si>
  <si>
    <t>产出</t>
  </si>
  <si>
    <t>chǎnchū</t>
  </si>
  <si>
    <t>产地</t>
  </si>
  <si>
    <t>chǎndì</t>
  </si>
  <si>
    <t>肠</t>
  </si>
  <si>
    <t>场次</t>
  </si>
  <si>
    <t>chǎngcì</t>
  </si>
  <si>
    <t>场地</t>
  </si>
  <si>
    <t>chǎngdì</t>
  </si>
  <si>
    <t>长短</t>
  </si>
  <si>
    <t>chángduǎn</t>
  </si>
  <si>
    <t>场馆</t>
  </si>
  <si>
    <t>chǎngguǎn</t>
  </si>
  <si>
    <t>常规</t>
  </si>
  <si>
    <t>chángguī</t>
  </si>
  <si>
    <t>场合</t>
  </si>
  <si>
    <t>chǎnghé</t>
  </si>
  <si>
    <t>厂家</t>
  </si>
  <si>
    <t>chǎngjiā</t>
  </si>
  <si>
    <t>场景</t>
  </si>
  <si>
    <t>chǎngjǐng</t>
  </si>
  <si>
    <t>场面</t>
  </si>
  <si>
    <t>chǎngmiàn</t>
  </si>
  <si>
    <t>常年</t>
  </si>
  <si>
    <t>chángnián</t>
  </si>
  <si>
    <t>厂商</t>
  </si>
  <si>
    <t>chǎngshāng</t>
  </si>
  <si>
    <t>长寿</t>
  </si>
  <si>
    <t>chángshòu</t>
  </si>
  <si>
    <t>畅通</t>
  </si>
  <si>
    <t>chàngtōng</t>
  </si>
  <si>
    <t>常温</t>
  </si>
  <si>
    <t>chángwēn</t>
  </si>
  <si>
    <t>畅销</t>
  </si>
  <si>
    <t>chàngxiāo</t>
  </si>
  <si>
    <t>抄</t>
  </si>
  <si>
    <t>朝代</t>
  </si>
  <si>
    <t>cháodài</t>
  </si>
  <si>
    <t>炒股</t>
  </si>
  <si>
    <t>chǎogǔ</t>
  </si>
  <si>
    <t>吵架</t>
  </si>
  <si>
    <t>chǎojià</t>
  </si>
  <si>
    <t>潮流</t>
  </si>
  <si>
    <t>cháoliú</t>
  </si>
  <si>
    <t>潮湿</t>
  </si>
  <si>
    <t>cháoshī</t>
  </si>
  <si>
    <t>嘲笑</t>
  </si>
  <si>
    <t>cháoxiào</t>
  </si>
  <si>
    <t>超越</t>
  </si>
  <si>
    <t>chāoyuè</t>
  </si>
  <si>
    <t>查询</t>
  </si>
  <si>
    <t>cháxún</t>
  </si>
  <si>
    <t>差异</t>
  </si>
  <si>
    <t>chāyì</t>
  </si>
  <si>
    <t>插座</t>
  </si>
  <si>
    <t>chāzuò</t>
  </si>
  <si>
    <t>撤回</t>
  </si>
  <si>
    <t>chèhuí</t>
  </si>
  <si>
    <t>趁</t>
  </si>
  <si>
    <t>chèn</t>
  </si>
  <si>
    <t>成</t>
  </si>
  <si>
    <t>乘2</t>
  </si>
  <si>
    <t>盛</t>
  </si>
  <si>
    <t>撑</t>
  </si>
  <si>
    <t>承办</t>
  </si>
  <si>
    <t>chéngbàn</t>
  </si>
  <si>
    <t>惩罚</t>
  </si>
  <si>
    <t>chéngfá</t>
  </si>
  <si>
    <t>称号</t>
  </si>
  <si>
    <t>chēnghào</t>
  </si>
  <si>
    <t>称呼</t>
  </si>
  <si>
    <t>chēnghu</t>
  </si>
  <si>
    <t>成交</t>
  </si>
  <si>
    <t>chéngjiāo</t>
  </si>
  <si>
    <t>承诺</t>
  </si>
  <si>
    <t>chéngnuò</t>
  </si>
  <si>
    <t>成千上万</t>
  </si>
  <si>
    <t>chéngqiān-shàngwàn</t>
  </si>
  <si>
    <t>呈现</t>
  </si>
  <si>
    <t>chéngxiàn</t>
  </si>
  <si>
    <t>成效</t>
  </si>
  <si>
    <t>chéngxiào</t>
  </si>
  <si>
    <t>诚信</t>
  </si>
  <si>
    <t>chéngxìn</t>
  </si>
  <si>
    <t>成语</t>
  </si>
  <si>
    <t>chéngyǔ</t>
  </si>
  <si>
    <t>城镇</t>
  </si>
  <si>
    <t>chéngzhèn</t>
  </si>
  <si>
    <t>称作</t>
  </si>
  <si>
    <t>chēngzuò</t>
  </si>
  <si>
    <t>沉重</t>
  </si>
  <si>
    <t>chénzhòng</t>
  </si>
  <si>
    <t>撤销</t>
  </si>
  <si>
    <t>chèxiāo</t>
  </si>
  <si>
    <t>尺</t>
  </si>
  <si>
    <t>chǐ</t>
  </si>
  <si>
    <t>尺寸</t>
  </si>
  <si>
    <t>chǐcùn</t>
  </si>
  <si>
    <t>持久</t>
  </si>
  <si>
    <t>chíjiǔ</t>
  </si>
  <si>
    <t>持有</t>
  </si>
  <si>
    <t>chíyǒu</t>
  </si>
  <si>
    <t>chòng</t>
  </si>
  <si>
    <t>崇拜</t>
  </si>
  <si>
    <t>chóngbài</t>
  </si>
  <si>
    <t>冲动</t>
  </si>
  <si>
    <t>chōngdòng</t>
  </si>
  <si>
    <t>冲击</t>
  </si>
  <si>
    <t>chōngjī</t>
  </si>
  <si>
    <t>重建</t>
  </si>
  <si>
    <t>chóngjiàn</t>
  </si>
  <si>
    <t>充实</t>
  </si>
  <si>
    <t>chōngshí</t>
  </si>
  <si>
    <t>冲突</t>
  </si>
  <si>
    <t>chōngtū</t>
  </si>
  <si>
    <t>愁</t>
  </si>
  <si>
    <t>chóu</t>
  </si>
  <si>
    <t>筹备</t>
  </si>
  <si>
    <t>chóubèi</t>
  </si>
  <si>
    <t>抽奖</t>
  </si>
  <si>
    <t>chōujiǎng</t>
  </si>
  <si>
    <t>抽象</t>
  </si>
  <si>
    <t>chōuxiàng</t>
  </si>
  <si>
    <t>除</t>
  </si>
  <si>
    <t>chú</t>
  </si>
  <si>
    <t>串</t>
  </si>
  <si>
    <t>chuàn</t>
  </si>
  <si>
    <t>传承</t>
  </si>
  <si>
    <t>chuánchéng</t>
  </si>
  <si>
    <t>传达</t>
  </si>
  <si>
    <t>chuándá</t>
  </si>
  <si>
    <t>闯</t>
  </si>
  <si>
    <t>chuǎng</t>
  </si>
  <si>
    <t>创办</t>
  </si>
  <si>
    <t>chuàngbàn</t>
  </si>
  <si>
    <t>创建</t>
  </si>
  <si>
    <t>chuàngjiàn</t>
  </si>
  <si>
    <t>窗口</t>
  </si>
  <si>
    <t>chuāngkǒu</t>
  </si>
  <si>
    <t>创立</t>
  </si>
  <si>
    <t>chuànglì</t>
  </si>
  <si>
    <t>穿过</t>
  </si>
  <si>
    <t>chuānguò</t>
  </si>
  <si>
    <t>创意</t>
  </si>
  <si>
    <t>chuàngyì</t>
  </si>
  <si>
    <t>传染</t>
  </si>
  <si>
    <t>chuánrǎn</t>
  </si>
  <si>
    <t>传染病</t>
  </si>
  <si>
    <t>chuánrǎnbìng</t>
  </si>
  <si>
    <t>传授</t>
  </si>
  <si>
    <t>chuánshòu</t>
  </si>
  <si>
    <t>传输</t>
  </si>
  <si>
    <t>chuánshū</t>
  </si>
  <si>
    <t>传真</t>
  </si>
  <si>
    <t>chuánzhēn</t>
  </si>
  <si>
    <t>船只</t>
  </si>
  <si>
    <t>chuánzhī</t>
  </si>
  <si>
    <t>初步</t>
  </si>
  <si>
    <t>chūbù</t>
  </si>
  <si>
    <t>出场</t>
  </si>
  <si>
    <t>chūchǎng</t>
  </si>
  <si>
    <t>处处</t>
  </si>
  <si>
    <t>chùchù</t>
  </si>
  <si>
    <t>储存</t>
  </si>
  <si>
    <t>chǔcún</t>
  </si>
  <si>
    <t>初等</t>
  </si>
  <si>
    <t>chūděng</t>
  </si>
  <si>
    <t>处罚</t>
  </si>
  <si>
    <t>chǔfá</t>
  </si>
  <si>
    <t>除非</t>
  </si>
  <si>
    <t>chúfēi</t>
  </si>
  <si>
    <t>垂直</t>
  </si>
  <si>
    <t>chuízhí</t>
  </si>
  <si>
    <t>出境</t>
  </si>
  <si>
    <t>chūjìng</t>
  </si>
  <si>
    <t>出力</t>
  </si>
  <si>
    <t>chūlì</t>
  </si>
  <si>
    <t>出名</t>
  </si>
  <si>
    <t>chūmíng</t>
  </si>
  <si>
    <t>纯</t>
  </si>
  <si>
    <t>chún</t>
  </si>
  <si>
    <t>出入</t>
  </si>
  <si>
    <t>chūrù</t>
  </si>
  <si>
    <t>出示</t>
  </si>
  <si>
    <t>chūshì</t>
  </si>
  <si>
    <t>储蓄</t>
  </si>
  <si>
    <t>chǔxù</t>
  </si>
  <si>
    <t>出游</t>
  </si>
  <si>
    <t>chūyóu</t>
  </si>
  <si>
    <t>出于</t>
  </si>
  <si>
    <t>chūyú</t>
  </si>
  <si>
    <t>刺</t>
  </si>
  <si>
    <t>此刻</t>
  </si>
  <si>
    <t>cǐkè</t>
  </si>
  <si>
    <t>瓷器</t>
  </si>
  <si>
    <t>cíqì</t>
  </si>
  <si>
    <t>次数</t>
  </si>
  <si>
    <t>cìshù</t>
  </si>
  <si>
    <t>匆匆</t>
  </si>
  <si>
    <t>cōngcōng</t>
  </si>
  <si>
    <t>匆忙</t>
  </si>
  <si>
    <t>cōngmáng</t>
  </si>
  <si>
    <t>从未</t>
  </si>
  <si>
    <t>cóngwèi</t>
  </si>
  <si>
    <t>从业</t>
  </si>
  <si>
    <t>cóngyè</t>
  </si>
  <si>
    <t>醋</t>
  </si>
  <si>
    <t>cù</t>
  </si>
  <si>
    <t>脆</t>
  </si>
  <si>
    <t>cuì</t>
  </si>
  <si>
    <t>脆弱</t>
  </si>
  <si>
    <t>cuìruò</t>
  </si>
  <si>
    <t>寸</t>
  </si>
  <si>
    <t>cùn</t>
  </si>
  <si>
    <t>存储</t>
  </si>
  <si>
    <t>cúnchǔ</t>
  </si>
  <si>
    <t>村庄</t>
  </si>
  <si>
    <t>cūnzhuāng</t>
  </si>
  <si>
    <t>挫折</t>
  </si>
  <si>
    <t>cuòzhé</t>
  </si>
  <si>
    <t>搭</t>
  </si>
  <si>
    <t>dā</t>
  </si>
  <si>
    <t>打交道</t>
  </si>
  <si>
    <t>dǎ jiāodao</t>
  </si>
  <si>
    <t>大臣</t>
  </si>
  <si>
    <t>dàchén</t>
  </si>
  <si>
    <t>大吃一惊</t>
  </si>
  <si>
    <t>dàchī-yìjīng</t>
  </si>
  <si>
    <t>大地</t>
  </si>
  <si>
    <t>dàdì</t>
  </si>
  <si>
    <t>打动</t>
  </si>
  <si>
    <t>dǎdòng</t>
  </si>
  <si>
    <t>大都</t>
  </si>
  <si>
    <t>dàdū</t>
  </si>
  <si>
    <t>大方</t>
  </si>
  <si>
    <t>dàfang</t>
  </si>
  <si>
    <t>答复</t>
  </si>
  <si>
    <t>dáfù</t>
  </si>
  <si>
    <t>大幅</t>
  </si>
  <si>
    <t>dàfú</t>
  </si>
  <si>
    <t>大伙儿</t>
  </si>
  <si>
    <t>dàhuǒr</t>
  </si>
  <si>
    <t>呆</t>
  </si>
  <si>
    <t>代价</t>
  </si>
  <si>
    <t>dàijià</t>
  </si>
  <si>
    <t>贷款</t>
  </si>
  <si>
    <t>dàikuǎn</t>
  </si>
  <si>
    <t>代理</t>
  </si>
  <si>
    <t>dàilǐ</t>
  </si>
  <si>
    <t>带领</t>
  </si>
  <si>
    <t>dàilǐng</t>
  </si>
  <si>
    <t>打击</t>
  </si>
  <si>
    <t>dǎjī</t>
  </si>
  <si>
    <t>打架</t>
  </si>
  <si>
    <t>dǎjià</t>
  </si>
  <si>
    <t>打卡</t>
  </si>
  <si>
    <t>dǎkǎ</t>
  </si>
  <si>
    <t>打雷</t>
  </si>
  <si>
    <t>dǎléi</t>
  </si>
  <si>
    <t>蛋白质</t>
  </si>
  <si>
    <t>dànbáizhì</t>
  </si>
  <si>
    <t>单纯</t>
  </si>
  <si>
    <t>dānchún</t>
  </si>
  <si>
    <t>单调</t>
  </si>
  <si>
    <t>dāndiào</t>
  </si>
  <si>
    <t>档案</t>
  </si>
  <si>
    <t>dàng'àn</t>
  </si>
  <si>
    <t>当场</t>
  </si>
  <si>
    <t>dāngchǎng</t>
  </si>
  <si>
    <t>当初</t>
  </si>
  <si>
    <t>dāngchū</t>
  </si>
  <si>
    <t>当代</t>
  </si>
  <si>
    <t>dāngdài</t>
  </si>
  <si>
    <t>当今</t>
  </si>
  <si>
    <t>dāngjīn</t>
  </si>
  <si>
    <t>当面</t>
  </si>
  <si>
    <t>dāngmiàn</t>
  </si>
  <si>
    <t>当天</t>
  </si>
  <si>
    <t>dàngtiān</t>
  </si>
  <si>
    <t>当下</t>
  </si>
  <si>
    <t>dāngxià</t>
  </si>
  <si>
    <t>当选</t>
  </si>
  <si>
    <t>dāngxuǎn</t>
  </si>
  <si>
    <t>诞生</t>
  </si>
  <si>
    <t>dànshēng</t>
  </si>
  <si>
    <t>耽误</t>
  </si>
  <si>
    <t>dānwu</t>
  </si>
  <si>
    <t>担忧</t>
  </si>
  <si>
    <t>dānyōu</t>
  </si>
  <si>
    <t>岛</t>
  </si>
  <si>
    <t>倒闭</t>
  </si>
  <si>
    <t>dǎobì</t>
  </si>
  <si>
    <t>倒车</t>
  </si>
  <si>
    <t>dǎochē</t>
  </si>
  <si>
    <t>道德</t>
  </si>
  <si>
    <t>dàodé</t>
  </si>
  <si>
    <t>倒是</t>
  </si>
  <si>
    <t>dàoshì</t>
  </si>
  <si>
    <t>导师</t>
  </si>
  <si>
    <t>dǎoshī</t>
  </si>
  <si>
    <t>搭配</t>
  </si>
  <si>
    <t>dāpèi</t>
  </si>
  <si>
    <t>大使</t>
  </si>
  <si>
    <t>dàshǐ</t>
  </si>
  <si>
    <t>大师</t>
  </si>
  <si>
    <t>dàshī</t>
  </si>
  <si>
    <t>大洋洲</t>
  </si>
  <si>
    <t>Dàyángzhōu</t>
  </si>
  <si>
    <t>打造</t>
  </si>
  <si>
    <t>dǎzào</t>
  </si>
  <si>
    <t>打仗</t>
  </si>
  <si>
    <t>dǎzhàng</t>
  </si>
  <si>
    <t>大致</t>
  </si>
  <si>
    <t>dàzhì</t>
  </si>
  <si>
    <t>得了</t>
  </si>
  <si>
    <t>déle</t>
  </si>
  <si>
    <t>动、助</t>
  </si>
  <si>
    <t>等级</t>
  </si>
  <si>
    <t>děngjí</t>
  </si>
  <si>
    <t>灯笼</t>
  </si>
  <si>
    <t>dēnglong</t>
  </si>
  <si>
    <t>得以</t>
  </si>
  <si>
    <t>déyǐ</t>
  </si>
  <si>
    <t>得知</t>
  </si>
  <si>
    <t>dézhī</t>
  </si>
  <si>
    <t>滴</t>
  </si>
  <si>
    <t>电饭锅</t>
  </si>
  <si>
    <t>diànfànguō</t>
  </si>
  <si>
    <t>点击</t>
  </si>
  <si>
    <t>diǎnjī</t>
  </si>
  <si>
    <t>电力</t>
  </si>
  <si>
    <t>diànlì</t>
  </si>
  <si>
    <t>典礼</t>
  </si>
  <si>
    <t>diǎnlǐ</t>
  </si>
  <si>
    <t>店铺</t>
  </si>
  <si>
    <t>diànpù</t>
  </si>
  <si>
    <t>点燃</t>
  </si>
  <si>
    <t>diǎnrán</t>
  </si>
  <si>
    <t>典型</t>
  </si>
  <si>
    <t>diǎnxíng</t>
  </si>
  <si>
    <t>电源</t>
  </si>
  <si>
    <t>diànyuán</t>
  </si>
  <si>
    <t>吊</t>
  </si>
  <si>
    <t>调动</t>
  </si>
  <si>
    <t>diàodòng</t>
  </si>
  <si>
    <t>钓鱼</t>
  </si>
  <si>
    <t>diàoyú</t>
  </si>
  <si>
    <t>抵达</t>
  </si>
  <si>
    <t>dǐdá</t>
  </si>
  <si>
    <t>地道</t>
  </si>
  <si>
    <t>dìdao</t>
  </si>
  <si>
    <t>跌</t>
  </si>
  <si>
    <t>diē</t>
  </si>
  <si>
    <t>dìfāng</t>
  </si>
  <si>
    <t>抵抗</t>
  </si>
  <si>
    <t>dǐkàng</t>
  </si>
  <si>
    <t>顶</t>
  </si>
  <si>
    <t>dǐng</t>
  </si>
  <si>
    <t>订单</t>
  </si>
  <si>
    <t>dìngdān</t>
  </si>
  <si>
    <t>订婚</t>
  </si>
  <si>
    <t>dìnghūn</t>
  </si>
  <si>
    <t>定价</t>
  </si>
  <si>
    <t>dìngjià</t>
  </si>
  <si>
    <t>定时</t>
  </si>
  <si>
    <t>dìngshí</t>
  </si>
  <si>
    <t>定位</t>
  </si>
  <si>
    <t>dìngwèi</t>
  </si>
  <si>
    <t>定义</t>
  </si>
  <si>
    <t>dìngyì</t>
  </si>
  <si>
    <t>定制</t>
  </si>
  <si>
    <t>dìngzhì</t>
  </si>
  <si>
    <t>低碳</t>
  </si>
  <si>
    <t>dītàn</t>
  </si>
  <si>
    <t>地形</t>
  </si>
  <si>
    <t>dìxíng</t>
  </si>
  <si>
    <t>地域</t>
  </si>
  <si>
    <t>dìyù</t>
  </si>
  <si>
    <t>地质</t>
  </si>
  <si>
    <t>dìzhì</t>
  </si>
  <si>
    <t>栋</t>
  </si>
  <si>
    <t>动机</t>
  </si>
  <si>
    <t>dòngjī</t>
  </si>
  <si>
    <t>动力</t>
  </si>
  <si>
    <t>dònglì</t>
  </si>
  <si>
    <t>动漫</t>
  </si>
  <si>
    <t>dòngmàn</t>
  </si>
  <si>
    <t>动态</t>
  </si>
  <si>
    <t>dòngtài</t>
  </si>
  <si>
    <t>动听</t>
  </si>
  <si>
    <t>dòngtīng</t>
  </si>
  <si>
    <t>逗</t>
  </si>
  <si>
    <t>dòu</t>
  </si>
  <si>
    <t>斗争</t>
  </si>
  <si>
    <t>dòuzhēng</t>
  </si>
  <si>
    <t>毒</t>
  </si>
  <si>
    <t>渡</t>
  </si>
  <si>
    <t>端</t>
  </si>
  <si>
    <t>duān</t>
  </si>
  <si>
    <t>短缺</t>
  </si>
  <si>
    <t>duǎnquē</t>
  </si>
  <si>
    <t>对称</t>
  </si>
  <si>
    <t>duìchèn</t>
  </si>
  <si>
    <t>对接</t>
  </si>
  <si>
    <t>duìjiē</t>
  </si>
  <si>
    <t>对抗</t>
  </si>
  <si>
    <t>duìkàng</t>
  </si>
  <si>
    <t>对立</t>
  </si>
  <si>
    <t>duìlì</t>
  </si>
  <si>
    <t>对应</t>
  </si>
  <si>
    <t>duìyìng</t>
  </si>
  <si>
    <t>蹲</t>
  </si>
  <si>
    <t>顿时</t>
  </si>
  <si>
    <t>dùnshí</t>
  </si>
  <si>
    <t>夺</t>
  </si>
  <si>
    <t>duó</t>
  </si>
  <si>
    <t>躲避</t>
  </si>
  <si>
    <t>duǒbì</t>
  </si>
  <si>
    <t>多才多艺</t>
  </si>
  <si>
    <t>duōcái-duōyì</t>
  </si>
  <si>
    <t>多亏</t>
  </si>
  <si>
    <t>duōkuī</t>
  </si>
  <si>
    <t>多媒体</t>
  </si>
  <si>
    <t>duōméitǐ</t>
  </si>
  <si>
    <t>夺取</t>
  </si>
  <si>
    <t>duóqǔ</t>
  </si>
  <si>
    <t>多余</t>
  </si>
  <si>
    <t>duōyú</t>
  </si>
  <si>
    <t>多元</t>
  </si>
  <si>
    <t>duōyuán</t>
  </si>
  <si>
    <t>都市</t>
  </si>
  <si>
    <t>dūshì</t>
  </si>
  <si>
    <t>恶劣</t>
  </si>
  <si>
    <t>èliè</t>
  </si>
  <si>
    <t>耳环</t>
  </si>
  <si>
    <t>ěrhuán</t>
  </si>
  <si>
    <t>儿科</t>
  </si>
  <si>
    <t>érkē</t>
  </si>
  <si>
    <t>二氧化碳</t>
  </si>
  <si>
    <t>èryǎnghuàtàn</t>
  </si>
  <si>
    <t>恶心</t>
  </si>
  <si>
    <t>ěxin</t>
  </si>
  <si>
    <t>发病</t>
  </si>
  <si>
    <t>fābìng</t>
  </si>
  <si>
    <t>发愁</t>
  </si>
  <si>
    <t>fāchóu</t>
  </si>
  <si>
    <t>发电</t>
  </si>
  <si>
    <t>fādiàn</t>
  </si>
  <si>
    <t>法定</t>
  </si>
  <si>
    <t>fǎdìng</t>
  </si>
  <si>
    <t>发动</t>
  </si>
  <si>
    <t>fādòng</t>
  </si>
  <si>
    <t>发放</t>
  </si>
  <si>
    <t>fāfàng</t>
  </si>
  <si>
    <t>法官</t>
  </si>
  <si>
    <t>fǎguān</t>
  </si>
  <si>
    <t>发光</t>
  </si>
  <si>
    <t>fāguāng</t>
  </si>
  <si>
    <t>法规</t>
  </si>
  <si>
    <t>fǎguī</t>
  </si>
  <si>
    <t>犯</t>
  </si>
  <si>
    <t>番</t>
  </si>
  <si>
    <t>妨碍</t>
  </si>
  <si>
    <t>fáng'ài</t>
  </si>
  <si>
    <t>放大</t>
  </si>
  <si>
    <t>fàngdà</t>
  </si>
  <si>
    <t>方方面面</t>
  </si>
  <si>
    <t>fāngfāngmiànmiàn</t>
  </si>
  <si>
    <t>放飞</t>
  </si>
  <si>
    <t>fàngfēi</t>
  </si>
  <si>
    <t>房价</t>
  </si>
  <si>
    <t>fángjià</t>
  </si>
  <si>
    <t>访谈</t>
  </si>
  <si>
    <t>fǎngtán</t>
  </si>
  <si>
    <t>方位</t>
  </si>
  <si>
    <t>fāngwèi</t>
  </si>
  <si>
    <t>方言</t>
  </si>
  <si>
    <t>fāngyán</t>
  </si>
  <si>
    <t>防治</t>
  </si>
  <si>
    <t>fángzhì</t>
  </si>
  <si>
    <t>反馈</t>
  </si>
  <si>
    <t>fǎnkuì</t>
  </si>
  <si>
    <t>繁忙</t>
  </si>
  <si>
    <t>fánmáng</t>
  </si>
  <si>
    <t>凡（是）</t>
  </si>
  <si>
    <t>fán(shì)</t>
  </si>
  <si>
    <t>反思</t>
  </si>
  <si>
    <t>fǎnsī</t>
  </si>
  <si>
    <t>繁殖</t>
  </si>
  <si>
    <t>fánzhí</t>
  </si>
  <si>
    <t>发票</t>
  </si>
  <si>
    <t>fāpiào</t>
  </si>
  <si>
    <t>发行</t>
  </si>
  <si>
    <t>fāxíng</t>
  </si>
  <si>
    <t>发炎</t>
  </si>
  <si>
    <t>发育</t>
  </si>
  <si>
    <t>fāyù</t>
  </si>
  <si>
    <t>肥</t>
  </si>
  <si>
    <t>féi</t>
  </si>
  <si>
    <t>肺</t>
  </si>
  <si>
    <t>肥胖</t>
  </si>
  <si>
    <t>féipàng</t>
  </si>
  <si>
    <t>飞速</t>
  </si>
  <si>
    <t>fēisù</t>
  </si>
  <si>
    <t>肥沃</t>
  </si>
  <si>
    <t>féiwò</t>
  </si>
  <si>
    <t>肺炎</t>
  </si>
  <si>
    <t>fèiyán</t>
  </si>
  <si>
    <t>粉</t>
  </si>
  <si>
    <t>fěn</t>
  </si>
  <si>
    <t>封闭</t>
  </si>
  <si>
    <t>fēngbì</t>
  </si>
  <si>
    <t>风光</t>
  </si>
  <si>
    <t>fēngguāng</t>
  </si>
  <si>
    <t>风力</t>
  </si>
  <si>
    <t>fēnglì</t>
  </si>
  <si>
    <t>分工</t>
  </si>
  <si>
    <t>fēngōng</t>
  </si>
  <si>
    <t>丰收</t>
  </si>
  <si>
    <t>fēngshōu</t>
  </si>
  <si>
    <t>奉献</t>
  </si>
  <si>
    <t>fèngxiàn</t>
  </si>
  <si>
    <t>风雨</t>
  </si>
  <si>
    <t>fēngyǔ</t>
  </si>
  <si>
    <t>分级</t>
  </si>
  <si>
    <t>fēnjí</t>
  </si>
  <si>
    <t>愤怒</t>
  </si>
  <si>
    <t>fènnù</t>
  </si>
  <si>
    <t>分期</t>
  </si>
  <si>
    <t>fēnqī</t>
  </si>
  <si>
    <t>分散</t>
  </si>
  <si>
    <t>fēnsàn</t>
  </si>
  <si>
    <t>氛围</t>
  </si>
  <si>
    <t>服</t>
  </si>
  <si>
    <t>浮</t>
  </si>
  <si>
    <t>副2</t>
  </si>
  <si>
    <t>服从</t>
  </si>
  <si>
    <t>fúcóng</t>
  </si>
  <si>
    <t>辅导</t>
  </si>
  <si>
    <t>fǔdǎo</t>
  </si>
  <si>
    <t>幅度</t>
  </si>
  <si>
    <t>fúdù</t>
  </si>
  <si>
    <t>覆盖</t>
  </si>
  <si>
    <t>fùgài</t>
  </si>
  <si>
    <t>符号</t>
  </si>
  <si>
    <t>fúhào</t>
  </si>
  <si>
    <t>附件</t>
  </si>
  <si>
    <t>fùjiàn</t>
  </si>
  <si>
    <t>福利</t>
  </si>
  <si>
    <t>fúlì</t>
  </si>
  <si>
    <t>负面</t>
  </si>
  <si>
    <t>fùmiàn</t>
  </si>
  <si>
    <t>夫人</t>
  </si>
  <si>
    <t>fūrén</t>
  </si>
  <si>
    <t>服用</t>
  </si>
  <si>
    <t>fúyòng</t>
  </si>
  <si>
    <t>富裕</t>
  </si>
  <si>
    <t>fùyù</t>
  </si>
  <si>
    <t>赋予</t>
  </si>
  <si>
    <t>fùyǔ</t>
  </si>
  <si>
    <t>辅助</t>
  </si>
  <si>
    <t>fǔzhù</t>
  </si>
  <si>
    <t>该2</t>
  </si>
  <si>
    <t>改编</t>
  </si>
  <si>
    <t>gǎibiān</t>
  </si>
  <si>
    <t>概率</t>
  </si>
  <si>
    <t>gàilǜ</t>
  </si>
  <si>
    <t>改造</t>
  </si>
  <si>
    <t>gǎizào</t>
  </si>
  <si>
    <t>肝</t>
  </si>
  <si>
    <t>干脆</t>
  </si>
  <si>
    <t>gāncuì</t>
  </si>
  <si>
    <t>尴尬</t>
  </si>
  <si>
    <t>gāngà</t>
  </si>
  <si>
    <t>钢笔</t>
  </si>
  <si>
    <t>gāngbǐ</t>
  </si>
  <si>
    <t>港口</t>
  </si>
  <si>
    <t>gǎngkǒu</t>
  </si>
  <si>
    <t>岗位</t>
  </si>
  <si>
    <t>gǎngwèi</t>
  </si>
  <si>
    <t>干旱</t>
  </si>
  <si>
    <t>gānhàn</t>
  </si>
  <si>
    <t>感激</t>
  </si>
  <si>
    <t>gǎnjī</t>
  </si>
  <si>
    <t>赶忙</t>
  </si>
  <si>
    <t>gǎnmáng</t>
  </si>
  <si>
    <t>感染</t>
  </si>
  <si>
    <t>gǎnrǎn</t>
  </si>
  <si>
    <t>干扰</t>
  </si>
  <si>
    <t>gānrǎo</t>
  </si>
  <si>
    <t>感想</t>
  </si>
  <si>
    <t>gǎnxiǎng</t>
  </si>
  <si>
    <t>干燥</t>
  </si>
  <si>
    <t>gānzào</t>
  </si>
  <si>
    <t>高层</t>
  </si>
  <si>
    <t>gāocéng</t>
  </si>
  <si>
    <t>高超</t>
  </si>
  <si>
    <t>gāochāo</t>
  </si>
  <si>
    <t>高等</t>
  </si>
  <si>
    <t>gāoděng</t>
  </si>
  <si>
    <t>高端</t>
  </si>
  <si>
    <t>gāoduān</t>
  </si>
  <si>
    <t>高峰</t>
  </si>
  <si>
    <t>gāofēng</t>
  </si>
  <si>
    <t>稿件</t>
  </si>
  <si>
    <t>gǎojiàn</t>
  </si>
  <si>
    <t>高尚</t>
  </si>
  <si>
    <t>gāoshàng</t>
  </si>
  <si>
    <t>高手</t>
  </si>
  <si>
    <t>gāoshǒu</t>
  </si>
  <si>
    <t>高新技术</t>
  </si>
  <si>
    <t>gāoxīn-jìshù</t>
  </si>
  <si>
    <t>高原</t>
  </si>
  <si>
    <t>gāoyuán</t>
  </si>
  <si>
    <t>稿子</t>
  </si>
  <si>
    <t>gǎozi</t>
  </si>
  <si>
    <t>割</t>
  </si>
  <si>
    <t>隔壁</t>
  </si>
  <si>
    <t>gébì</t>
  </si>
  <si>
    <t>歌唱</t>
  </si>
  <si>
    <t>gēchàng</t>
  </si>
  <si>
    <t>革命</t>
  </si>
  <si>
    <t>gémìng</t>
  </si>
  <si>
    <t>跟前</t>
  </si>
  <si>
    <t>gēnqián</t>
  </si>
  <si>
    <t>跟随</t>
  </si>
  <si>
    <t>gēnsuí</t>
  </si>
  <si>
    <t>跟踪</t>
  </si>
  <si>
    <t>gēnzōng</t>
  </si>
  <si>
    <t>个体</t>
  </si>
  <si>
    <t>gètǐ</t>
  </si>
  <si>
    <t>公</t>
  </si>
  <si>
    <t>gōng</t>
  </si>
  <si>
    <t>宫</t>
  </si>
  <si>
    <t>公安</t>
  </si>
  <si>
    <t>gōng'ān</t>
  </si>
  <si>
    <t>工地</t>
  </si>
  <si>
    <t>gōngdì</t>
  </si>
  <si>
    <t>工夫</t>
  </si>
  <si>
    <t>公告</t>
  </si>
  <si>
    <t>gōnggào</t>
  </si>
  <si>
    <t>巩固</t>
  </si>
  <si>
    <t>gǒnggù</t>
  </si>
  <si>
    <t>共计</t>
  </si>
  <si>
    <t>gòngjì</t>
  </si>
  <si>
    <t>供给</t>
  </si>
  <si>
    <t>gōngjǐ</t>
  </si>
  <si>
    <t>攻击</t>
  </si>
  <si>
    <t>gōngjī</t>
  </si>
  <si>
    <t>公开</t>
  </si>
  <si>
    <t>gōngkāi</t>
  </si>
  <si>
    <t>公民</t>
  </si>
  <si>
    <t>gōngmín</t>
  </si>
  <si>
    <t>公认</t>
  </si>
  <si>
    <t>gōngrèn</t>
  </si>
  <si>
    <t>功效</t>
  </si>
  <si>
    <t>gōngxiào</t>
  </si>
  <si>
    <t>工序</t>
  </si>
  <si>
    <t>gōngxù</t>
  </si>
  <si>
    <t>公益</t>
  </si>
  <si>
    <t>供应</t>
  </si>
  <si>
    <t>gōngyìng</t>
  </si>
  <si>
    <t>公元</t>
  </si>
  <si>
    <t>公正</t>
  </si>
  <si>
    <t>gōngzhèng</t>
  </si>
  <si>
    <t>公众</t>
  </si>
  <si>
    <t>gōngzhòng</t>
  </si>
  <si>
    <t>公主</t>
  </si>
  <si>
    <t>gōngzhǔ</t>
  </si>
  <si>
    <t>沟</t>
  </si>
  <si>
    <t>gōu</t>
  </si>
  <si>
    <t>构造</t>
  </si>
  <si>
    <t>gòuzào</t>
  </si>
  <si>
    <t>顾</t>
  </si>
  <si>
    <t>gù</t>
  </si>
  <si>
    <t>拐</t>
  </si>
  <si>
    <t>guǎi</t>
  </si>
  <si>
    <t>拐弯</t>
  </si>
  <si>
    <t>guǎiwān</t>
  </si>
  <si>
    <t>罐</t>
  </si>
  <si>
    <t>guàn</t>
  </si>
  <si>
    <t>官</t>
  </si>
  <si>
    <t>关爱</t>
  </si>
  <si>
    <t>guān’ài</t>
  </si>
  <si>
    <t>管道</t>
  </si>
  <si>
    <t>guǎndào</t>
  </si>
  <si>
    <t>官方</t>
  </si>
  <si>
    <t>guānfāng</t>
  </si>
  <si>
    <t>广阔</t>
  </si>
  <si>
    <t>guǎngkuò</t>
  </si>
  <si>
    <t>观光</t>
  </si>
  <si>
    <t>guānguāng</t>
  </si>
  <si>
    <t>关怀</t>
  </si>
  <si>
    <t>guānhuái</t>
  </si>
  <si>
    <t>关联</t>
  </si>
  <si>
    <t>guānlián</t>
  </si>
  <si>
    <t>观赏</t>
  </si>
  <si>
    <t>guānshǎng</t>
  </si>
  <si>
    <t>官员</t>
  </si>
  <si>
    <t>guānyuán</t>
  </si>
  <si>
    <t>古典</t>
  </si>
  <si>
    <t>gǔdiǎn</t>
  </si>
  <si>
    <t>孤独</t>
  </si>
  <si>
    <t>gūdú</t>
  </si>
  <si>
    <t>姑姑</t>
  </si>
  <si>
    <t>gūgu</t>
  </si>
  <si>
    <t>跪</t>
  </si>
  <si>
    <t>归</t>
  </si>
  <si>
    <t>guī</t>
  </si>
  <si>
    <t>轨道</t>
  </si>
  <si>
    <t>guǐdào</t>
  </si>
  <si>
    <t>规范</t>
  </si>
  <si>
    <t>guīfàn</t>
  </si>
  <si>
    <t>名、形、动</t>
  </si>
  <si>
    <t>规划</t>
  </si>
  <si>
    <t>guīhuà</t>
  </si>
  <si>
    <t>归还</t>
  </si>
  <si>
    <t>guīhuán</t>
  </si>
  <si>
    <t>规矩</t>
  </si>
  <si>
    <t>guīju</t>
  </si>
  <si>
    <t>贵重</t>
  </si>
  <si>
    <t>guìzhòng</t>
  </si>
  <si>
    <t>古迹</t>
  </si>
  <si>
    <t>gǔjì</t>
  </si>
  <si>
    <t>棍</t>
  </si>
  <si>
    <t>gùn</t>
  </si>
  <si>
    <t>国宝</t>
  </si>
  <si>
    <t>guóbǎo</t>
  </si>
  <si>
    <t>国产</t>
  </si>
  <si>
    <t>guóchǎn</t>
  </si>
  <si>
    <t>过渡</t>
  </si>
  <si>
    <t>国歌</t>
  </si>
  <si>
    <t>guógē</t>
  </si>
  <si>
    <t>过后</t>
  </si>
  <si>
    <t>guòhòu</t>
  </si>
  <si>
    <t>国旗</t>
  </si>
  <si>
    <t>guóqí</t>
  </si>
  <si>
    <t>国情</t>
  </si>
  <si>
    <t>guóqíng</t>
  </si>
  <si>
    <t>过时</t>
  </si>
  <si>
    <t>guòshí</t>
  </si>
  <si>
    <t>国王</t>
  </si>
  <si>
    <t>guówáng</t>
  </si>
  <si>
    <t>股票</t>
  </si>
  <si>
    <t>gǔpiào</t>
  </si>
  <si>
    <t>古人</t>
  </si>
  <si>
    <t>gǔrén</t>
  </si>
  <si>
    <t>股市</t>
  </si>
  <si>
    <t>gǔshì</t>
  </si>
  <si>
    <t>固体</t>
  </si>
  <si>
    <t>gùtǐ</t>
  </si>
  <si>
    <t>骨头</t>
  </si>
  <si>
    <t>gǔtou</t>
  </si>
  <si>
    <t>顾问</t>
  </si>
  <si>
    <t>gùwèn</t>
  </si>
  <si>
    <t>鼓舞</t>
  </si>
  <si>
    <t>gǔwǔ</t>
  </si>
  <si>
    <t>故障</t>
  </si>
  <si>
    <t>gùzhàng</t>
  </si>
  <si>
    <t>害</t>
  </si>
  <si>
    <t>hài</t>
  </si>
  <si>
    <t>海内外</t>
  </si>
  <si>
    <t>hǎi nèiwài</t>
  </si>
  <si>
    <t>海岸</t>
  </si>
  <si>
    <t>hǎi'àn</t>
  </si>
  <si>
    <t>海拔</t>
  </si>
  <si>
    <t>hǎibá</t>
  </si>
  <si>
    <t>海面</t>
  </si>
  <si>
    <t>hǎimiàn</t>
  </si>
  <si>
    <t>海域</t>
  </si>
  <si>
    <t>hǎiyù</t>
  </si>
  <si>
    <t>寒冬</t>
  </si>
  <si>
    <t>hándōng</t>
  </si>
  <si>
    <t>航空</t>
  </si>
  <si>
    <t>hángkōng</t>
  </si>
  <si>
    <t>罕见</t>
  </si>
  <si>
    <t>hǎnjiàn</t>
  </si>
  <si>
    <t>含义</t>
  </si>
  <si>
    <t>hányì</t>
  </si>
  <si>
    <t>旱灾</t>
  </si>
  <si>
    <t>hànzāi</t>
  </si>
  <si>
    <t>毫不</t>
  </si>
  <si>
    <t>háo bù</t>
  </si>
  <si>
    <t>毫无</t>
  </si>
  <si>
    <t>háo wú</t>
  </si>
  <si>
    <t>好不</t>
  </si>
  <si>
    <t>hǎobù</t>
  </si>
  <si>
    <t>好感</t>
  </si>
  <si>
    <t>hǎogǎn</t>
  </si>
  <si>
    <t>好客</t>
  </si>
  <si>
    <t>hàokè</t>
  </si>
  <si>
    <t>毫米</t>
  </si>
  <si>
    <t>háomǐ</t>
  </si>
  <si>
    <t>好容易</t>
  </si>
  <si>
    <t>hǎoróngyì</t>
  </si>
  <si>
    <t>毫升</t>
  </si>
  <si>
    <t>háoshēng</t>
  </si>
  <si>
    <t>好学</t>
  </si>
  <si>
    <t>hàoxué</t>
  </si>
  <si>
    <t>号召</t>
  </si>
  <si>
    <t>hàozhào</t>
  </si>
  <si>
    <t>合并</t>
  </si>
  <si>
    <t>hébìng</t>
  </si>
  <si>
    <t>合成</t>
  </si>
  <si>
    <t>héchéng</t>
  </si>
  <si>
    <t>嘿</t>
  </si>
  <si>
    <t>黑暗</t>
  </si>
  <si>
    <t>hēi'àn</t>
  </si>
  <si>
    <t>恨</t>
  </si>
  <si>
    <t>hèn</t>
  </si>
  <si>
    <t>狠</t>
  </si>
  <si>
    <t>横</t>
  </si>
  <si>
    <t>héng</t>
  </si>
  <si>
    <t>衡量</t>
  </si>
  <si>
    <t>héngliáng</t>
  </si>
  <si>
    <t>痕迹</t>
  </si>
  <si>
    <t>hénjì</t>
  </si>
  <si>
    <t>和平</t>
  </si>
  <si>
    <t>hépíng</t>
  </si>
  <si>
    <t>和谐</t>
  </si>
  <si>
    <t>héxié</t>
  </si>
  <si>
    <t>核心</t>
  </si>
  <si>
    <t>héxīn</t>
  </si>
  <si>
    <t>宏大</t>
  </si>
  <si>
    <t>hóngdà</t>
  </si>
  <si>
    <t>洪水</t>
  </si>
  <si>
    <t>hóngshuǐ</t>
  </si>
  <si>
    <t>后代</t>
  </si>
  <si>
    <t>hòudài</t>
  </si>
  <si>
    <t>后期</t>
  </si>
  <si>
    <t>hòuqī</t>
  </si>
  <si>
    <t>后人</t>
  </si>
  <si>
    <t>hòurén</t>
  </si>
  <si>
    <t>后退</t>
  </si>
  <si>
    <t>hòutuì</t>
  </si>
  <si>
    <t>后者</t>
  </si>
  <si>
    <t>hòuzhě</t>
  </si>
  <si>
    <t>壶</t>
  </si>
  <si>
    <t>户</t>
  </si>
  <si>
    <t>hù</t>
  </si>
  <si>
    <t>滑冰</t>
  </si>
  <si>
    <t>huábīng</t>
  </si>
  <si>
    <t>花朵</t>
  </si>
  <si>
    <t>huāduǒ</t>
  </si>
  <si>
    <t>划分</t>
  </si>
  <si>
    <t>huàfēn</t>
  </si>
  <si>
    <t>怀</t>
  </si>
  <si>
    <t>huái</t>
  </si>
  <si>
    <t>怀念</t>
  </si>
  <si>
    <t>huáiniàn</t>
  </si>
  <si>
    <t>怀孕</t>
  </si>
  <si>
    <t>huáiyùn</t>
  </si>
  <si>
    <t>环</t>
  </si>
  <si>
    <t>名、量、动</t>
  </si>
  <si>
    <t>患</t>
  </si>
  <si>
    <t>黄</t>
  </si>
  <si>
    <t>huáng</t>
  </si>
  <si>
    <t>皇帝</t>
  </si>
  <si>
    <t>huángdì</t>
  </si>
  <si>
    <t>欢乐</t>
  </si>
  <si>
    <t>huānlè</t>
  </si>
  <si>
    <t>幻想</t>
  </si>
  <si>
    <t>huànxiǎng</t>
  </si>
  <si>
    <t>还原</t>
  </si>
  <si>
    <t>huányuán</t>
  </si>
  <si>
    <t>患者</t>
  </si>
  <si>
    <t>huànzhě</t>
  </si>
  <si>
    <t>花生</t>
  </si>
  <si>
    <t>huāshēng</t>
  </si>
  <si>
    <t>化石</t>
  </si>
  <si>
    <t>huàshí</t>
  </si>
  <si>
    <t>话筒</t>
  </si>
  <si>
    <t>huàtǒng</t>
  </si>
  <si>
    <t>滑行</t>
  </si>
  <si>
    <t>huáxíng</t>
  </si>
  <si>
    <t>滑雪</t>
  </si>
  <si>
    <t>huáxuě</t>
  </si>
  <si>
    <t>化妆</t>
  </si>
  <si>
    <t>huàzhuāng</t>
  </si>
  <si>
    <t>汇</t>
  </si>
  <si>
    <t>回报</t>
  </si>
  <si>
    <t>huíbào</t>
  </si>
  <si>
    <t>汇报</t>
  </si>
  <si>
    <t>huìbào</t>
  </si>
  <si>
    <t>灰尘</t>
  </si>
  <si>
    <t>huīchén</t>
  </si>
  <si>
    <t>回顾</t>
  </si>
  <si>
    <t>huígù</t>
  </si>
  <si>
    <t>绘画</t>
  </si>
  <si>
    <t>huìhuà</t>
  </si>
  <si>
    <t>会见</t>
  </si>
  <si>
    <t>huìjiàn</t>
  </si>
  <si>
    <t>汇款</t>
  </si>
  <si>
    <t>huìkuǎn</t>
  </si>
  <si>
    <t>回头</t>
  </si>
  <si>
    <t>huítóu</t>
  </si>
  <si>
    <t>灰心</t>
  </si>
  <si>
    <t>huīxīn</t>
  </si>
  <si>
    <t>忽略</t>
  </si>
  <si>
    <t>hūlüè</t>
  </si>
  <si>
    <t>混</t>
  </si>
  <si>
    <t>hùn</t>
  </si>
  <si>
    <t>混合</t>
  </si>
  <si>
    <t>hùnhé</t>
  </si>
  <si>
    <t>混乱</t>
  </si>
  <si>
    <t>hùnluàn</t>
  </si>
  <si>
    <t>婚姻</t>
  </si>
  <si>
    <t>hūnyīn</t>
  </si>
  <si>
    <t>货币</t>
  </si>
  <si>
    <t>huòbì</t>
  </si>
  <si>
    <t>火柴</t>
  </si>
  <si>
    <t>huǒchái</t>
  </si>
  <si>
    <t>货车</t>
  </si>
  <si>
    <t>huòchē</t>
  </si>
  <si>
    <t>活力</t>
  </si>
  <si>
    <t>huólì</t>
  </si>
  <si>
    <t>活跃</t>
  </si>
  <si>
    <t>huóyuè</t>
  </si>
  <si>
    <t>火灾</t>
  </si>
  <si>
    <t>huǒzāi</t>
  </si>
  <si>
    <t>互助</t>
  </si>
  <si>
    <t>hùzhù</t>
  </si>
  <si>
    <t>胡子</t>
  </si>
  <si>
    <t>húzi</t>
  </si>
  <si>
    <t>嫁</t>
  </si>
  <si>
    <t>夹</t>
  </si>
  <si>
    <t>加倍</t>
  </si>
  <si>
    <t>jiābèi</t>
  </si>
  <si>
    <t>家常</t>
  </si>
  <si>
    <t>jiācháng</t>
  </si>
  <si>
    <t>家家户户</t>
  </si>
  <si>
    <t>jiājiāhùhù</t>
  </si>
  <si>
    <t>加剧</t>
  </si>
  <si>
    <t>家居</t>
  </si>
  <si>
    <t>jiājū</t>
  </si>
  <si>
    <t>剑</t>
  </si>
  <si>
    <t>箭</t>
  </si>
  <si>
    <t>尖</t>
  </si>
  <si>
    <t>肩膀</t>
  </si>
  <si>
    <t>jiānbǎng</t>
  </si>
  <si>
    <t>检测</t>
  </si>
  <si>
    <t>jiǎncè</t>
  </si>
  <si>
    <t>监测</t>
  </si>
  <si>
    <t>jiāncè</t>
  </si>
  <si>
    <t>鉴定</t>
  </si>
  <si>
    <t>jiàndìng</t>
  </si>
  <si>
    <t>坚定</t>
  </si>
  <si>
    <t>jiāndìng</t>
  </si>
  <si>
    <t>监督</t>
  </si>
  <si>
    <t>jiāndū</t>
  </si>
  <si>
    <t>酱</t>
  </si>
  <si>
    <t>间隔</t>
  </si>
  <si>
    <t>jiàngé</t>
  </si>
  <si>
    <t>讲解</t>
  </si>
  <si>
    <t>jiǎngjiě</t>
  </si>
  <si>
    <t>将军</t>
  </si>
  <si>
    <t>jiāngjūn</t>
  </si>
  <si>
    <t>奖牌</t>
  </si>
  <si>
    <t>jiǎngpái</t>
  </si>
  <si>
    <t>奖品</t>
  </si>
  <si>
    <t>jiǎngpǐn</t>
  </si>
  <si>
    <t>坚固</t>
  </si>
  <si>
    <t>jiāngù</t>
  </si>
  <si>
    <t>酱油</t>
  </si>
  <si>
    <t>jiàngyóu</t>
  </si>
  <si>
    <t>简化</t>
  </si>
  <si>
    <t>jiǎnhuà</t>
  </si>
  <si>
    <t>间接</t>
  </si>
  <si>
    <t>jiànjiē</t>
  </si>
  <si>
    <t>简介</t>
  </si>
  <si>
    <t>jiǎnjiè</t>
  </si>
  <si>
    <t>坚决</t>
  </si>
  <si>
    <t>jiānjué</t>
  </si>
  <si>
    <t>艰难</t>
  </si>
  <si>
    <t>jiānnán</t>
  </si>
  <si>
    <t>健全</t>
  </si>
  <si>
    <t>jiànquán</t>
  </si>
  <si>
    <t>减弱</t>
  </si>
  <si>
    <t>jiǎnruò</t>
  </si>
  <si>
    <t>艰辛</t>
  </si>
  <si>
    <t>jiānxīn</t>
  </si>
  <si>
    <t>减压</t>
  </si>
  <si>
    <t>jiǎnyā</t>
  </si>
  <si>
    <t>检验</t>
  </si>
  <si>
    <t>jiǎnyàn</t>
  </si>
  <si>
    <t>坚硬</t>
  </si>
  <si>
    <t>jiānyìng</t>
  </si>
  <si>
    <t>兼职</t>
  </si>
  <si>
    <t>jiānzhí</t>
  </si>
  <si>
    <t>建筑物</t>
  </si>
  <si>
    <t>jiànzhùwù</t>
  </si>
  <si>
    <t>胶带</t>
  </si>
  <si>
    <t>jiāodài</t>
  </si>
  <si>
    <t>焦点</t>
  </si>
  <si>
    <t>jiāodiǎn</t>
  </si>
  <si>
    <t>交际</t>
  </si>
  <si>
    <t>jiāojì</t>
  </si>
  <si>
    <t>焦虑</t>
  </si>
  <si>
    <t>jiāolǜ</t>
  </si>
  <si>
    <t>角落</t>
  </si>
  <si>
    <t>jiǎoluò</t>
  </si>
  <si>
    <t>胶水</t>
  </si>
  <si>
    <t>jiāoshuǐ</t>
  </si>
  <si>
    <t>交谈</t>
  </si>
  <si>
    <t>jiāotán</t>
  </si>
  <si>
    <t>郊外</t>
  </si>
  <si>
    <t>jiāowài</t>
  </si>
  <si>
    <t>较为</t>
  </si>
  <si>
    <t>jiàowéi</t>
  </si>
  <si>
    <t>教训</t>
  </si>
  <si>
    <t>jiàoxùn</t>
  </si>
  <si>
    <t>脚印</t>
  </si>
  <si>
    <t>jiǎoyìn</t>
  </si>
  <si>
    <t>假设</t>
  </si>
  <si>
    <t>jiǎshè</t>
  </si>
  <si>
    <t>家属</t>
  </si>
  <si>
    <t>jiāshǔ</t>
  </si>
  <si>
    <t>加以</t>
  </si>
  <si>
    <t>jiāyǐ</t>
  </si>
  <si>
    <t>家园</t>
  </si>
  <si>
    <t>jiāyuán</t>
  </si>
  <si>
    <t>加重</t>
  </si>
  <si>
    <t>jiāzhòng</t>
  </si>
  <si>
    <t>击败</t>
  </si>
  <si>
    <t>jībài</t>
  </si>
  <si>
    <t>即便</t>
  </si>
  <si>
    <t>jíbiàn</t>
  </si>
  <si>
    <t>继承</t>
  </si>
  <si>
    <t>jìchéng</t>
  </si>
  <si>
    <t>基地</t>
  </si>
  <si>
    <t>jīdì</t>
  </si>
  <si>
    <t>机动车</t>
  </si>
  <si>
    <t>jīdòngchē</t>
  </si>
  <si>
    <t>极端</t>
  </si>
  <si>
    <t>jíduān</t>
  </si>
  <si>
    <t>名、副、形</t>
  </si>
  <si>
    <t>解</t>
  </si>
  <si>
    <t>jiě</t>
  </si>
  <si>
    <t>饥饿</t>
  </si>
  <si>
    <t>jī'è</t>
  </si>
  <si>
    <t>杰出</t>
  </si>
  <si>
    <t>jiéchū</t>
  </si>
  <si>
    <t>解答</t>
  </si>
  <si>
    <t>jiědá</t>
  </si>
  <si>
    <t>解读</t>
  </si>
  <si>
    <t>jiědú</t>
  </si>
  <si>
    <t>解放</t>
  </si>
  <si>
    <t>jiěfàng</t>
  </si>
  <si>
    <t>jiēguǒ</t>
  </si>
  <si>
    <t>借鉴</t>
  </si>
  <si>
    <t>jièjiàn</t>
  </si>
  <si>
    <t>接连</t>
  </si>
  <si>
    <t>jiēlián</t>
  </si>
  <si>
    <t>节能</t>
  </si>
  <si>
    <t>jiénéng</t>
  </si>
  <si>
    <t>结实</t>
  </si>
  <si>
    <t>jiēshi</t>
  </si>
  <si>
    <t>解说</t>
  </si>
  <si>
    <t>jiěshuō</t>
  </si>
  <si>
    <t>街头</t>
  </si>
  <si>
    <t>jiētóu</t>
  </si>
  <si>
    <t>结尾</t>
  </si>
  <si>
    <t>jiéwěi</t>
  </si>
  <si>
    <t>截至</t>
  </si>
  <si>
    <t>jiézhì</t>
  </si>
  <si>
    <t>截止</t>
  </si>
  <si>
    <t>jiézhǐ</t>
  </si>
  <si>
    <t>戒指</t>
  </si>
  <si>
    <t>jièzhi</t>
  </si>
  <si>
    <t>借助</t>
  </si>
  <si>
    <t>jièzhù</t>
  </si>
  <si>
    <t>节奏</t>
  </si>
  <si>
    <t>jiézòu</t>
  </si>
  <si>
    <t>激发</t>
  </si>
  <si>
    <t>jīfā</t>
  </si>
  <si>
    <t>基金</t>
  </si>
  <si>
    <t>jījīn</t>
  </si>
  <si>
    <t>急救</t>
  </si>
  <si>
    <t>jíjiù</t>
  </si>
  <si>
    <t>季军</t>
  </si>
  <si>
    <t>jìjūn</t>
  </si>
  <si>
    <t>激励</t>
  </si>
  <si>
    <t>jīlì</t>
  </si>
  <si>
    <t>纪律</t>
  </si>
  <si>
    <t>jìlǜ</t>
  </si>
  <si>
    <t>寂寞</t>
  </si>
  <si>
    <t>jìmò</t>
  </si>
  <si>
    <t>尽</t>
  </si>
  <si>
    <t>进而</t>
  </si>
  <si>
    <t>jìn’ér</t>
  </si>
  <si>
    <t>进度</t>
  </si>
  <si>
    <t>jìndù</t>
  </si>
  <si>
    <t>金额</t>
  </si>
  <si>
    <t>jīn'é</t>
  </si>
  <si>
    <t>净</t>
  </si>
  <si>
    <t>井</t>
  </si>
  <si>
    <t>jǐng</t>
  </si>
  <si>
    <t>警告</t>
  </si>
  <si>
    <t>jǐnggào</t>
  </si>
  <si>
    <t>景观</t>
  </si>
  <si>
    <t>jǐngguān</t>
  </si>
  <si>
    <t>精美</t>
  </si>
  <si>
    <t>jīngměi</t>
  </si>
  <si>
    <t>精确</t>
  </si>
  <si>
    <t>jīngquè</t>
  </si>
  <si>
    <t>惊人</t>
  </si>
  <si>
    <t>jīngrén</t>
  </si>
  <si>
    <t>竞</t>
  </si>
  <si>
    <t>jìngsài</t>
  </si>
  <si>
    <t>经商</t>
  </si>
  <si>
    <t>jīngshāng</t>
  </si>
  <si>
    <t>精通</t>
  </si>
  <si>
    <t>jīngtōng</t>
  </si>
  <si>
    <t>镜头</t>
  </si>
  <si>
    <t>jìngtóu</t>
  </si>
  <si>
    <t>景象</t>
  </si>
  <si>
    <t>jǐngxiàng</t>
  </si>
  <si>
    <t>精心</t>
  </si>
  <si>
    <t>jīngxīn</t>
  </si>
  <si>
    <t>惊讶</t>
  </si>
  <si>
    <t>jīngyà</t>
  </si>
  <si>
    <t>精致</t>
  </si>
  <si>
    <t>jīngzhì</t>
  </si>
  <si>
    <t>颈椎</t>
  </si>
  <si>
    <t>jǐngzhuī</t>
  </si>
  <si>
    <t>精准</t>
  </si>
  <si>
    <t>jīngzhǔn</t>
  </si>
  <si>
    <t>进化</t>
  </si>
  <si>
    <t>jìnhuà</t>
  </si>
  <si>
    <t>近来</t>
  </si>
  <si>
    <t>金牌</t>
  </si>
  <si>
    <t>jīnpái</t>
  </si>
  <si>
    <t>金钱</t>
  </si>
  <si>
    <t>jīnqián</t>
  </si>
  <si>
    <t>金融</t>
  </si>
  <si>
    <t>jīnróng</t>
  </si>
  <si>
    <t>近视</t>
  </si>
  <si>
    <t>jìnshì</t>
  </si>
  <si>
    <t>金属</t>
  </si>
  <si>
    <t>jīnshǔ</t>
  </si>
  <si>
    <t>进展</t>
  </si>
  <si>
    <t>jìnzhǎn</t>
  </si>
  <si>
    <t>金子</t>
  </si>
  <si>
    <t>jīnzi</t>
  </si>
  <si>
    <t>技巧</t>
  </si>
  <si>
    <t>jìqiǎo</t>
  </si>
  <si>
    <t>急切</t>
  </si>
  <si>
    <t>jíqiè</t>
  </si>
  <si>
    <t>激情</t>
  </si>
  <si>
    <t>jīqíng</t>
  </si>
  <si>
    <t>集团</t>
  </si>
  <si>
    <t>jítuán</t>
  </si>
  <si>
    <t>就读</t>
  </si>
  <si>
    <t>jiùdú</t>
  </si>
  <si>
    <t>纠纷</t>
  </si>
  <si>
    <t>jiūfēn</t>
  </si>
  <si>
    <t>酒精</t>
  </si>
  <si>
    <t>jiǔjīng</t>
  </si>
  <si>
    <t>舅舅</t>
  </si>
  <si>
    <t>jiùjiu</t>
  </si>
  <si>
    <t>救命</t>
  </si>
  <si>
    <t>jiùmìng</t>
  </si>
  <si>
    <t>酒水</t>
  </si>
  <si>
    <t>jiǔshuǐ</t>
  </si>
  <si>
    <t>就算</t>
  </si>
  <si>
    <t>jiùsuàn</t>
  </si>
  <si>
    <t>救援</t>
  </si>
  <si>
    <t>jiùyuán</t>
  </si>
  <si>
    <t>救灾</t>
  </si>
  <si>
    <t>jiùzāi</t>
  </si>
  <si>
    <t>纠正</t>
  </si>
  <si>
    <t>jiūzhèng</t>
  </si>
  <si>
    <t>救助</t>
  </si>
  <si>
    <t>jiùzhù</t>
  </si>
  <si>
    <t>极为</t>
  </si>
  <si>
    <t>jíwéi</t>
  </si>
  <si>
    <t>吉祥</t>
  </si>
  <si>
    <t>jíxiáng</t>
  </si>
  <si>
    <t>机械</t>
  </si>
  <si>
    <t>jīxiè</t>
  </si>
  <si>
    <t>技艺</t>
  </si>
  <si>
    <t>基因</t>
  </si>
  <si>
    <t>jīyīn</t>
  </si>
  <si>
    <t>给予</t>
  </si>
  <si>
    <t>jǐyǔ</t>
  </si>
  <si>
    <t>机遇</t>
  </si>
  <si>
    <t>jīyù</t>
  </si>
  <si>
    <t>机制</t>
  </si>
  <si>
    <t>jīzhì</t>
  </si>
  <si>
    <t>局1</t>
  </si>
  <si>
    <t>jú</t>
  </si>
  <si>
    <t>局2</t>
  </si>
  <si>
    <t>卷</t>
  </si>
  <si>
    <t>juàn</t>
  </si>
  <si>
    <t>juǎn</t>
  </si>
  <si>
    <t>捐款</t>
  </si>
  <si>
    <t>juānkuǎn</t>
  </si>
  <si>
    <t>捐赠</t>
  </si>
  <si>
    <t>juānzèng</t>
  </si>
  <si>
    <t>剧本</t>
  </si>
  <si>
    <t>jùběn</t>
  </si>
  <si>
    <t>举动</t>
  </si>
  <si>
    <t>jǔdòng</t>
  </si>
  <si>
    <t>决策</t>
  </si>
  <si>
    <t>juécè</t>
  </si>
  <si>
    <t>绝望</t>
  </si>
  <si>
    <t>juéwàng</t>
  </si>
  <si>
    <t>菊花</t>
  </si>
  <si>
    <t>júhuā</t>
  </si>
  <si>
    <t>聚集</t>
  </si>
  <si>
    <t>jùjí</t>
  </si>
  <si>
    <t>俱乐部</t>
  </si>
  <si>
    <t>jùlèbù</t>
  </si>
  <si>
    <t>剧烈</t>
  </si>
  <si>
    <t>jùliè</t>
  </si>
  <si>
    <t>局面</t>
  </si>
  <si>
    <t>júmiàn</t>
  </si>
  <si>
    <t>军队</t>
  </si>
  <si>
    <t>jūnduì</t>
  </si>
  <si>
    <t>军人</t>
  </si>
  <si>
    <t>jūnrén</t>
  </si>
  <si>
    <t>均匀</t>
  </si>
  <si>
    <t>jūnyún</t>
  </si>
  <si>
    <t>局限</t>
  </si>
  <si>
    <t>júxiàn</t>
  </si>
  <si>
    <t>开创</t>
  </si>
  <si>
    <t>kāichuàng</t>
  </si>
  <si>
    <t>开关</t>
  </si>
  <si>
    <t>kāiguān</t>
  </si>
  <si>
    <t>开启</t>
  </si>
  <si>
    <t>kāiqǐ</t>
  </si>
  <si>
    <t>开设</t>
  </si>
  <si>
    <t>kāishè</t>
  </si>
  <si>
    <t>开头</t>
  </si>
  <si>
    <t>kāitóu</t>
  </si>
  <si>
    <t>砍</t>
  </si>
  <si>
    <t>kǎn</t>
  </si>
  <si>
    <t>看不起</t>
  </si>
  <si>
    <t>kànbuqǐ</t>
  </si>
  <si>
    <t>看待</t>
  </si>
  <si>
    <t>kàndài</t>
  </si>
  <si>
    <t>看得起</t>
  </si>
  <si>
    <t>kàndeqǐ</t>
  </si>
  <si>
    <t>康复</t>
  </si>
  <si>
    <t>kāngfù</t>
  </si>
  <si>
    <t>看好</t>
  </si>
  <si>
    <t>kànhǎo</t>
  </si>
  <si>
    <t>看似</t>
  </si>
  <si>
    <t>kànsì</t>
  </si>
  <si>
    <t>看中</t>
  </si>
  <si>
    <t>kànzhòng</t>
  </si>
  <si>
    <t>看重</t>
  </si>
  <si>
    <t>考察</t>
  </si>
  <si>
    <t>kǎochá</t>
  </si>
  <si>
    <t>考古</t>
  </si>
  <si>
    <t>kǎogǔ</t>
  </si>
  <si>
    <t>考核</t>
  </si>
  <si>
    <t>kǎohé</t>
  </si>
  <si>
    <t>考验</t>
  </si>
  <si>
    <t>kǎoyàn</t>
  </si>
  <si>
    <t>卡片</t>
  </si>
  <si>
    <t>kǎpiàn</t>
  </si>
  <si>
    <t>科</t>
  </si>
  <si>
    <t>客车</t>
  </si>
  <si>
    <t>kèchē</t>
  </si>
  <si>
    <t>科幻</t>
  </si>
  <si>
    <t>kēhuàn</t>
  </si>
  <si>
    <t>可口</t>
  </si>
  <si>
    <t>kěkǒu</t>
  </si>
  <si>
    <t>可怜</t>
  </si>
  <si>
    <t>kělián</t>
  </si>
  <si>
    <t>科目</t>
  </si>
  <si>
    <t>kēmù</t>
  </si>
  <si>
    <t>肯</t>
  </si>
  <si>
    <t>kěn</t>
  </si>
  <si>
    <t>科普</t>
  </si>
  <si>
    <t>kēpǔ</t>
  </si>
  <si>
    <t>课题</t>
  </si>
  <si>
    <t>kètí</t>
  </si>
  <si>
    <t>渴望</t>
  </si>
  <si>
    <t>kěwàng</t>
  </si>
  <si>
    <t>可行</t>
  </si>
  <si>
    <t>kěxíng</t>
  </si>
  <si>
    <t>空地</t>
  </si>
  <si>
    <t>kòngdì</t>
  </si>
  <si>
    <t>恐惧</t>
  </si>
  <si>
    <t>kǒngjù</t>
  </si>
  <si>
    <t>空闲</t>
  </si>
  <si>
    <t>kòngxián</t>
  </si>
  <si>
    <t>扣</t>
  </si>
  <si>
    <t>kòu</t>
  </si>
  <si>
    <t>口感</t>
  </si>
  <si>
    <t>kǒugǎn</t>
  </si>
  <si>
    <t>口号</t>
  </si>
  <si>
    <t>kǒuhào</t>
  </si>
  <si>
    <t>口腔</t>
  </si>
  <si>
    <t>kǒuqiāng</t>
  </si>
  <si>
    <t>口头</t>
  </si>
  <si>
    <t>kǒutóu</t>
  </si>
  <si>
    <t>酷</t>
  </si>
  <si>
    <t>夸</t>
  </si>
  <si>
    <t>kuā</t>
  </si>
  <si>
    <t>会计</t>
  </si>
  <si>
    <t>kuàijì</t>
  </si>
  <si>
    <t>快捷</t>
  </si>
  <si>
    <t>kuàijié</t>
  </si>
  <si>
    <t>夸奖</t>
  </si>
  <si>
    <t>kuājiǎng</t>
  </si>
  <si>
    <t>款</t>
  </si>
  <si>
    <t>kuǎn</t>
  </si>
  <si>
    <t>款式</t>
  </si>
  <si>
    <t>kuǎnshì</t>
  </si>
  <si>
    <t>夸张</t>
  </si>
  <si>
    <t>kuāzhāng</t>
  </si>
  <si>
    <t>亏损</t>
  </si>
  <si>
    <t>kuīsǔn</t>
  </si>
  <si>
    <t>困扰</t>
  </si>
  <si>
    <t>kùnrǎo</t>
  </si>
  <si>
    <t>扩展</t>
  </si>
  <si>
    <t>kuòzhǎn</t>
  </si>
  <si>
    <t>枯燥</t>
  </si>
  <si>
    <t>kūzào</t>
  </si>
  <si>
    <t>啦</t>
  </si>
  <si>
    <t>la</t>
  </si>
  <si>
    <t>赖</t>
  </si>
  <si>
    <t>lài</t>
  </si>
  <si>
    <t>来临</t>
  </si>
  <si>
    <t>láilín</t>
  </si>
  <si>
    <t>来往</t>
  </si>
  <si>
    <t>láiwǎng</t>
  </si>
  <si>
    <t>辣椒</t>
  </si>
  <si>
    <t>làjiāo</t>
  </si>
  <si>
    <t>拦</t>
  </si>
  <si>
    <t>栏</t>
  </si>
  <si>
    <t>烂</t>
  </si>
  <si>
    <t>làn</t>
  </si>
  <si>
    <t>狼</t>
  </si>
  <si>
    <t>láng</t>
  </si>
  <si>
    <t>朗读</t>
  </si>
  <si>
    <t>lǎngdú</t>
  </si>
  <si>
    <t>兰花</t>
  </si>
  <si>
    <t>lánhuā</t>
  </si>
  <si>
    <t>牢</t>
  </si>
  <si>
    <t>láo</t>
  </si>
  <si>
    <t>劳动力</t>
  </si>
  <si>
    <t>láodònglì</t>
  </si>
  <si>
    <t>老实</t>
  </si>
  <si>
    <t>lǎoshi</t>
  </si>
  <si>
    <t>老鼠</t>
  </si>
  <si>
    <t>lǎoshǔ</t>
  </si>
  <si>
    <t>老太太</t>
  </si>
  <si>
    <t>lǎotàitai</t>
  </si>
  <si>
    <t>雷</t>
  </si>
  <si>
    <t>léi</t>
  </si>
  <si>
    <t>类别</t>
  </si>
  <si>
    <t>lèibié</t>
  </si>
  <si>
    <t>乐于</t>
  </si>
  <si>
    <t>lèyú</t>
  </si>
  <si>
    <t>立</t>
  </si>
  <si>
    <t>粒</t>
  </si>
  <si>
    <t>理</t>
  </si>
  <si>
    <t>晾</t>
  </si>
  <si>
    <t>两岸</t>
  </si>
  <si>
    <t>liǎng'àn</t>
  </si>
  <si>
    <t>两极</t>
  </si>
  <si>
    <t>liǎngjí</t>
  </si>
  <si>
    <t>联合国</t>
  </si>
  <si>
    <t>Liánhéguó</t>
  </si>
  <si>
    <t>链接</t>
  </si>
  <si>
    <t>liànjiē</t>
  </si>
  <si>
    <t>联网</t>
  </si>
  <si>
    <t>liánwǎng</t>
  </si>
  <si>
    <t>联想</t>
  </si>
  <si>
    <t>liánxiǎng</t>
  </si>
  <si>
    <t>料1</t>
  </si>
  <si>
    <t>liào</t>
  </si>
  <si>
    <t>料2</t>
  </si>
  <si>
    <t>理财</t>
  </si>
  <si>
    <t>lǐcái</t>
  </si>
  <si>
    <t>立场</t>
  </si>
  <si>
    <t>lìchǎng</t>
  </si>
  <si>
    <t>力度</t>
  </si>
  <si>
    <t>lìdù</t>
  </si>
  <si>
    <t>历经</t>
  </si>
  <si>
    <t>lìjīng</t>
  </si>
  <si>
    <t>理科</t>
  </si>
  <si>
    <t>lǐkē</t>
  </si>
  <si>
    <t>淋</t>
  </si>
  <si>
    <t>lín</t>
  </si>
  <si>
    <t>凌晨</t>
  </si>
  <si>
    <t>língchén</t>
  </si>
  <si>
    <t>历年</t>
  </si>
  <si>
    <t>lìnián</t>
  </si>
  <si>
    <t>理念</t>
  </si>
  <si>
    <t>lǐniàn</t>
  </si>
  <si>
    <t>流程</t>
  </si>
  <si>
    <t>liúchéng</t>
  </si>
  <si>
    <t>流动</t>
  </si>
  <si>
    <t>liúdòng</t>
  </si>
  <si>
    <t>浏览器</t>
  </si>
  <si>
    <t>liúlǎnqì</t>
  </si>
  <si>
    <t>流量</t>
  </si>
  <si>
    <t>liúliàng</t>
  </si>
  <si>
    <t>流入</t>
  </si>
  <si>
    <t>liúrù</t>
  </si>
  <si>
    <t>流通</t>
  </si>
  <si>
    <t>liútōng</t>
  </si>
  <si>
    <t>例外</t>
  </si>
  <si>
    <t>lìwài</t>
  </si>
  <si>
    <t>利息</t>
  </si>
  <si>
    <t>lìxī</t>
  </si>
  <si>
    <t>理性</t>
  </si>
  <si>
    <t>lǐxìng</t>
  </si>
  <si>
    <t>露</t>
  </si>
  <si>
    <t>楼道</t>
  </si>
  <si>
    <t>lóudào</t>
  </si>
  <si>
    <t>漏洞</t>
  </si>
  <si>
    <t>lòudòng</t>
  </si>
  <si>
    <t>露1</t>
  </si>
  <si>
    <t>率</t>
  </si>
  <si>
    <t>lǜ</t>
  </si>
  <si>
    <t>路程</t>
  </si>
  <si>
    <t>lùchéng</t>
  </si>
  <si>
    <t>旅程</t>
  </si>
  <si>
    <t>lǚchéng</t>
  </si>
  <si>
    <t>绿化</t>
  </si>
  <si>
    <t>lǜhuà</t>
  </si>
  <si>
    <t>路况</t>
  </si>
  <si>
    <t>lùkuàng</t>
  </si>
  <si>
    <t>路面</t>
  </si>
  <si>
    <t>lùmiàn</t>
  </si>
  <si>
    <t>轮</t>
  </si>
  <si>
    <t>lún</t>
  </si>
  <si>
    <t>轮船</t>
  </si>
  <si>
    <t>lúnchuán</t>
  </si>
  <si>
    <t>轮流</t>
  </si>
  <si>
    <t>lúnliú</t>
  </si>
  <si>
    <t>论坛</t>
  </si>
  <si>
    <t>lùntán</t>
  </si>
  <si>
    <t>轮椅</t>
  </si>
  <si>
    <t>lúnyǐ</t>
  </si>
  <si>
    <t>轮子</t>
  </si>
  <si>
    <t>lúnzi</t>
  </si>
  <si>
    <t>落地</t>
  </si>
  <si>
    <t>luòdì</t>
  </si>
  <si>
    <t>落后</t>
  </si>
  <si>
    <t>luòhòu</t>
  </si>
  <si>
    <t>旅途</t>
  </si>
  <si>
    <t>lǚtú</t>
  </si>
  <si>
    <t>录像</t>
  </si>
  <si>
    <t>lùxiàng</t>
  </si>
  <si>
    <t>履行</t>
  </si>
  <si>
    <t>录用</t>
  </si>
  <si>
    <t>lùyòng</t>
  </si>
  <si>
    <t>录制</t>
  </si>
  <si>
    <t>lùzhì</t>
  </si>
  <si>
    <t>嘛</t>
  </si>
  <si>
    <t>马虎</t>
  </si>
  <si>
    <t>mǎhu</t>
  </si>
  <si>
    <t>埋</t>
  </si>
  <si>
    <t>mái</t>
  </si>
  <si>
    <t>迈</t>
  </si>
  <si>
    <t>麦克风</t>
  </si>
  <si>
    <t>màikèfēng</t>
  </si>
  <si>
    <t>漫长</t>
  </si>
  <si>
    <t>màncháng</t>
  </si>
  <si>
    <t>盲人</t>
  </si>
  <si>
    <t>mángrén</t>
  </si>
  <si>
    <t>漫画</t>
  </si>
  <si>
    <t>mànhuà</t>
  </si>
  <si>
    <t>冒</t>
  </si>
  <si>
    <t>mào</t>
  </si>
  <si>
    <t>冒险</t>
  </si>
  <si>
    <t>màoxiǎn</t>
  </si>
  <si>
    <t>贸易</t>
  </si>
  <si>
    <t>màoyì</t>
  </si>
  <si>
    <t>码头</t>
  </si>
  <si>
    <t>mǎtóu</t>
  </si>
  <si>
    <t>蚂蚁</t>
  </si>
  <si>
    <t>mǎyǐ</t>
  </si>
  <si>
    <t>煤</t>
  </si>
  <si>
    <t>méi</t>
  </si>
  <si>
    <t>美观</t>
  </si>
  <si>
    <t>měiguān</t>
  </si>
  <si>
    <t>梅花</t>
  </si>
  <si>
    <t>méihuā</t>
  </si>
  <si>
    <t>眉毛</t>
  </si>
  <si>
    <t>méimao</t>
  </si>
  <si>
    <t>密</t>
  </si>
  <si>
    <t>mì</t>
  </si>
  <si>
    <t>棉</t>
  </si>
  <si>
    <t>mián</t>
  </si>
  <si>
    <t>免</t>
  </si>
  <si>
    <t>miǎn</t>
  </si>
  <si>
    <t>面部</t>
  </si>
  <si>
    <t>miànbù</t>
  </si>
  <si>
    <t>面粉</t>
  </si>
  <si>
    <t>miànfěn</t>
  </si>
  <si>
    <t>勉强</t>
  </si>
  <si>
    <t>miǎnqiǎng</t>
  </si>
  <si>
    <t>免税</t>
  </si>
  <si>
    <t>miǎnshuì</t>
  </si>
  <si>
    <t>免疫</t>
  </si>
  <si>
    <t>miǎnyì</t>
  </si>
  <si>
    <t>面子</t>
  </si>
  <si>
    <t>miànzi</t>
  </si>
  <si>
    <t>妙</t>
  </si>
  <si>
    <t>miào</t>
  </si>
  <si>
    <t>描绘</t>
  </si>
  <si>
    <t>miáohuì</t>
  </si>
  <si>
    <t>描写</t>
  </si>
  <si>
    <t>miáoxiě</t>
  </si>
  <si>
    <t>弥补</t>
  </si>
  <si>
    <t>míbǔ</t>
  </si>
  <si>
    <t>密度</t>
  </si>
  <si>
    <t>mìdù</t>
  </si>
  <si>
    <t>灭</t>
  </si>
  <si>
    <t>miè</t>
  </si>
  <si>
    <t>蜜蜂</t>
  </si>
  <si>
    <t>mìfēng</t>
  </si>
  <si>
    <t>密集</t>
  </si>
  <si>
    <t>mìjí</t>
  </si>
  <si>
    <t>名额</t>
  </si>
  <si>
    <t>míng'é</t>
  </si>
  <si>
    <t>民歌</t>
  </si>
  <si>
    <t>míngē</t>
  </si>
  <si>
    <t>明亮</t>
  </si>
  <si>
    <t>míngliàng</t>
  </si>
  <si>
    <t>命令</t>
  </si>
  <si>
    <t>mìnglìng</t>
  </si>
  <si>
    <t>明明</t>
  </si>
  <si>
    <t>míngmíng</t>
  </si>
  <si>
    <t>命名</t>
  </si>
  <si>
    <t>mìngmíng</t>
  </si>
  <si>
    <t>名气</t>
  </si>
  <si>
    <t>míngqi</t>
  </si>
  <si>
    <t>名胜</t>
  </si>
  <si>
    <t>míngshèng</t>
  </si>
  <si>
    <t>民间</t>
  </si>
  <si>
    <t>mínjiān</t>
  </si>
  <si>
    <t>民俗</t>
  </si>
  <si>
    <t>mínsú</t>
  </si>
  <si>
    <t>民宿</t>
  </si>
  <si>
    <t>mínsù</t>
  </si>
  <si>
    <t>民众</t>
  </si>
  <si>
    <t>mínzhòng</t>
  </si>
  <si>
    <t>民主</t>
  </si>
  <si>
    <t>mínzhǔ</t>
  </si>
  <si>
    <t>迷人</t>
  </si>
  <si>
    <t>mírén</t>
  </si>
  <si>
    <t>模仿</t>
  </si>
  <si>
    <t>mófǎng</t>
  </si>
  <si>
    <t>默默</t>
  </si>
  <si>
    <t>mòmò</t>
  </si>
  <si>
    <t>模拟</t>
  </si>
  <si>
    <t>mónǐ</t>
  </si>
  <si>
    <t>模特儿</t>
  </si>
  <si>
    <t>mótèr</t>
  </si>
  <si>
    <t>摩托车</t>
  </si>
  <si>
    <t>mótuōchē</t>
  </si>
  <si>
    <t>模型</t>
  </si>
  <si>
    <t>móxíng</t>
  </si>
  <si>
    <t>母</t>
  </si>
  <si>
    <t>mǔ</t>
  </si>
  <si>
    <t>木材</t>
  </si>
  <si>
    <t>mùcái</t>
  </si>
  <si>
    <t>目录</t>
  </si>
  <si>
    <t>mùlù</t>
  </si>
  <si>
    <t>模样</t>
  </si>
  <si>
    <t>múyàng</t>
  </si>
  <si>
    <t>母语</t>
  </si>
  <si>
    <t>mǔyǔ</t>
  </si>
  <si>
    <t>奶粉</t>
  </si>
  <si>
    <t>nǎifěn</t>
  </si>
  <si>
    <t>难点</t>
  </si>
  <si>
    <t>nándiǎn</t>
  </si>
  <si>
    <t>南极洲</t>
  </si>
  <si>
    <t>Nánjízhōu</t>
  </si>
  <si>
    <t>南美洲</t>
  </si>
  <si>
    <t>Nánměizhōu</t>
  </si>
  <si>
    <t>难免</t>
  </si>
  <si>
    <t>nánmiǎn</t>
  </si>
  <si>
    <t>脑袋</t>
  </si>
  <si>
    <t>nǎodai</t>
  </si>
  <si>
    <t>脑子</t>
  </si>
  <si>
    <t>nǎozi</t>
  </si>
  <si>
    <t>内涵</t>
  </si>
  <si>
    <t>nèihán</t>
  </si>
  <si>
    <t>内科</t>
  </si>
  <si>
    <t>nèikē</t>
  </si>
  <si>
    <t>内外</t>
  </si>
  <si>
    <t>nèiwài</t>
  </si>
  <si>
    <t>内衣</t>
  </si>
  <si>
    <t>nèiyī</t>
  </si>
  <si>
    <t>能量</t>
  </si>
  <si>
    <t>néngliàng</t>
  </si>
  <si>
    <t>能源</t>
  </si>
  <si>
    <t>néngyuán</t>
  </si>
  <si>
    <t>泥</t>
  </si>
  <si>
    <t>ní</t>
  </si>
  <si>
    <t>年度</t>
  </si>
  <si>
    <t>niándù</t>
  </si>
  <si>
    <t>念书</t>
  </si>
  <si>
    <t>niànshū</t>
  </si>
  <si>
    <t>年终</t>
  </si>
  <si>
    <t>niánzhōng</t>
  </si>
  <si>
    <t>扭</t>
  </si>
  <si>
    <t>niǔ</t>
  </si>
  <si>
    <t>农产品</t>
  </si>
  <si>
    <t>nóngchǎnpǐn</t>
  </si>
  <si>
    <t>浓厚</t>
  </si>
  <si>
    <t>nónghòu</t>
  </si>
  <si>
    <t>农田</t>
  </si>
  <si>
    <t>nóngtián</t>
  </si>
  <si>
    <t>暖</t>
  </si>
  <si>
    <t>nuǎn</t>
  </si>
  <si>
    <t>暖气</t>
  </si>
  <si>
    <t>nuǎnqì</t>
  </si>
  <si>
    <t>偶像</t>
  </si>
  <si>
    <t>ǒuxiàng</t>
  </si>
  <si>
    <t>排除</t>
  </si>
  <si>
    <t>páichú</t>
  </si>
  <si>
    <t>排放</t>
  </si>
  <si>
    <t>páifàng</t>
  </si>
  <si>
    <t>排练</t>
  </si>
  <si>
    <t>páiliàn</t>
  </si>
  <si>
    <t>排名</t>
  </si>
  <si>
    <t>páimíng</t>
  </si>
  <si>
    <t>盘</t>
  </si>
  <si>
    <t>pán</t>
  </si>
  <si>
    <t>庞大</t>
  </si>
  <si>
    <t>pángdà</t>
  </si>
  <si>
    <t>盼望</t>
  </si>
  <si>
    <t>pànwàng</t>
  </si>
  <si>
    <t>泡</t>
  </si>
  <si>
    <t>pào</t>
  </si>
  <si>
    <t>抛</t>
  </si>
  <si>
    <t>pāo</t>
  </si>
  <si>
    <t>配备</t>
  </si>
  <si>
    <t>pèibèi</t>
  </si>
  <si>
    <t>赔偿</t>
  </si>
  <si>
    <t>péicháng</t>
  </si>
  <si>
    <t>佩服</t>
  </si>
  <si>
    <t>pèifú</t>
  </si>
  <si>
    <t>配套</t>
  </si>
  <si>
    <t>pèitào</t>
  </si>
  <si>
    <t>陪同</t>
  </si>
  <si>
    <t>péitóng</t>
  </si>
  <si>
    <t>培育</t>
  </si>
  <si>
    <t>péiyù</t>
  </si>
  <si>
    <t>喷</t>
  </si>
  <si>
    <t>pēn</t>
  </si>
  <si>
    <t>捧</t>
  </si>
  <si>
    <t>pěng</t>
  </si>
  <si>
    <t>碰撞</t>
  </si>
  <si>
    <t>pèngzhuàng</t>
  </si>
  <si>
    <t>皮</t>
  </si>
  <si>
    <t>pí</t>
  </si>
  <si>
    <t>披</t>
  </si>
  <si>
    <t>片刻</t>
  </si>
  <si>
    <t>piànkè</t>
  </si>
  <si>
    <t>片面</t>
  </si>
  <si>
    <t>piànmiàn</t>
  </si>
  <si>
    <t>骗子</t>
  </si>
  <si>
    <t>piànzi</t>
  </si>
  <si>
    <t>飘</t>
  </si>
  <si>
    <t>piāo</t>
  </si>
  <si>
    <t>漂</t>
  </si>
  <si>
    <t>疲劳</t>
  </si>
  <si>
    <t>píláo</t>
  </si>
  <si>
    <t>品尝</t>
  </si>
  <si>
    <t>pǐncháng</t>
  </si>
  <si>
    <t>频道</t>
  </si>
  <si>
    <t>píndào</t>
  </si>
  <si>
    <t>频繁</t>
  </si>
  <si>
    <t>pínfán</t>
  </si>
  <si>
    <t>平等</t>
  </si>
  <si>
    <t>píngděng</t>
  </si>
  <si>
    <t>平凡</t>
  </si>
  <si>
    <t>píngfán</t>
  </si>
  <si>
    <t>平方</t>
  </si>
  <si>
    <t>píngfāng</t>
  </si>
  <si>
    <t>平方米</t>
  </si>
  <si>
    <t>píngfāngmǐ</t>
  </si>
  <si>
    <t>评估</t>
  </si>
  <si>
    <t>pínggū</t>
  </si>
  <si>
    <t>评论</t>
  </si>
  <si>
    <t>pínglùn</t>
  </si>
  <si>
    <t>评选</t>
  </si>
  <si>
    <t>píngxuǎn</t>
  </si>
  <si>
    <t>贫困</t>
  </si>
  <si>
    <t>pínkùn</t>
  </si>
  <si>
    <t>频率</t>
  </si>
  <si>
    <t>pínlǜ</t>
  </si>
  <si>
    <t>坡</t>
  </si>
  <si>
    <t>pō</t>
  </si>
  <si>
    <t>泼</t>
  </si>
  <si>
    <t>破产</t>
  </si>
  <si>
    <t>pòchǎn</t>
  </si>
  <si>
    <t>迫切</t>
  </si>
  <si>
    <t>pòqiè</t>
  </si>
  <si>
    <t>扑</t>
  </si>
  <si>
    <t>pū</t>
  </si>
  <si>
    <t>铺</t>
  </si>
  <si>
    <t>扑灭</t>
  </si>
  <si>
    <t>pūmiè</t>
  </si>
  <si>
    <t>朴素</t>
  </si>
  <si>
    <t>pǔsù</t>
  </si>
  <si>
    <t>恰当</t>
  </si>
  <si>
    <t>qiàdàng</t>
  </si>
  <si>
    <t>恰好</t>
  </si>
  <si>
    <t>qiàhǎo</t>
  </si>
  <si>
    <t>牵</t>
  </si>
  <si>
    <t>枪</t>
  </si>
  <si>
    <t>qiāng</t>
  </si>
  <si>
    <t>墙壁</t>
  </si>
  <si>
    <t>qiángbì</t>
  </si>
  <si>
    <t>强化</t>
  </si>
  <si>
    <t>qiánghuà</t>
  </si>
  <si>
    <t>强迫</t>
  </si>
  <si>
    <t>qiǎngpò</t>
  </si>
  <si>
    <t>强壮</t>
  </si>
  <si>
    <t>qiángzhuàng</t>
  </si>
  <si>
    <t>千家万户</t>
  </si>
  <si>
    <t>qiānjiā-wànhù</t>
  </si>
  <si>
    <t>前景</t>
  </si>
  <si>
    <t>qiánjǐng</t>
  </si>
  <si>
    <t>潜力</t>
  </si>
  <si>
    <t>qiánlì</t>
  </si>
  <si>
    <t>前期</t>
  </si>
  <si>
    <t>qiánqī</t>
  </si>
  <si>
    <t>前提</t>
  </si>
  <si>
    <t>qiántí</t>
  </si>
  <si>
    <t>谦虚</t>
  </si>
  <si>
    <t>qiānxū</t>
  </si>
  <si>
    <t>前者</t>
  </si>
  <si>
    <t>qiánzhě</t>
  </si>
  <si>
    <t>瞧</t>
  </si>
  <si>
    <t>桥梁</t>
  </si>
  <si>
    <t>qiáoliáng</t>
  </si>
  <si>
    <t>巧妙</t>
  </si>
  <si>
    <t>qiǎomiào</t>
  </si>
  <si>
    <t>恰恰</t>
  </si>
  <si>
    <t>qiàqià</t>
  </si>
  <si>
    <t>起初</t>
  </si>
  <si>
    <t>qǐchū</t>
  </si>
  <si>
    <t>起点</t>
  </si>
  <si>
    <t>qǐdiǎn</t>
  </si>
  <si>
    <t>启动</t>
  </si>
  <si>
    <t>qǐdòng</t>
  </si>
  <si>
    <t>切实</t>
  </si>
  <si>
    <t>qièshí</t>
  </si>
  <si>
    <t>启发</t>
  </si>
  <si>
    <t>qǐfā</t>
  </si>
  <si>
    <t>气氛</t>
  </si>
  <si>
    <t>qìfēn</t>
  </si>
  <si>
    <t>其间</t>
  </si>
  <si>
    <t>qíjiān</t>
  </si>
  <si>
    <t>清</t>
  </si>
  <si>
    <t>清晨</t>
  </si>
  <si>
    <t>qīngchén</t>
  </si>
  <si>
    <t>青春</t>
  </si>
  <si>
    <t>qīngchūn</t>
  </si>
  <si>
    <t>青春期</t>
  </si>
  <si>
    <t>qīngchūnqī</t>
  </si>
  <si>
    <t>清淡</t>
  </si>
  <si>
    <t>qīngdàn</t>
  </si>
  <si>
    <t>情节</t>
  </si>
  <si>
    <t>qíngjié</t>
  </si>
  <si>
    <t>清洁</t>
  </si>
  <si>
    <t>qīngjié</t>
  </si>
  <si>
    <t>晴朗</t>
  </si>
  <si>
    <t>qínglǎng</t>
  </si>
  <si>
    <t>清理</t>
  </si>
  <si>
    <t>qīnglǐ</t>
  </si>
  <si>
    <t>清扫</t>
  </si>
  <si>
    <t>qīngsǎo</t>
  </si>
  <si>
    <t>倾听</t>
  </si>
  <si>
    <t>qīngtīng</t>
  </si>
  <si>
    <t>清洗</t>
  </si>
  <si>
    <t>qīngxǐ</t>
  </si>
  <si>
    <t>清晰</t>
  </si>
  <si>
    <t>qīngxī</t>
  </si>
  <si>
    <t>倾向</t>
  </si>
  <si>
    <t>qīngxiàng</t>
  </si>
  <si>
    <t>情形</t>
  </si>
  <si>
    <t>qíngxing</t>
  </si>
  <si>
    <t>清醒</t>
  </si>
  <si>
    <t>qīngxǐng</t>
  </si>
  <si>
    <t>勤劳</t>
  </si>
  <si>
    <t>qínláo</t>
  </si>
  <si>
    <t>亲密</t>
  </si>
  <si>
    <t>qīnmì</t>
  </si>
  <si>
    <t>亲属</t>
  </si>
  <si>
    <t>qīnshǔ</t>
  </si>
  <si>
    <t>欺骗</t>
  </si>
  <si>
    <t>qīpiàn</t>
  </si>
  <si>
    <t>齐全</t>
  </si>
  <si>
    <t>qíquán</t>
  </si>
  <si>
    <t>启示</t>
  </si>
  <si>
    <t>qǐshì</t>
  </si>
  <si>
    <t>启事</t>
  </si>
  <si>
    <t>气体</t>
  </si>
  <si>
    <t>qìtǐ</t>
  </si>
  <si>
    <t>求</t>
  </si>
  <si>
    <t>求婚</t>
  </si>
  <si>
    <t>qiúhūn</t>
  </si>
  <si>
    <t>求救</t>
  </si>
  <si>
    <t>qiújiù</t>
  </si>
  <si>
    <t>求职</t>
  </si>
  <si>
    <t>qiúzhí</t>
  </si>
  <si>
    <t>求助</t>
  </si>
  <si>
    <t>qiúzhù</t>
  </si>
  <si>
    <t>期望</t>
  </si>
  <si>
    <t>qīwàng</t>
  </si>
  <si>
    <t>气味</t>
  </si>
  <si>
    <t>qìwèi</t>
  </si>
  <si>
    <t>期限</t>
  </si>
  <si>
    <t>qīxiàn</t>
  </si>
  <si>
    <t>起源</t>
  </si>
  <si>
    <t>qǐyuán</t>
  </si>
  <si>
    <t>气质</t>
  </si>
  <si>
    <t>qìzhì</t>
  </si>
  <si>
    <t>棋子</t>
  </si>
  <si>
    <t>qízǐ</t>
  </si>
  <si>
    <t>曲</t>
  </si>
  <si>
    <t>娶</t>
  </si>
  <si>
    <t>券</t>
  </si>
  <si>
    <t>圈</t>
  </si>
  <si>
    <t>quān</t>
  </si>
  <si>
    <t>全程</t>
  </si>
  <si>
    <t>quánchéng</t>
  </si>
  <si>
    <t>权力</t>
  </si>
  <si>
    <t>取代</t>
  </si>
  <si>
    <t>qǔdài</t>
  </si>
  <si>
    <t>渠道</t>
  </si>
  <si>
    <t>qúdào</t>
  </si>
  <si>
    <t>确立</t>
  </si>
  <si>
    <t>quèlì</t>
  </si>
  <si>
    <t>缺陷</t>
  </si>
  <si>
    <t>quēxiàn</t>
  </si>
  <si>
    <t>区分</t>
  </si>
  <si>
    <t>qūfēn</t>
  </si>
  <si>
    <t>群众</t>
  </si>
  <si>
    <t>qúnzhòng</t>
  </si>
  <si>
    <t>趣味</t>
  </si>
  <si>
    <t>qùwèi</t>
  </si>
  <si>
    <t>染</t>
  </si>
  <si>
    <t>rǎn</t>
  </si>
  <si>
    <t>燃料</t>
  </si>
  <si>
    <t>ránliào</t>
  </si>
  <si>
    <t>热点</t>
  </si>
  <si>
    <t>rèdiǎn</t>
  </si>
  <si>
    <t>热度</t>
  </si>
  <si>
    <t>rèdù</t>
  </si>
  <si>
    <t>热门</t>
  </si>
  <si>
    <t>rèmén</t>
  </si>
  <si>
    <t>认错</t>
  </si>
  <si>
    <t>rèncuò</t>
  </si>
  <si>
    <t>认定</t>
  </si>
  <si>
    <t>rèndìng</t>
  </si>
  <si>
    <t>仍旧</t>
  </si>
  <si>
    <t>réngjiù</t>
  </si>
  <si>
    <t>人工智能</t>
  </si>
  <si>
    <t>réngōng zhìnéng</t>
  </si>
  <si>
    <t>人家</t>
  </si>
  <si>
    <t>rénjia</t>
  </si>
  <si>
    <t>人均</t>
  </si>
  <si>
    <t>rénjūn</t>
  </si>
  <si>
    <t>认可</t>
  </si>
  <si>
    <t>rènkě</t>
  </si>
  <si>
    <t>人山人海</t>
  </si>
  <si>
    <t>rénshān-rénhǎi</t>
  </si>
  <si>
    <t>人士</t>
  </si>
  <si>
    <t>rénshì</t>
  </si>
  <si>
    <t>人事</t>
  </si>
  <si>
    <t>忍受</t>
  </si>
  <si>
    <t>rěnshòu</t>
  </si>
  <si>
    <t>认同</t>
  </si>
  <si>
    <t>rèntóng</t>
  </si>
  <si>
    <t>人为</t>
  </si>
  <si>
    <t>rénwéi</t>
  </si>
  <si>
    <t>人行道</t>
  </si>
  <si>
    <t>rénxíngdào</t>
  </si>
  <si>
    <t>认知</t>
  </si>
  <si>
    <t>rènzhī</t>
  </si>
  <si>
    <t>热水器</t>
  </si>
  <si>
    <t>rèshuǐqì</t>
  </si>
  <si>
    <t>热线</t>
  </si>
  <si>
    <t>rèxiàn</t>
  </si>
  <si>
    <t>热议</t>
  </si>
  <si>
    <t>rèyì</t>
  </si>
  <si>
    <t>日后</t>
  </si>
  <si>
    <t>rìhòu</t>
  </si>
  <si>
    <t>日前</t>
  </si>
  <si>
    <t>rìqián</t>
  </si>
  <si>
    <t>日夜</t>
  </si>
  <si>
    <t>rìyè</t>
  </si>
  <si>
    <t>日益</t>
  </si>
  <si>
    <t>rìyì</t>
  </si>
  <si>
    <t>融合</t>
  </si>
  <si>
    <t>rónghé</t>
  </si>
  <si>
    <t>融化</t>
  </si>
  <si>
    <t>rónghuà</t>
  </si>
  <si>
    <t>容量</t>
  </si>
  <si>
    <t>róngliàng</t>
  </si>
  <si>
    <t>融入</t>
  </si>
  <si>
    <t>róngrù</t>
  </si>
  <si>
    <t>荣誉</t>
  </si>
  <si>
    <t>róngyù</t>
  </si>
  <si>
    <t>柔软</t>
  </si>
  <si>
    <t>róuruǎn</t>
  </si>
  <si>
    <t>入境</t>
  </si>
  <si>
    <t>rùjìng</t>
  </si>
  <si>
    <t>入门</t>
  </si>
  <si>
    <t>rùmén</t>
  </si>
  <si>
    <t>弱点</t>
  </si>
  <si>
    <t>ruòdiǎn</t>
  </si>
  <si>
    <t>入选</t>
  </si>
  <si>
    <t>rùxuǎn</t>
  </si>
  <si>
    <t>撒</t>
  </si>
  <si>
    <t>塞</t>
  </si>
  <si>
    <t>sāi</t>
  </si>
  <si>
    <t>sàishì</t>
  </si>
  <si>
    <t>散</t>
  </si>
  <si>
    <t>sàn</t>
  </si>
  <si>
    <t>散发</t>
  </si>
  <si>
    <t>sànfā</t>
  </si>
  <si>
    <t>丧失</t>
  </si>
  <si>
    <t>sàngshī</t>
  </si>
  <si>
    <t>嗓子</t>
  </si>
  <si>
    <t>sǎngzi</t>
  </si>
  <si>
    <t>散文</t>
  </si>
  <si>
    <t>sǎnwén</t>
  </si>
  <si>
    <t>扫描</t>
  </si>
  <si>
    <t>sǎomiáo</t>
  </si>
  <si>
    <t>杀</t>
  </si>
  <si>
    <t>shā</t>
  </si>
  <si>
    <t>刹车</t>
  </si>
  <si>
    <t>shāchē</t>
  </si>
  <si>
    <t>筛选</t>
  </si>
  <si>
    <t>shāixuǎn</t>
  </si>
  <si>
    <t>shàn</t>
  </si>
  <si>
    <t>闪</t>
  </si>
  <si>
    <t>shǎn</t>
  </si>
  <si>
    <t>闪电</t>
  </si>
  <si>
    <t>shǎndiàn</t>
  </si>
  <si>
    <t>山顶</t>
  </si>
  <si>
    <t>shāndǐng</t>
  </si>
  <si>
    <t>山峰</t>
  </si>
  <si>
    <t>shānfēng</t>
  </si>
  <si>
    <t>商标</t>
  </si>
  <si>
    <t>shāngbiāo</t>
  </si>
  <si>
    <t>上当</t>
  </si>
  <si>
    <t>shàngdàng</t>
  </si>
  <si>
    <t>上级</t>
  </si>
  <si>
    <t>shàngjí</t>
  </si>
  <si>
    <t>上进</t>
  </si>
  <si>
    <t>shàngjìn</t>
  </si>
  <si>
    <t>伤口</t>
  </si>
  <si>
    <t>shāngkǒu</t>
  </si>
  <si>
    <t>上市</t>
  </si>
  <si>
    <t>shàngshì</t>
  </si>
  <si>
    <t>上述</t>
  </si>
  <si>
    <t>shàngshù</t>
  </si>
  <si>
    <t>上台</t>
  </si>
  <si>
    <t>shàngtái</t>
  </si>
  <si>
    <t>伤亡</t>
  </si>
  <si>
    <t>shāngwáng</t>
  </si>
  <si>
    <t>上旬</t>
  </si>
  <si>
    <t>shàngxún</t>
  </si>
  <si>
    <t>伤员</t>
  </si>
  <si>
    <t>shāngyuán</t>
  </si>
  <si>
    <t>山坡</t>
  </si>
  <si>
    <t>shānpō</t>
  </si>
  <si>
    <t>少儿</t>
  </si>
  <si>
    <t>shào'ér</t>
  </si>
  <si>
    <t>鲨鱼</t>
  </si>
  <si>
    <t>shāyú</t>
  </si>
  <si>
    <t>社</t>
  </si>
  <si>
    <t>shè</t>
  </si>
  <si>
    <t>射</t>
  </si>
  <si>
    <t>涉及</t>
  </si>
  <si>
    <t>shèjí</t>
  </si>
  <si>
    <t>射击</t>
  </si>
  <si>
    <t>shèjī</t>
  </si>
  <si>
    <t>神</t>
  </si>
  <si>
    <t>shén</t>
  </si>
  <si>
    <t>升2</t>
  </si>
  <si>
    <t>生成</t>
  </si>
  <si>
    <t>shēngchéng</t>
  </si>
  <si>
    <t>声调</t>
  </si>
  <si>
    <t>shēngdiào</t>
  </si>
  <si>
    <t>生命力</t>
  </si>
  <si>
    <t>shēngmìnglì</t>
  </si>
  <si>
    <t>生态</t>
  </si>
  <si>
    <t>shēngtài</t>
  </si>
  <si>
    <t>升学</t>
  </si>
  <si>
    <t>shēngxué</t>
  </si>
  <si>
    <t>剩余</t>
  </si>
  <si>
    <t>shèngyú</t>
  </si>
  <si>
    <t>神经</t>
  </si>
  <si>
    <t>shénjīng</t>
  </si>
  <si>
    <t>审美</t>
  </si>
  <si>
    <t>shěnměi</t>
  </si>
  <si>
    <t>神奇</t>
  </si>
  <si>
    <t>shénqí</t>
  </si>
  <si>
    <t>身心</t>
  </si>
  <si>
    <t>shēnxīn</t>
  </si>
  <si>
    <t>深夜</t>
  </si>
  <si>
    <t>shēnyè</t>
  </si>
  <si>
    <t>舌头</t>
  </si>
  <si>
    <t>shétou</t>
  </si>
  <si>
    <t>摄像</t>
  </si>
  <si>
    <t>shèxiàng</t>
  </si>
  <si>
    <t>设想</t>
  </si>
  <si>
    <t>shèxiǎng</t>
  </si>
  <si>
    <t>摄像头</t>
  </si>
  <si>
    <t>shèxiàngtóu</t>
  </si>
  <si>
    <t>识</t>
  </si>
  <si>
    <t>拾</t>
  </si>
  <si>
    <t>识别</t>
  </si>
  <si>
    <t>shíbié</t>
  </si>
  <si>
    <t>士兵</t>
  </si>
  <si>
    <t>shìbīng</t>
  </si>
  <si>
    <t>诗词</t>
  </si>
  <si>
    <t>shīcí</t>
  </si>
  <si>
    <t>适度</t>
  </si>
  <si>
    <t>shìdù</t>
  </si>
  <si>
    <t>湿度</t>
  </si>
  <si>
    <t>shīdù</t>
  </si>
  <si>
    <t>示范</t>
  </si>
  <si>
    <t>shìfàn</t>
  </si>
  <si>
    <t>释放</t>
  </si>
  <si>
    <t>shìfàng</t>
  </si>
  <si>
    <t>师父</t>
  </si>
  <si>
    <t>诗歌</t>
  </si>
  <si>
    <t>shīgē</t>
  </si>
  <si>
    <t>时光</t>
  </si>
  <si>
    <t>shíguāng</t>
  </si>
  <si>
    <t>事后</t>
  </si>
  <si>
    <t>shìhòu</t>
  </si>
  <si>
    <t>实话</t>
  </si>
  <si>
    <t>shíhuà</t>
  </si>
  <si>
    <t>实惠</t>
  </si>
  <si>
    <t>shíhuì</t>
  </si>
  <si>
    <t>时机</t>
  </si>
  <si>
    <t>shíjī</t>
  </si>
  <si>
    <t>使劲</t>
  </si>
  <si>
    <t>shǐjìn</t>
  </si>
  <si>
    <t>视觉</t>
  </si>
  <si>
    <t>shìjué</t>
  </si>
  <si>
    <t>势力</t>
  </si>
  <si>
    <t>shìlì</t>
  </si>
  <si>
    <t>视力</t>
  </si>
  <si>
    <t>时尚</t>
  </si>
  <si>
    <t>shíshàng</t>
  </si>
  <si>
    <t>实时</t>
  </si>
  <si>
    <t>shíshí</t>
  </si>
  <si>
    <t>时速</t>
  </si>
  <si>
    <t>shísù</t>
  </si>
  <si>
    <t>试图</t>
  </si>
  <si>
    <t>shìtú</t>
  </si>
  <si>
    <t>事务</t>
  </si>
  <si>
    <t>事项</t>
  </si>
  <si>
    <t>shìxiàng</t>
  </si>
  <si>
    <t>适宜</t>
  </si>
  <si>
    <t>shìyí</t>
  </si>
  <si>
    <t>石油</t>
  </si>
  <si>
    <t>shíyóu</t>
  </si>
  <si>
    <t>食欲</t>
  </si>
  <si>
    <t>shíyù</t>
  </si>
  <si>
    <t>实质</t>
  </si>
  <si>
    <t>shízhì</t>
  </si>
  <si>
    <t>狮子</t>
  </si>
  <si>
    <t>shīzi</t>
  </si>
  <si>
    <t>十足</t>
  </si>
  <si>
    <t>shízú</t>
  </si>
  <si>
    <t>手臂</t>
  </si>
  <si>
    <t>shǒubì</t>
  </si>
  <si>
    <t>收藏</t>
  </si>
  <si>
    <t>shōucáng</t>
  </si>
  <si>
    <t>手法</t>
  </si>
  <si>
    <t>shǒufǎ</t>
  </si>
  <si>
    <t>收购</t>
  </si>
  <si>
    <t>shōugòu</t>
  </si>
  <si>
    <t>寿命</t>
  </si>
  <si>
    <t>shòumìng</t>
  </si>
  <si>
    <t>收取</t>
  </si>
  <si>
    <t>shōuqǔ</t>
  </si>
  <si>
    <t>手势</t>
  </si>
  <si>
    <t>shǒushì</t>
  </si>
  <si>
    <t>首要</t>
  </si>
  <si>
    <t>shǒuyào</t>
  </si>
  <si>
    <t>收益</t>
  </si>
  <si>
    <t>shōuyì</t>
  </si>
  <si>
    <t>受灾</t>
  </si>
  <si>
    <t>shòuzāi</t>
  </si>
  <si>
    <t>竖</t>
  </si>
  <si>
    <t>属</t>
  </si>
  <si>
    <t>衰老</t>
  </si>
  <si>
    <t>shuāilǎo</t>
  </si>
  <si>
    <t>率领</t>
  </si>
  <si>
    <t>shuàilǐng</t>
  </si>
  <si>
    <t>率先</t>
  </si>
  <si>
    <t>shuàixiān</t>
  </si>
  <si>
    <t>输出</t>
  </si>
  <si>
    <t>shūchū</t>
  </si>
  <si>
    <t>书画</t>
  </si>
  <si>
    <t>shūhuà</t>
  </si>
  <si>
    <t>水稻</t>
  </si>
  <si>
    <t>shuǐdào</t>
  </si>
  <si>
    <t>水库</t>
  </si>
  <si>
    <t>shuǐkù</t>
  </si>
  <si>
    <t>水流</t>
  </si>
  <si>
    <t>shuǐliú</t>
  </si>
  <si>
    <t>水面</t>
  </si>
  <si>
    <t>shuǐmiàn</t>
  </si>
  <si>
    <t>水泥</t>
  </si>
  <si>
    <t>shuǐní</t>
  </si>
  <si>
    <t>书籍</t>
  </si>
  <si>
    <t>shūjí</t>
  </si>
  <si>
    <t>树立</t>
  </si>
  <si>
    <t>shùlì</t>
  </si>
  <si>
    <t>书面</t>
  </si>
  <si>
    <t>shūmiàn</t>
  </si>
  <si>
    <t>数目</t>
  </si>
  <si>
    <t>瞬间</t>
  </si>
  <si>
    <t>shùnjiān</t>
  </si>
  <si>
    <t>薯片</t>
  </si>
  <si>
    <t>shǔpiàn</t>
  </si>
  <si>
    <t>输送</t>
  </si>
  <si>
    <t>shūsòng</t>
  </si>
  <si>
    <t>书写</t>
  </si>
  <si>
    <t>shūxiě</t>
  </si>
  <si>
    <t>数字化</t>
  </si>
  <si>
    <t>shùzìhuà</t>
  </si>
  <si>
    <t>思路</t>
  </si>
  <si>
    <t>sīlù</t>
  </si>
  <si>
    <t>思念</t>
  </si>
  <si>
    <t>sīniàn</t>
  </si>
  <si>
    <t>死亡</t>
  </si>
  <si>
    <t>sǐwáng</t>
  </si>
  <si>
    <t>松</t>
  </si>
  <si>
    <t>sōng</t>
  </si>
  <si>
    <t>艘</t>
  </si>
  <si>
    <t>搜集</t>
  </si>
  <si>
    <t>sōují</t>
  </si>
  <si>
    <t>算了</t>
  </si>
  <si>
    <t>suànle</t>
  </si>
  <si>
    <t>算是</t>
  </si>
  <si>
    <t>suànshì</t>
  </si>
  <si>
    <t>虽</t>
  </si>
  <si>
    <t>suī</t>
  </si>
  <si>
    <t>岁数</t>
  </si>
  <si>
    <t>suìshu</t>
  </si>
  <si>
    <t>岁月</t>
  </si>
  <si>
    <t>suìyuè</t>
  </si>
  <si>
    <t>损坏</t>
  </si>
  <si>
    <t>sǔnhuài</t>
  </si>
  <si>
    <t>损伤</t>
  </si>
  <si>
    <t>sǔnshāng</t>
  </si>
  <si>
    <t>所2</t>
  </si>
  <si>
    <t>塑造</t>
  </si>
  <si>
    <t>sùzào</t>
  </si>
  <si>
    <t>素质</t>
  </si>
  <si>
    <t>sùzhì</t>
  </si>
  <si>
    <t>塔</t>
  </si>
  <si>
    <t>tǎ</t>
  </si>
  <si>
    <t>台风</t>
  </si>
  <si>
    <t>táifēng</t>
  </si>
  <si>
    <t>太空</t>
  </si>
  <si>
    <t>tàikōng</t>
  </si>
  <si>
    <t>台球</t>
  </si>
  <si>
    <t>táiqiú</t>
  </si>
  <si>
    <t>太阳能</t>
  </si>
  <si>
    <t>tàiyángnéng</t>
  </si>
  <si>
    <t>烫</t>
  </si>
  <si>
    <t>糖果</t>
  </si>
  <si>
    <t>tángguǒ</t>
  </si>
  <si>
    <t>汤圆</t>
  </si>
  <si>
    <t>tāngyuán</t>
  </si>
  <si>
    <t>谈论</t>
  </si>
  <si>
    <t>tánlùn</t>
  </si>
  <si>
    <t>谈判</t>
  </si>
  <si>
    <t>tánpàn</t>
  </si>
  <si>
    <t>探索</t>
  </si>
  <si>
    <t>tànsuǒ</t>
  </si>
  <si>
    <t>探讨</t>
  </si>
  <si>
    <t>tàntǎo</t>
  </si>
  <si>
    <t>弹性</t>
  </si>
  <si>
    <t>tánxìng</t>
  </si>
  <si>
    <t>逃</t>
  </si>
  <si>
    <t>掏</t>
  </si>
  <si>
    <t>tāo</t>
  </si>
  <si>
    <t>套餐</t>
  </si>
  <si>
    <t>tàocān</t>
  </si>
  <si>
    <t>逃跑</t>
  </si>
  <si>
    <t>táopǎo</t>
  </si>
  <si>
    <t>淘气</t>
  </si>
  <si>
    <t>táoqì</t>
  </si>
  <si>
    <t>淘汰</t>
  </si>
  <si>
    <t>táotài</t>
  </si>
  <si>
    <t>踏实</t>
  </si>
  <si>
    <t>tāshi</t>
  </si>
  <si>
    <t>特</t>
  </si>
  <si>
    <t>tè</t>
  </si>
  <si>
    <t>特长</t>
  </si>
  <si>
    <t>tècháng</t>
  </si>
  <si>
    <t>特地</t>
  </si>
  <si>
    <t>tèdì</t>
  </si>
  <si>
    <t>特定</t>
  </si>
  <si>
    <t>tèdìng</t>
  </si>
  <si>
    <t>特性</t>
  </si>
  <si>
    <t>tèxìng</t>
  </si>
  <si>
    <t>特意</t>
  </si>
  <si>
    <t>tèyì</t>
  </si>
  <si>
    <t>田</t>
  </si>
  <si>
    <t>添</t>
  </si>
  <si>
    <t>天才</t>
  </si>
  <si>
    <t>tiāncái</t>
  </si>
  <si>
    <t>添加</t>
  </si>
  <si>
    <t>tiānjiā</t>
  </si>
  <si>
    <t>田径</t>
  </si>
  <si>
    <t>tiánjìng</t>
  </si>
  <si>
    <t>天然</t>
  </si>
  <si>
    <t>tiānrán</t>
  </si>
  <si>
    <t>天然气</t>
  </si>
  <si>
    <t>tiānránqì</t>
  </si>
  <si>
    <t>天文</t>
  </si>
  <si>
    <t>tiānwén</t>
  </si>
  <si>
    <t>天下</t>
  </si>
  <si>
    <t>tiānxià</t>
  </si>
  <si>
    <t>天真</t>
  </si>
  <si>
    <t>tiānzhēn</t>
  </si>
  <si>
    <t>调节</t>
  </si>
  <si>
    <t>tiáojié</t>
  </si>
  <si>
    <t>跳水</t>
  </si>
  <si>
    <t>tiàoshuǐ</t>
  </si>
  <si>
    <t>题材</t>
  </si>
  <si>
    <t>tícái</t>
  </si>
  <si>
    <t>体操</t>
  </si>
  <si>
    <t>tǐcāo</t>
  </si>
  <si>
    <t>贴近</t>
  </si>
  <si>
    <t>tiējìn</t>
  </si>
  <si>
    <t>体积</t>
  </si>
  <si>
    <t>tǐjī</t>
  </si>
  <si>
    <t>听话</t>
  </si>
  <si>
    <t>tīnghuà</t>
  </si>
  <si>
    <t>听觉</t>
  </si>
  <si>
    <t>tīngjué</t>
  </si>
  <si>
    <t>听取</t>
  </si>
  <si>
    <t>tīngqǔ</t>
  </si>
  <si>
    <t>提取</t>
  </si>
  <si>
    <t>tíqǔ</t>
  </si>
  <si>
    <t>提示</t>
  </si>
  <si>
    <t>tíshì</t>
  </si>
  <si>
    <t>体系</t>
  </si>
  <si>
    <t>tǐxì</t>
  </si>
  <si>
    <t>铜</t>
  </si>
  <si>
    <t>同伴</t>
  </si>
  <si>
    <t>tóngbàn</t>
  </si>
  <si>
    <t>通道</t>
  </si>
  <si>
    <t>tōngdào</t>
  </si>
  <si>
    <t>通风</t>
  </si>
  <si>
    <t>tōngfēng</t>
  </si>
  <si>
    <t>同行</t>
  </si>
  <si>
    <t>tóngháng</t>
  </si>
  <si>
    <t>童话</t>
  </si>
  <si>
    <t>tónghuà</t>
  </si>
  <si>
    <t>通话</t>
  </si>
  <si>
    <t>tōnghuà</t>
  </si>
  <si>
    <t>痛快</t>
  </si>
  <si>
    <t>tòngkuài</t>
  </si>
  <si>
    <t>同类</t>
  </si>
  <si>
    <t>tónglèi</t>
  </si>
  <si>
    <t>铜牌</t>
  </si>
  <si>
    <t>tóngpái</t>
  </si>
  <si>
    <t>通信</t>
  </si>
  <si>
    <t>tōngxìn</t>
  </si>
  <si>
    <t>通讯</t>
  </si>
  <si>
    <t>tōngxùn</t>
  </si>
  <si>
    <t>通用</t>
  </si>
  <si>
    <t>tōngyòng</t>
  </si>
  <si>
    <t>透</t>
  </si>
  <si>
    <t>tòu</t>
  </si>
  <si>
    <t>偷</t>
  </si>
  <si>
    <t>tōu</t>
  </si>
  <si>
    <t>透过</t>
  </si>
  <si>
    <t>tòuguò</t>
  </si>
  <si>
    <t>透露</t>
  </si>
  <si>
    <t>tòulù</t>
  </si>
  <si>
    <t>透明</t>
  </si>
  <si>
    <t>tòumíng</t>
  </si>
  <si>
    <t>头脑</t>
  </si>
  <si>
    <t>tóunǎo</t>
  </si>
  <si>
    <t>投票</t>
  </si>
  <si>
    <t>tóupiào</t>
  </si>
  <si>
    <t>投诉</t>
  </si>
  <si>
    <t>tóusù</t>
  </si>
  <si>
    <t>偷偷</t>
  </si>
  <si>
    <t>tōutōu</t>
  </si>
  <si>
    <t>投资</t>
  </si>
  <si>
    <t>tóuzī</t>
  </si>
  <si>
    <t>吐</t>
  </si>
  <si>
    <t>tù</t>
  </si>
  <si>
    <t>图案</t>
  </si>
  <si>
    <t>tú'àn</t>
  </si>
  <si>
    <t>团结</t>
  </si>
  <si>
    <t>tuánjié</t>
  </si>
  <si>
    <t>团体</t>
  </si>
  <si>
    <t>tuántǐ</t>
  </si>
  <si>
    <t>团圆</t>
  </si>
  <si>
    <t>tuányuán</t>
  </si>
  <si>
    <t>图表</t>
  </si>
  <si>
    <t>túbiǎo</t>
  </si>
  <si>
    <t>徒弟</t>
  </si>
  <si>
    <t>túdì</t>
  </si>
  <si>
    <t>突发</t>
  </si>
  <si>
    <t>tūfā</t>
  </si>
  <si>
    <t>推测</t>
  </si>
  <si>
    <t>tuīcè</t>
  </si>
  <si>
    <t>退税</t>
  </si>
  <si>
    <t>tuìshuì</t>
  </si>
  <si>
    <t>推销</t>
  </si>
  <si>
    <t>tuīxiāo</t>
  </si>
  <si>
    <t>推行</t>
  </si>
  <si>
    <t>tuīxíng</t>
  </si>
  <si>
    <t>途径</t>
  </si>
  <si>
    <t>tújìng</t>
  </si>
  <si>
    <t>吞</t>
  </si>
  <si>
    <t>tūn</t>
  </si>
  <si>
    <t>拖</t>
  </si>
  <si>
    <t>拖延</t>
  </si>
  <si>
    <t>tuōyán</t>
  </si>
  <si>
    <t>托运</t>
  </si>
  <si>
    <t>tuōyùn</t>
  </si>
  <si>
    <t>突破</t>
  </si>
  <si>
    <t>tūpò</t>
  </si>
  <si>
    <t>土壤</t>
  </si>
  <si>
    <t>tǔrǎng</t>
  </si>
  <si>
    <t>图像</t>
  </si>
  <si>
    <t>túxiàng</t>
  </si>
  <si>
    <t>挖</t>
  </si>
  <si>
    <t>wā</t>
  </si>
  <si>
    <t>哇</t>
  </si>
  <si>
    <t>拟声</t>
  </si>
  <si>
    <t>歪</t>
  </si>
  <si>
    <t>wāi</t>
  </si>
  <si>
    <t>外表</t>
  </si>
  <si>
    <t>wàibiǎo</t>
  </si>
  <si>
    <t>外交</t>
  </si>
  <si>
    <t>wàijiāo</t>
  </si>
  <si>
    <t>外界</t>
  </si>
  <si>
    <t>wàijiè</t>
  </si>
  <si>
    <t>外科</t>
  </si>
  <si>
    <t>wàikē</t>
  </si>
  <si>
    <t>外来</t>
  </si>
  <si>
    <t>wàilái</t>
  </si>
  <si>
    <t>外甥</t>
  </si>
  <si>
    <t>wàisheng</t>
  </si>
  <si>
    <t>望</t>
  </si>
  <si>
    <t>网</t>
  </si>
  <si>
    <t>往后</t>
  </si>
  <si>
    <t>wǎnghòu</t>
  </si>
  <si>
    <t>往来</t>
  </si>
  <si>
    <t>wǎnglái</t>
  </si>
  <si>
    <t>往年</t>
  </si>
  <si>
    <t>wǎngnián</t>
  </si>
  <si>
    <t>王子</t>
  </si>
  <si>
    <t>wángzǐ</t>
  </si>
  <si>
    <t>顽强</t>
  </si>
  <si>
    <t>wánqiáng</t>
  </si>
  <si>
    <t>弯曲</t>
  </si>
  <si>
    <t>wānqū</t>
  </si>
  <si>
    <t>万物</t>
  </si>
  <si>
    <t>wànwù</t>
  </si>
  <si>
    <t>娃娃</t>
  </si>
  <si>
    <t>wáwa</t>
  </si>
  <si>
    <t>未</t>
  </si>
  <si>
    <t>未必</t>
  </si>
  <si>
    <t>wèibì</t>
  </si>
  <si>
    <t>未成年人</t>
  </si>
  <si>
    <t>wèichéngniánrén</t>
  </si>
  <si>
    <t>为此</t>
  </si>
  <si>
    <t>wèicǐ</t>
  </si>
  <si>
    <t>违规</t>
  </si>
  <si>
    <t>wéiguī</t>
  </si>
  <si>
    <t>为何</t>
  </si>
  <si>
    <t>wèihé</t>
  </si>
  <si>
    <t>维护</t>
  </si>
  <si>
    <t>wéihù</t>
  </si>
  <si>
    <t>危机</t>
  </si>
  <si>
    <t>wēijī</t>
  </si>
  <si>
    <t>味觉</t>
  </si>
  <si>
    <t>wèijué</t>
  </si>
  <si>
    <t>胃口</t>
  </si>
  <si>
    <t>wèikǒu</t>
  </si>
  <si>
    <t>为难</t>
  </si>
  <si>
    <t>wéinán</t>
  </si>
  <si>
    <t>围棋</t>
  </si>
  <si>
    <t>wéiqí</t>
  </si>
  <si>
    <t>为期</t>
  </si>
  <si>
    <t>wéiqī</t>
  </si>
  <si>
    <t>委屈</t>
  </si>
  <si>
    <t>wěiqu</t>
  </si>
  <si>
    <t>维生素</t>
  </si>
  <si>
    <t>wéishēngsù</t>
  </si>
  <si>
    <t>委托</t>
  </si>
  <si>
    <t>wěituō</t>
  </si>
  <si>
    <t>微小</t>
  </si>
  <si>
    <t>wēixiǎo</t>
  </si>
  <si>
    <t>为止</t>
  </si>
  <si>
    <t>wéizhǐ</t>
  </si>
  <si>
    <t>文档</t>
  </si>
  <si>
    <t>wéndàng</t>
  </si>
  <si>
    <t>温和</t>
  </si>
  <si>
    <t>wēnhé</t>
  </si>
  <si>
    <t>文具</t>
  </si>
  <si>
    <t>wénjù</t>
  </si>
  <si>
    <t>文科</t>
  </si>
  <si>
    <t>wénkē</t>
  </si>
  <si>
    <t>文明</t>
  </si>
  <si>
    <t>wénmíng</t>
  </si>
  <si>
    <t>闻名</t>
  </si>
  <si>
    <t>温柔</t>
  </si>
  <si>
    <t>wēnróu</t>
  </si>
  <si>
    <t>文物</t>
  </si>
  <si>
    <t>wénwù</t>
  </si>
  <si>
    <t>文献</t>
  </si>
  <si>
    <t>wénxiàn</t>
  </si>
  <si>
    <t>文艺</t>
  </si>
  <si>
    <t>wényì</t>
  </si>
  <si>
    <t>误</t>
  </si>
  <si>
    <t>乌龟</t>
  </si>
  <si>
    <t>wūguī</t>
  </si>
  <si>
    <t>误解</t>
  </si>
  <si>
    <t>wùjiě</t>
  </si>
  <si>
    <t>武器</t>
  </si>
  <si>
    <t>wǔqì</t>
  </si>
  <si>
    <t>污水</t>
  </si>
  <si>
    <t>wūshuǐ</t>
  </si>
  <si>
    <t>无所谓</t>
  </si>
  <si>
    <t>wúsuǒwèi</t>
  </si>
  <si>
    <t>物体</t>
  </si>
  <si>
    <t>wùtǐ</t>
  </si>
  <si>
    <t>无疑</t>
  </si>
  <si>
    <t>wúyí</t>
  </si>
  <si>
    <t>吓</t>
  </si>
  <si>
    <t>下功夫</t>
  </si>
  <si>
    <t>xià gōngfu</t>
  </si>
  <si>
    <t>下单</t>
  </si>
  <si>
    <t>xiàdān</t>
  </si>
  <si>
    <t>夏令营</t>
  </si>
  <si>
    <t>xiàlìngyíng</t>
  </si>
  <si>
    <t>嫌</t>
  </si>
  <si>
    <t>限</t>
  </si>
  <si>
    <t>线</t>
  </si>
  <si>
    <t>显</t>
  </si>
  <si>
    <t>xiǎn</t>
  </si>
  <si>
    <t>险</t>
  </si>
  <si>
    <t>现存</t>
  </si>
  <si>
    <t>xiàncún</t>
  </si>
  <si>
    <t>限度</t>
  </si>
  <si>
    <t>xiàndù</t>
  </si>
  <si>
    <t>相差</t>
  </si>
  <si>
    <t>xiāngchà</t>
  </si>
  <si>
    <t>香肠</t>
  </si>
  <si>
    <t>xiāngcháng</t>
  </si>
  <si>
    <t>相传</t>
  </si>
  <si>
    <t>xiāngchuán</t>
  </si>
  <si>
    <t>相等</t>
  </si>
  <si>
    <t>xiāngděng</t>
  </si>
  <si>
    <t>项链</t>
  </si>
  <si>
    <t>xiàngliàn</t>
  </si>
  <si>
    <t>相连</t>
  </si>
  <si>
    <t>xiānglián</t>
  </si>
  <si>
    <t>象棋</t>
  </si>
  <si>
    <t>xiàngqí</t>
  </si>
  <si>
    <t>相声</t>
  </si>
  <si>
    <t>xiàngsheng</t>
  </si>
  <si>
    <t>香水</t>
  </si>
  <si>
    <t>xiāngshuǐ</t>
  </si>
  <si>
    <t>向往</t>
  </si>
  <si>
    <t>xiàngwǎng</t>
  </si>
  <si>
    <t>相应</t>
  </si>
  <si>
    <t>xiāngyìng</t>
  </si>
  <si>
    <t>现货</t>
  </si>
  <si>
    <t>xiànhuò</t>
  </si>
  <si>
    <t>鲜明</t>
  </si>
  <si>
    <t>xiānmíng</t>
  </si>
  <si>
    <t>先前</t>
  </si>
  <si>
    <t>xiānqián</t>
  </si>
  <si>
    <t>陷入</t>
  </si>
  <si>
    <t>xiànrù</t>
  </si>
  <si>
    <t>线索</t>
  </si>
  <si>
    <t>xiànsuǒ</t>
  </si>
  <si>
    <t>鲜艳</t>
  </si>
  <si>
    <t>xiānyàn</t>
  </si>
  <si>
    <t>限于</t>
  </si>
  <si>
    <t>xiànyú</t>
  </si>
  <si>
    <t>显著</t>
  </si>
  <si>
    <t>xiǎnzhù</t>
  </si>
  <si>
    <t>消除</t>
  </si>
  <si>
    <t>xiāochú</t>
  </si>
  <si>
    <t>消毒</t>
  </si>
  <si>
    <t>xiāodú</t>
  </si>
  <si>
    <t>消防</t>
  </si>
  <si>
    <t>xiāofáng</t>
  </si>
  <si>
    <t>消耗</t>
  </si>
  <si>
    <t>xiāohào</t>
  </si>
  <si>
    <t>小麦</t>
  </si>
  <si>
    <t>xiǎomài</t>
  </si>
  <si>
    <t>消灭</t>
  </si>
  <si>
    <t>xiāomiè</t>
  </si>
  <si>
    <t>小气</t>
  </si>
  <si>
    <t>xiǎoqi</t>
  </si>
  <si>
    <t>笑容</t>
  </si>
  <si>
    <t>xiàoróng</t>
  </si>
  <si>
    <t>小偷儿</t>
  </si>
  <si>
    <t>xiǎotōur</t>
  </si>
  <si>
    <t>效应</t>
  </si>
  <si>
    <t>xiàoyìng</t>
  </si>
  <si>
    <t>下线</t>
  </si>
  <si>
    <t>xiàxiàn</t>
  </si>
  <si>
    <t>下旬</t>
  </si>
  <si>
    <t>xiàxún</t>
  </si>
  <si>
    <t>细胞</t>
  </si>
  <si>
    <t>xìbāo</t>
  </si>
  <si>
    <t>歇</t>
  </si>
  <si>
    <t>携带</t>
  </si>
  <si>
    <t>xiédài</t>
  </si>
  <si>
    <t>协会</t>
  </si>
  <si>
    <t>xiéhuì</t>
  </si>
  <si>
    <t>协调</t>
  </si>
  <si>
    <t>xiétiáo</t>
  </si>
  <si>
    <t>协助</t>
  </si>
  <si>
    <t>xiézhù</t>
  </si>
  <si>
    <t>媳妇</t>
  </si>
  <si>
    <t>xífu</t>
  </si>
  <si>
    <t>喜剧</t>
  </si>
  <si>
    <t>xǐjù</t>
  </si>
  <si>
    <t>细菌</t>
  </si>
  <si>
    <t>xìjūn</t>
  </si>
  <si>
    <t>系列</t>
  </si>
  <si>
    <t>xìliè</t>
  </si>
  <si>
    <t>心爱</t>
  </si>
  <si>
    <t>xīn'ài</t>
  </si>
  <si>
    <t>心底</t>
  </si>
  <si>
    <t>xīndǐ</t>
  </si>
  <si>
    <t>型号</t>
  </si>
  <si>
    <t>xínghào</t>
  </si>
  <si>
    <t>性价比</t>
  </si>
  <si>
    <t>xìngjiàbǐ</t>
  </si>
  <si>
    <t>性能</t>
  </si>
  <si>
    <t>xìngnéng</t>
  </si>
  <si>
    <t>兴起</t>
  </si>
  <si>
    <t>xīngqǐ</t>
  </si>
  <si>
    <t>形态</t>
  </si>
  <si>
    <t>xíngtài</t>
  </si>
  <si>
    <t>新款</t>
  </si>
  <si>
    <t>xīnkuǎn</t>
  </si>
  <si>
    <t>信赖</t>
  </si>
  <si>
    <t>xìnlài</t>
  </si>
  <si>
    <t>心灵</t>
  </si>
  <si>
    <t>xīnlíng</t>
  </si>
  <si>
    <t>新媒体</t>
  </si>
  <si>
    <t>xīnméitǐ</t>
  </si>
  <si>
    <t>心目</t>
  </si>
  <si>
    <t>xīnmù</t>
  </si>
  <si>
    <t>新能源</t>
  </si>
  <si>
    <t>xīnnéngyuán</t>
  </si>
  <si>
    <t>信念</t>
  </si>
  <si>
    <t>xìnniàn</t>
  </si>
  <si>
    <t>薪水</t>
  </si>
  <si>
    <t>xīnshui</t>
  </si>
  <si>
    <t>心疼</t>
  </si>
  <si>
    <t>xīnténg</t>
  </si>
  <si>
    <t>新兴</t>
  </si>
  <si>
    <t>xīnxīng</t>
  </si>
  <si>
    <t>新颖</t>
  </si>
  <si>
    <t>xīnyǐng</t>
  </si>
  <si>
    <t>心愿</t>
  </si>
  <si>
    <t>xīnyuàn</t>
  </si>
  <si>
    <t>心脏</t>
  </si>
  <si>
    <t>xīnzàng</t>
  </si>
  <si>
    <t>胸</t>
  </si>
  <si>
    <t>xiōng</t>
  </si>
  <si>
    <t>戏曲</t>
  </si>
  <si>
    <t>xìqǔ</t>
  </si>
  <si>
    <t>吸取</t>
  </si>
  <si>
    <t>xīqǔ</t>
  </si>
  <si>
    <t>喜事</t>
  </si>
  <si>
    <t>xǐshì</t>
  </si>
  <si>
    <t>洗漱</t>
  </si>
  <si>
    <t>xǐshù</t>
  </si>
  <si>
    <t>习俗</t>
  </si>
  <si>
    <t>xísú</t>
  </si>
  <si>
    <t>修订</t>
  </si>
  <si>
    <t>xiūdìng</t>
  </si>
  <si>
    <t>修复</t>
  </si>
  <si>
    <t>xiūfù</t>
  </si>
  <si>
    <t>袖子</t>
  </si>
  <si>
    <t>xiùzi</t>
  </si>
  <si>
    <t>细致</t>
  </si>
  <si>
    <t>xìzhì</t>
  </si>
  <si>
    <t>选拔</t>
  </si>
  <si>
    <t>xuǎnbá</t>
  </si>
  <si>
    <t>选修</t>
  </si>
  <si>
    <t>xuǎnxiū</t>
  </si>
  <si>
    <t>旋转</t>
  </si>
  <si>
    <t>xuánzhuǎn</t>
  </si>
  <si>
    <t>血管</t>
  </si>
  <si>
    <t>xuèguǎn</t>
  </si>
  <si>
    <t>学会</t>
  </si>
  <si>
    <t>xuéhuì</t>
  </si>
  <si>
    <t>学位</t>
  </si>
  <si>
    <t>xuéwèi</t>
  </si>
  <si>
    <t>学问</t>
  </si>
  <si>
    <t>xuéwen</t>
  </si>
  <si>
    <t>血型</t>
  </si>
  <si>
    <t>xuèxíng</t>
  </si>
  <si>
    <t>血压</t>
  </si>
  <si>
    <t>xuèyā</t>
  </si>
  <si>
    <t>血液</t>
  </si>
  <si>
    <t>xuèyè</t>
  </si>
  <si>
    <t>学员</t>
  </si>
  <si>
    <t>xuéyuán</t>
  </si>
  <si>
    <t>许可</t>
  </si>
  <si>
    <t>xǔkě</t>
  </si>
  <si>
    <t>循环</t>
  </si>
  <si>
    <t>xúnhuán</t>
  </si>
  <si>
    <t>寻求</t>
  </si>
  <si>
    <t>xúnqiú</t>
  </si>
  <si>
    <t>叙述</t>
  </si>
  <si>
    <t>xùshù</t>
  </si>
  <si>
    <t>亚军</t>
  </si>
  <si>
    <t>yàjūn</t>
  </si>
  <si>
    <t>严</t>
  </si>
  <si>
    <t>淹</t>
  </si>
  <si>
    <t>样</t>
  </si>
  <si>
    <t>yàng</t>
  </si>
  <si>
    <t>仰</t>
  </si>
  <si>
    <t>痒</t>
  </si>
  <si>
    <t>养老</t>
  </si>
  <si>
    <t>yǎnglǎo</t>
  </si>
  <si>
    <t>养老院</t>
  </si>
  <si>
    <t>yǎnglǎoyuàn</t>
  </si>
  <si>
    <t>氧气</t>
  </si>
  <si>
    <t>yǎngqì</t>
  </si>
  <si>
    <t>眼光</t>
  </si>
  <si>
    <t>yǎnguāng</t>
  </si>
  <si>
    <t>沿海</t>
  </si>
  <si>
    <t>yánhǎi</t>
  </si>
  <si>
    <t>严寒</t>
  </si>
  <si>
    <t>yánhán</t>
  </si>
  <si>
    <t>宴会</t>
  </si>
  <si>
    <t>yànhuì</t>
  </si>
  <si>
    <t>严禁</t>
  </si>
  <si>
    <t>yánjìn</t>
  </si>
  <si>
    <t>眼看</t>
  </si>
  <si>
    <t>yǎnkàn</t>
  </si>
  <si>
    <t>副、动</t>
  </si>
  <si>
    <t>严厉</t>
  </si>
  <si>
    <t>yánlì</t>
  </si>
  <si>
    <t>淹没</t>
  </si>
  <si>
    <t>yānmò</t>
  </si>
  <si>
    <t>延期</t>
  </si>
  <si>
    <t>yánqī</t>
  </si>
  <si>
    <t>炎热</t>
  </si>
  <si>
    <t>yánrè</t>
  </si>
  <si>
    <t>延伸</t>
  </si>
  <si>
    <t>yánshēn</t>
  </si>
  <si>
    <t>研讨</t>
  </si>
  <si>
    <t>yántǎo</t>
  </si>
  <si>
    <t>延续</t>
  </si>
  <si>
    <t>yánxù</t>
  </si>
  <si>
    <t>言语</t>
  </si>
  <si>
    <t>yányǔ</t>
  </si>
  <si>
    <t>炎症</t>
  </si>
  <si>
    <t>yánzhèng</t>
  </si>
  <si>
    <t>验证</t>
  </si>
  <si>
    <t>yànzhèng</t>
  </si>
  <si>
    <t>演奏</t>
  </si>
  <si>
    <t>yǎnzòu</t>
  </si>
  <si>
    <t>要点</t>
  </si>
  <si>
    <t>yàodiǎn</t>
  </si>
  <si>
    <t>要么</t>
  </si>
  <si>
    <t>yàome</t>
  </si>
  <si>
    <t>要素</t>
  </si>
  <si>
    <t>yàosù</t>
  </si>
  <si>
    <t>遥远</t>
  </si>
  <si>
    <t>yáoyuǎn</t>
  </si>
  <si>
    <t>压缩</t>
  </si>
  <si>
    <t>yāsuō</t>
  </si>
  <si>
    <t>业</t>
  </si>
  <si>
    <t>野</t>
  </si>
  <si>
    <t>也好</t>
  </si>
  <si>
    <t>yěhǎo</t>
  </si>
  <si>
    <t>野生</t>
  </si>
  <si>
    <t>yěshēng</t>
  </si>
  <si>
    <t>液体</t>
  </si>
  <si>
    <t>yètǐ</t>
  </si>
  <si>
    <t>野外</t>
  </si>
  <si>
    <t>yěwài</t>
  </si>
  <si>
    <t>姨</t>
  </si>
  <si>
    <t>一辈子</t>
  </si>
  <si>
    <t>yíbèizi</t>
  </si>
  <si>
    <t>以便</t>
  </si>
  <si>
    <t>yǐbiàn</t>
  </si>
  <si>
    <t>遗产</t>
  </si>
  <si>
    <t>yíchǎn</t>
  </si>
  <si>
    <t>异常</t>
  </si>
  <si>
    <t>yìcháng</t>
  </si>
  <si>
    <t>益处</t>
  </si>
  <si>
    <t>yìchù</t>
  </si>
  <si>
    <t>遗传</t>
  </si>
  <si>
    <t>yíchuán</t>
  </si>
  <si>
    <t>一带</t>
  </si>
  <si>
    <t>一道</t>
  </si>
  <si>
    <t>yídào</t>
  </si>
  <si>
    <t>一帆风顺</t>
  </si>
  <si>
    <t>yìfān-fēngshùn</t>
  </si>
  <si>
    <t>一贯</t>
  </si>
  <si>
    <t>yíguàn</t>
  </si>
  <si>
    <t>疑惑</t>
  </si>
  <si>
    <t>yíhuò</t>
  </si>
  <si>
    <t>依旧</t>
  </si>
  <si>
    <t>yījiù</t>
  </si>
  <si>
    <t>一口气</t>
  </si>
  <si>
    <t>yìkǒuqì</t>
  </si>
  <si>
    <t>依赖</t>
  </si>
  <si>
    <t>yīlài</t>
  </si>
  <si>
    <t>一流</t>
  </si>
  <si>
    <t>yīliú</t>
  </si>
  <si>
    <t>一律</t>
  </si>
  <si>
    <t>yílǜ</t>
  </si>
  <si>
    <t>议论</t>
  </si>
  <si>
    <t>yìlùn</t>
  </si>
  <si>
    <t>以免</t>
  </si>
  <si>
    <t>yǐmiǎn</t>
  </si>
  <si>
    <t>移民</t>
  </si>
  <si>
    <t>yímín</t>
  </si>
  <si>
    <t>一模一样</t>
  </si>
  <si>
    <t>yìmú-yíyàng</t>
  </si>
  <si>
    <t>银</t>
  </si>
  <si>
    <t>yín</t>
  </si>
  <si>
    <t>印</t>
  </si>
  <si>
    <t>yìn</t>
  </si>
  <si>
    <t>引</t>
  </si>
  <si>
    <t>yǐn</t>
  </si>
  <si>
    <t>因</t>
  </si>
  <si>
    <t>隐藏</t>
  </si>
  <si>
    <t>yǐncáng</t>
  </si>
  <si>
    <t>引导</t>
  </si>
  <si>
    <t>yǐndǎo</t>
  </si>
  <si>
    <t>引发</t>
  </si>
  <si>
    <t>yǐnfā</t>
  </si>
  <si>
    <t>婴儿</t>
  </si>
  <si>
    <t>yīng'ér</t>
  </si>
  <si>
    <t>英雄</t>
  </si>
  <si>
    <t>yīngxióng</t>
  </si>
  <si>
    <t>影子</t>
  </si>
  <si>
    <t>yǐngzi</t>
  </si>
  <si>
    <t>音节</t>
  </si>
  <si>
    <t>yīnjié</t>
  </si>
  <si>
    <t>银牌</t>
  </si>
  <si>
    <t>yínpái</t>
  </si>
  <si>
    <t>引入</t>
  </si>
  <si>
    <t>yǐnrù</t>
  </si>
  <si>
    <t>隐私</t>
  </si>
  <si>
    <t>yǐnsī</t>
  </si>
  <si>
    <t>饮用水</t>
  </si>
  <si>
    <t>yǐnyòngshuǐ</t>
  </si>
  <si>
    <t>仪器</t>
  </si>
  <si>
    <t>yíqì</t>
  </si>
  <si>
    <t>艺人</t>
  </si>
  <si>
    <t>yìrén</t>
  </si>
  <si>
    <t>一身</t>
  </si>
  <si>
    <t>yìshēn</t>
  </si>
  <si>
    <t>仪式</t>
  </si>
  <si>
    <t>yíshì</t>
  </si>
  <si>
    <t>一时</t>
  </si>
  <si>
    <t>衣食住行</t>
  </si>
  <si>
    <t>yī-shí-zhù-xíng</t>
  </si>
  <si>
    <t>一同</t>
  </si>
  <si>
    <t>yìtóng</t>
  </si>
  <si>
    <t>以往</t>
  </si>
  <si>
    <t>yǐwǎng</t>
  </si>
  <si>
    <t>一向</t>
  </si>
  <si>
    <t>yíxiàng</t>
  </si>
  <si>
    <t>一系列</t>
  </si>
  <si>
    <t>yíxìliè</t>
  </si>
  <si>
    <t>医药</t>
  </si>
  <si>
    <t>yīyào</t>
  </si>
  <si>
    <t>一一</t>
  </si>
  <si>
    <t>yīyī</t>
  </si>
  <si>
    <t>易于</t>
  </si>
  <si>
    <t>yìyú</t>
  </si>
  <si>
    <t>一再</t>
  </si>
  <si>
    <t>yízài</t>
  </si>
  <si>
    <t>一阵</t>
  </si>
  <si>
    <t>yízhèn</t>
  </si>
  <si>
    <t>遗址</t>
  </si>
  <si>
    <t>yízhǐ</t>
  </si>
  <si>
    <t>抑制</t>
  </si>
  <si>
    <t>yìzhì</t>
  </si>
  <si>
    <t>用餐</t>
  </si>
  <si>
    <t>yòngcān</t>
  </si>
  <si>
    <t>用处</t>
  </si>
  <si>
    <t>yòngchù</t>
  </si>
  <si>
    <t>用功</t>
  </si>
  <si>
    <t>yònggōng</t>
  </si>
  <si>
    <t>拥挤</t>
  </si>
  <si>
    <t>yōngjǐ</t>
  </si>
  <si>
    <t>用人</t>
  </si>
  <si>
    <t>yòngrén</t>
  </si>
  <si>
    <t>涌现</t>
  </si>
  <si>
    <t>yǒngxiàn</t>
  </si>
  <si>
    <t>用心</t>
  </si>
  <si>
    <t>yòngxīn</t>
  </si>
  <si>
    <t>勇于</t>
  </si>
  <si>
    <t>yǒngyú</t>
  </si>
  <si>
    <t>优化</t>
  </si>
  <si>
    <t>yōuhuà</t>
  </si>
  <si>
    <t>有机</t>
  </si>
  <si>
    <t>yǒujī</t>
  </si>
  <si>
    <t>有劲</t>
  </si>
  <si>
    <t>yǒujìn</t>
  </si>
  <si>
    <t>由来</t>
  </si>
  <si>
    <t>yóulái</t>
  </si>
  <si>
    <t>游人</t>
  </si>
  <si>
    <t>yóurén</t>
  </si>
  <si>
    <t>犹如</t>
  </si>
  <si>
    <t>yóurú</t>
  </si>
  <si>
    <t>优先</t>
  </si>
  <si>
    <t>yōuxiān</t>
  </si>
  <si>
    <t>有序</t>
  </si>
  <si>
    <t>yǒuxù</t>
  </si>
  <si>
    <t>优异</t>
  </si>
  <si>
    <t>yōuyì</t>
  </si>
  <si>
    <t>于</t>
  </si>
  <si>
    <t>余额</t>
  </si>
  <si>
    <t>yú’é</t>
  </si>
  <si>
    <t>原本</t>
  </si>
  <si>
    <t>yuánběn</t>
  </si>
  <si>
    <t>原材料</t>
  </si>
  <si>
    <t>yuáncáiliào</t>
  </si>
  <si>
    <t>远程</t>
  </si>
  <si>
    <t>yuǎnchéng</t>
  </si>
  <si>
    <t>远方</t>
  </si>
  <si>
    <t>yuǎnfāng</t>
  </si>
  <si>
    <t>原理</t>
  </si>
  <si>
    <t>yuánlǐ</t>
  </si>
  <si>
    <t>原料</t>
  </si>
  <si>
    <t>yuánliào</t>
  </si>
  <si>
    <t>园林</t>
  </si>
  <si>
    <t>yuánlín</t>
  </si>
  <si>
    <t>圆满</t>
  </si>
  <si>
    <t>yuánmǎn</t>
  </si>
  <si>
    <t>原始</t>
  </si>
  <si>
    <t>yuánshǐ</t>
  </si>
  <si>
    <t>元素</t>
  </si>
  <si>
    <t>yuánsù</t>
  </si>
  <si>
    <t>原先</t>
  </si>
  <si>
    <t>yuánxiān</t>
  </si>
  <si>
    <t>元宵</t>
  </si>
  <si>
    <t>yuánxiāo</t>
  </si>
  <si>
    <t>源于</t>
  </si>
  <si>
    <t>yuányú</t>
  </si>
  <si>
    <t>预定</t>
  </si>
  <si>
    <t>月光</t>
  </si>
  <si>
    <t>yuèguāng</t>
  </si>
  <si>
    <t>乐器</t>
  </si>
  <si>
    <t>yuèqì</t>
  </si>
  <si>
    <t>月球</t>
  </si>
  <si>
    <t>yuèqiú</t>
  </si>
  <si>
    <t>乐曲</t>
  </si>
  <si>
    <t>yuèqǔ</t>
  </si>
  <si>
    <t>约束</t>
  </si>
  <si>
    <t>yuēshù</t>
  </si>
  <si>
    <t>预料</t>
  </si>
  <si>
    <t>yùliào</t>
  </si>
  <si>
    <t>晕</t>
  </si>
  <si>
    <t>yūn</t>
  </si>
  <si>
    <t>晕车</t>
  </si>
  <si>
    <t>yùnchē</t>
  </si>
  <si>
    <t>运送</t>
  </si>
  <si>
    <t>yùnsòng</t>
  </si>
  <si>
    <t>运行</t>
  </si>
  <si>
    <t>yùnxíng</t>
  </si>
  <si>
    <t>运营</t>
  </si>
  <si>
    <t>yùnyíng</t>
  </si>
  <si>
    <t>预期</t>
  </si>
  <si>
    <t>yùqī</t>
  </si>
  <si>
    <t>与其</t>
  </si>
  <si>
    <t>yǔqí</t>
  </si>
  <si>
    <t>羽绒服</t>
  </si>
  <si>
    <t>yǔróngfú</t>
  </si>
  <si>
    <t>浴室</t>
  </si>
  <si>
    <t>yùshì</t>
  </si>
  <si>
    <t>欲望</t>
  </si>
  <si>
    <t>yùwàng</t>
  </si>
  <si>
    <t>杂</t>
  </si>
  <si>
    <t>zá</t>
  </si>
  <si>
    <t>灾</t>
  </si>
  <si>
    <t>zāi</t>
  </si>
  <si>
    <t>灾害</t>
  </si>
  <si>
    <t>zāihài</t>
  </si>
  <si>
    <t>灾难</t>
  </si>
  <si>
    <t>zāinàn</t>
  </si>
  <si>
    <t>灾区</t>
  </si>
  <si>
    <t>zāiqū</t>
  </si>
  <si>
    <t>再三</t>
  </si>
  <si>
    <t>zàisān</t>
  </si>
  <si>
    <t>再生</t>
  </si>
  <si>
    <t>zàishēng</t>
  </si>
  <si>
    <t>在意</t>
  </si>
  <si>
    <t>zàiyì</t>
  </si>
  <si>
    <t>赞赏</t>
  </si>
  <si>
    <t>zànshǎng</t>
  </si>
  <si>
    <t>赞同</t>
  </si>
  <si>
    <t>zàntóng</t>
  </si>
  <si>
    <t>遭到</t>
  </si>
  <si>
    <t>zāodào</t>
  </si>
  <si>
    <t>噪声</t>
  </si>
  <si>
    <t>zàoshēng</t>
  </si>
  <si>
    <t>遭受</t>
  </si>
  <si>
    <t>zāoshòu</t>
  </si>
  <si>
    <t>造型</t>
  </si>
  <si>
    <t>zàoxíng</t>
  </si>
  <si>
    <t>遭遇</t>
  </si>
  <si>
    <t>zāoyù</t>
  </si>
  <si>
    <t>则1</t>
  </si>
  <si>
    <t>zé</t>
  </si>
  <si>
    <t>连、（助）</t>
  </si>
  <si>
    <t>zhà</t>
  </si>
  <si>
    <t>扎</t>
  </si>
  <si>
    <t>zhā</t>
  </si>
  <si>
    <t>粘</t>
  </si>
  <si>
    <t>zhān</t>
  </si>
  <si>
    <t>占比</t>
  </si>
  <si>
    <t>zhànbǐ</t>
  </si>
  <si>
    <t>战斗</t>
  </si>
  <si>
    <t>zhàndòu</t>
  </si>
  <si>
    <t>章</t>
  </si>
  <si>
    <t>障碍</t>
  </si>
  <si>
    <t>zhàng'ài</t>
  </si>
  <si>
    <t>长辈</t>
  </si>
  <si>
    <t>zhǎngbèi</t>
  </si>
  <si>
    <t>账单</t>
  </si>
  <si>
    <t>zhàngdān</t>
  </si>
  <si>
    <t>占据</t>
  </si>
  <si>
    <t>zhànjù</t>
  </si>
  <si>
    <t>战胜</t>
  </si>
  <si>
    <t>zhànshèng</t>
  </si>
  <si>
    <t>粘贴</t>
  </si>
  <si>
    <t>zhāntiē</t>
  </si>
  <si>
    <t>崭新</t>
  </si>
  <si>
    <t>zhǎnxīn</t>
  </si>
  <si>
    <t>占有</t>
  </si>
  <si>
    <t>zhànyǒu</t>
  </si>
  <si>
    <t>战争</t>
  </si>
  <si>
    <t>zhànzhēng</t>
  </si>
  <si>
    <t>招</t>
  </si>
  <si>
    <t>zhāo</t>
  </si>
  <si>
    <t>招待</t>
  </si>
  <si>
    <t>zhāodài</t>
  </si>
  <si>
    <t>照明</t>
  </si>
  <si>
    <t>zhàomíng</t>
  </si>
  <si>
    <t>招生</t>
  </si>
  <si>
    <t>zhāoshēng</t>
  </si>
  <si>
    <t>招手</t>
  </si>
  <si>
    <t>zhāoshǒu</t>
  </si>
  <si>
    <t>招收</t>
  </si>
  <si>
    <t>zhāoshōu</t>
  </si>
  <si>
    <t>折</t>
  </si>
  <si>
    <t>zhé</t>
  </si>
  <si>
    <t>镇</t>
  </si>
  <si>
    <t>针</t>
  </si>
  <si>
    <t>睁</t>
  </si>
  <si>
    <t>政策</t>
  </si>
  <si>
    <t>zhèngcè</t>
  </si>
  <si>
    <t>争吵</t>
  </si>
  <si>
    <t>zhēngchǎo</t>
  </si>
  <si>
    <t>争夺</t>
  </si>
  <si>
    <t>zhēngduó</t>
  </si>
  <si>
    <t>正规</t>
  </si>
  <si>
    <t>zhèngguī</t>
  </si>
  <si>
    <t>争论</t>
  </si>
  <si>
    <t>zhēnglùn</t>
  </si>
  <si>
    <t>正面</t>
  </si>
  <si>
    <t>zhèngmiàn</t>
  </si>
  <si>
    <t>征求</t>
  </si>
  <si>
    <t>zhēngqiú</t>
  </si>
  <si>
    <t>证实</t>
  </si>
  <si>
    <t>zhèngshí</t>
  </si>
  <si>
    <t>正义</t>
  </si>
  <si>
    <t>zhèngyì</t>
  </si>
  <si>
    <t>争议</t>
  </si>
  <si>
    <t>zhēngyì</t>
  </si>
  <si>
    <t>症状</t>
  </si>
  <si>
    <t>zhèngzhuàng</t>
  </si>
  <si>
    <t>枕头</t>
  </si>
  <si>
    <t>zhěntou</t>
  </si>
  <si>
    <t>真相</t>
  </si>
  <si>
    <t>zhēnxiàng</t>
  </si>
  <si>
    <t>阵雨</t>
  </si>
  <si>
    <t>zhènyǔ</t>
  </si>
  <si>
    <t>珍珠</t>
  </si>
  <si>
    <t>zhēnzhū</t>
  </si>
  <si>
    <t>制</t>
  </si>
  <si>
    <t>支2</t>
  </si>
  <si>
    <t>枝</t>
  </si>
  <si>
    <t>值班</t>
  </si>
  <si>
    <t>zhíbān</t>
  </si>
  <si>
    <t>支撑</t>
  </si>
  <si>
    <t>zhīchēng</t>
  </si>
  <si>
    <t>支出</t>
  </si>
  <si>
    <t>zhīchū</t>
  </si>
  <si>
    <t>只得</t>
  </si>
  <si>
    <t>zhǐdé</t>
  </si>
  <si>
    <t>指定</t>
  </si>
  <si>
    <t>zhǐdìng</t>
  </si>
  <si>
    <t>脂肪</t>
  </si>
  <si>
    <t>zhīfáng</t>
  </si>
  <si>
    <t>只顾</t>
  </si>
  <si>
    <t>zhǐgù</t>
  </si>
  <si>
    <t>至关重要</t>
  </si>
  <si>
    <t>zhìguān-zhòngyào</t>
  </si>
  <si>
    <t>指挥</t>
  </si>
  <si>
    <t>zhǐhuī</t>
  </si>
  <si>
    <t>智力</t>
  </si>
  <si>
    <t>zhìlì</t>
  </si>
  <si>
    <t>治理</t>
  </si>
  <si>
    <t>zhìlǐ</t>
  </si>
  <si>
    <t>制品</t>
  </si>
  <si>
    <t>zhìpǐn</t>
  </si>
  <si>
    <t>指示</t>
  </si>
  <si>
    <t>之所以</t>
  </si>
  <si>
    <t>zhīsuǒyǐ</t>
  </si>
  <si>
    <t>职位</t>
  </si>
  <si>
    <t>zhíwèi</t>
  </si>
  <si>
    <t>职务</t>
  </si>
  <si>
    <t>秩序</t>
  </si>
  <si>
    <t>zhìxù</t>
  </si>
  <si>
    <t>质疑</t>
  </si>
  <si>
    <t>zhìyí</t>
  </si>
  <si>
    <t>至于</t>
  </si>
  <si>
    <t>zhìyú</t>
  </si>
  <si>
    <t>职员</t>
  </si>
  <si>
    <t>zhíyuán</t>
  </si>
  <si>
    <t>职责</t>
  </si>
  <si>
    <t>zhízé</t>
  </si>
  <si>
    <t>指责</t>
  </si>
  <si>
    <t>zhǐzé</t>
  </si>
  <si>
    <t>侄子</t>
  </si>
  <si>
    <t>zhízi</t>
  </si>
  <si>
    <t>肿</t>
  </si>
  <si>
    <t>中等</t>
  </si>
  <si>
    <t>zhōngděng</t>
  </si>
  <si>
    <t>种地</t>
  </si>
  <si>
    <t>zhòngdì</t>
  </si>
  <si>
    <t>终点</t>
  </si>
  <si>
    <t>zhōngdiǎn</t>
  </si>
  <si>
    <t>中毒</t>
  </si>
  <si>
    <t>zhòngdú</t>
  </si>
  <si>
    <t>中断</t>
  </si>
  <si>
    <t>zhōngduàn</t>
  </si>
  <si>
    <t>中奖</t>
  </si>
  <si>
    <t>zhòngjiǎng</t>
  </si>
  <si>
    <t>众人</t>
  </si>
  <si>
    <t>zhòngrén</t>
  </si>
  <si>
    <t>终身</t>
  </si>
  <si>
    <t>zhōngshēn</t>
  </si>
  <si>
    <t>中暑</t>
  </si>
  <si>
    <t>zhòngshǔ</t>
  </si>
  <si>
    <t>众所周知</t>
  </si>
  <si>
    <t>zhòngsuǒzhōuzhī</t>
  </si>
  <si>
    <t>钟头</t>
  </si>
  <si>
    <t>zhōngtóu</t>
  </si>
  <si>
    <t>重心</t>
  </si>
  <si>
    <t>zhòngxīn</t>
  </si>
  <si>
    <t>中旬</t>
  </si>
  <si>
    <t>zhōngxún</t>
  </si>
  <si>
    <t>中央</t>
  </si>
  <si>
    <t>zhōngyāng</t>
  </si>
  <si>
    <t>州</t>
  </si>
  <si>
    <t>粥</t>
  </si>
  <si>
    <t>周边</t>
  </si>
  <si>
    <t>zhōubiān</t>
  </si>
  <si>
    <t>周到</t>
  </si>
  <si>
    <t>zhōudào</t>
  </si>
  <si>
    <t>周期</t>
  </si>
  <si>
    <t>zhōuqī</t>
  </si>
  <si>
    <t>株</t>
  </si>
  <si>
    <t>砖</t>
  </si>
  <si>
    <t>zhuān</t>
  </si>
  <si>
    <t>转动</t>
  </si>
  <si>
    <t>zhuàndòng</t>
  </si>
  <si>
    <t>装备</t>
  </si>
  <si>
    <t>zhuāngbèi</t>
  </si>
  <si>
    <t>庄稼</t>
  </si>
  <si>
    <t>zhuāngjia</t>
  </si>
  <si>
    <t>转换</t>
  </si>
  <si>
    <t>zhuǎnhuàn</t>
  </si>
  <si>
    <t>转交</t>
  </si>
  <si>
    <t>zhuǎnjiāo</t>
  </si>
  <si>
    <t>专科</t>
  </si>
  <si>
    <t>zhuānkē</t>
  </si>
  <si>
    <t>专利</t>
  </si>
  <si>
    <t>zhuānlì</t>
  </si>
  <si>
    <t>转让</t>
  </si>
  <si>
    <t>zhuǎnràng</t>
  </si>
  <si>
    <t>转身</t>
  </si>
  <si>
    <t>zhuǎnshēn</t>
  </si>
  <si>
    <t>专题</t>
  </si>
  <si>
    <t>zhuāntí</t>
  </si>
  <si>
    <t>转移</t>
  </si>
  <si>
    <t>zhuǎnyí</t>
  </si>
  <si>
    <t>专用</t>
  </si>
  <si>
    <t>zhuānyòng</t>
  </si>
  <si>
    <t>专注</t>
  </si>
  <si>
    <t>zhuānzhù</t>
  </si>
  <si>
    <t>主办</t>
  </si>
  <si>
    <t>zhǔbàn</t>
  </si>
  <si>
    <t>珠宝</t>
  </si>
  <si>
    <t>zhūbǎo</t>
  </si>
  <si>
    <t>主播</t>
  </si>
  <si>
    <t>zhǔbō</t>
  </si>
  <si>
    <t>主导</t>
  </si>
  <si>
    <t>zhǔdǎo</t>
  </si>
  <si>
    <t>诸多</t>
  </si>
  <si>
    <t>zhūduō</t>
  </si>
  <si>
    <t>祝福</t>
  </si>
  <si>
    <t>zhùfú</t>
  </si>
  <si>
    <t>主管</t>
  </si>
  <si>
    <t>zhǔguǎn</t>
  </si>
  <si>
    <t>追究</t>
  </si>
  <si>
    <t>zhuījiū</t>
  </si>
  <si>
    <t>主角</t>
  </si>
  <si>
    <t>zhǔjué</t>
  </si>
  <si>
    <t>助理</t>
  </si>
  <si>
    <t>zhùlǐ</t>
  </si>
  <si>
    <t>主流</t>
  </si>
  <si>
    <t>zhǔliú</t>
  </si>
  <si>
    <t>捉</t>
  </si>
  <si>
    <t>zhuō</t>
  </si>
  <si>
    <t>助手</t>
  </si>
  <si>
    <t>zhùshǒu</t>
  </si>
  <si>
    <t>主演</t>
  </si>
  <si>
    <t>zhǔyǎn</t>
  </si>
  <si>
    <t>祝愿</t>
  </si>
  <si>
    <t>住宅</t>
  </si>
  <si>
    <t>zhùzhái</t>
  </si>
  <si>
    <t>主张</t>
  </si>
  <si>
    <t>zhǔzhāng</t>
  </si>
  <si>
    <t>著作</t>
  </si>
  <si>
    <t>zhùzuò</t>
  </si>
  <si>
    <t>资本</t>
  </si>
  <si>
    <t>zīběn</t>
  </si>
  <si>
    <t>资产</t>
  </si>
  <si>
    <t>zīchǎn</t>
  </si>
  <si>
    <t>自豪</t>
  </si>
  <si>
    <t>zìháo</t>
  </si>
  <si>
    <t>自来水</t>
  </si>
  <si>
    <t>zìláishuǐ</t>
  </si>
  <si>
    <t>自律</t>
  </si>
  <si>
    <t>zìlǜ</t>
  </si>
  <si>
    <t>字幕</t>
  </si>
  <si>
    <t>zìmù</t>
  </si>
  <si>
    <t>自杀</t>
  </si>
  <si>
    <t>zìshā</t>
  </si>
  <si>
    <t>自我</t>
  </si>
  <si>
    <t>zìwǒ</t>
  </si>
  <si>
    <t>自言自语</t>
  </si>
  <si>
    <t>zìyán-zìyǔ</t>
  </si>
  <si>
    <t>自愿</t>
  </si>
  <si>
    <t>zìyuàn</t>
  </si>
  <si>
    <t>自助</t>
  </si>
  <si>
    <t>zìzhù</t>
  </si>
  <si>
    <t>总裁</t>
  </si>
  <si>
    <t>zǒngcái</t>
  </si>
  <si>
    <t>总计</t>
  </si>
  <si>
    <t>zǒngjì</t>
  </si>
  <si>
    <t>总理</t>
  </si>
  <si>
    <t>zǒnglǐ</t>
  </si>
  <si>
    <t>棕色</t>
  </si>
  <si>
    <t>zōngsè</t>
  </si>
  <si>
    <t>总算</t>
  </si>
  <si>
    <t>zǒngsuàn</t>
  </si>
  <si>
    <t>粽子</t>
  </si>
  <si>
    <t>zòngzi</t>
  </si>
  <si>
    <t>走廊</t>
  </si>
  <si>
    <t>zǒuláng</t>
  </si>
  <si>
    <t>足</t>
  </si>
  <si>
    <t>阻碍</t>
  </si>
  <si>
    <t>zǔ'ài</t>
  </si>
  <si>
    <t>钻</t>
  </si>
  <si>
    <t>zuān</t>
  </si>
  <si>
    <t>阻挡</t>
  </si>
  <si>
    <t>zǔdǎng</t>
  </si>
  <si>
    <t>祖国</t>
  </si>
  <si>
    <t>zǔguó</t>
  </si>
  <si>
    <t>罪</t>
  </si>
  <si>
    <t>祖先</t>
  </si>
  <si>
    <t>zǔxiān</t>
  </si>
  <si>
    <t>足以</t>
  </si>
  <si>
    <t>zúyǐ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</si>
</sst>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Roboto"/>
    </font>
    <font>
      <color theme="1"/>
      <name val="Roboto"/>
    </font>
    <font>
      <sz val="12.0"/>
      <color rgb="FF000000"/>
      <name val="SimSun"/>
    </font>
    <font>
      <u/>
      <sz val="12.0"/>
      <color rgb="FF000000"/>
      <name val="SimSun"/>
    </font>
    <font>
      <sz val="10.0"/>
      <color rgb="FF000000"/>
      <name val="Roboto"/>
    </font>
    <font>
      <color rgb="FF1F1F1F"/>
      <name val="&quot;Google Sans Text&quot;"/>
    </font>
    <font>
      <b/>
      <color rgb="FF1F1F1F"/>
      <name val="&quot;Google Sans Text&quot;"/>
    </font>
    <font>
      <sz val="12.0"/>
      <color rgb="FF000000"/>
      <name val="Arial"/>
    </font>
    <font>
      <sz val="12.0"/>
      <color theme="1"/>
      <name val="Roboto"/>
    </font>
    <font>
      <sz val="12.0"/>
      <color rgb="FF000000"/>
      <name val="Roboto"/>
    </font>
    <font>
      <sz val="21.0"/>
      <color theme="1"/>
      <name val="Arial"/>
      <scheme val="minor"/>
    </font>
    <font>
      <sz val="21.0"/>
      <color rgb="FF000000"/>
      <name val="Roboto"/>
    </font>
    <font>
      <sz val="21.0"/>
      <color rgb="FF000000"/>
      <name val="SimSun"/>
    </font>
    <font>
      <color rgb="FF5F6368"/>
      <name val="Arial"/>
      <scheme val="minor"/>
    </font>
    <font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3" fontId="14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4" fontId="16" numFmtId="0" xfId="0" applyAlignment="1" applyFill="1" applyFont="1">
      <alignment shrinkToFit="0" wrapText="1"/>
    </xf>
    <xf borderId="0" fillId="0" fontId="1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  <tableStyles count="7">
    <tableStyle count="4" pivot="0" name="HSK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K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K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K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K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ành ngữ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k 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01" displayName="HSK_1_300_từ" name="HSK_1_300_từ" id="1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" id="8"/>
    <tableColumn name="Check" id="9"/>
    <tableColumn name="Ôn tập nghĩa" id="10"/>
    <tableColumn name="Check 2" id="11"/>
  </tableColumns>
  <tableStyleInfo name="HSK 1-style" showColumnStripes="0" showFirstColumn="1" showLastColumn="1" showRowStripes="1"/>
</table>
</file>

<file path=xl/tables/table2.xml><?xml version="1.0" encoding="utf-8"?>
<table xmlns="http://schemas.openxmlformats.org/spreadsheetml/2006/main" ref="A1:K202" displayName="HSK_2_500_từ" name="HSK_2_500_từ" id="2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" id="8"/>
    <tableColumn name="Check" id="9"/>
    <tableColumn name="Ôn tập nghĩa" id="10"/>
    <tableColumn name="Check 2" id="11"/>
  </tableColumns>
  <tableStyleInfo name="HSK 2-style" showColumnStripes="0" showFirstColumn="1" showLastColumn="1" showRowStripes="1"/>
</table>
</file>

<file path=xl/tables/table3.xml><?xml version="1.0" encoding="utf-8"?>
<table xmlns="http://schemas.openxmlformats.org/spreadsheetml/2006/main" ref="A1:K502" displayName="HSK_3_1000_từ" name="HSK_3_1000_từ" id="3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" id="8"/>
    <tableColumn name="Check" id="9"/>
    <tableColumn name="Ôn tập nghĩa" id="10"/>
    <tableColumn name="Check 2" id="11"/>
  </tableColumns>
  <tableStyleInfo name="HSK 3-style" showColumnStripes="0" showFirstColumn="1" showLastColumn="1" showRowStripes="1"/>
</table>
</file>

<file path=xl/tables/table4.xml><?xml version="1.0" encoding="utf-8"?>
<table xmlns="http://schemas.openxmlformats.org/spreadsheetml/2006/main" ref="A1:K1002" displayName="HSK_4_2000_từ" name="HSK_4_2000_từ" id="4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 " id="8"/>
    <tableColumn name="Check" id="9"/>
    <tableColumn name="Ôn tập nghĩa" id="10"/>
    <tableColumn name="Check 2" id="11"/>
  </tableColumns>
  <tableStyleInfo name="HSK 4-style" showColumnStripes="0" showFirstColumn="1" showLastColumn="1" showRowStripes="1"/>
</table>
</file>

<file path=xl/tables/table5.xml><?xml version="1.0" encoding="utf-8"?>
<table xmlns="http://schemas.openxmlformats.org/spreadsheetml/2006/main" ref="A1:K1602" displayName="HSK_5_3600_từ" name="HSK_5_3600_từ" id="5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" id="8"/>
    <tableColumn name="Check" id="9"/>
    <tableColumn name="Ôn tập nghĩa" id="10"/>
    <tableColumn name="Check 2" id="11"/>
  </tableColumns>
  <tableStyleInfo name="HSK 5-style" showColumnStripes="0" showFirstColumn="1" showLastColumn="1" showRowStripes="1"/>
</table>
</file>

<file path=xl/tables/table6.xml><?xml version="1.0" encoding="utf-8"?>
<table xmlns="http://schemas.openxmlformats.org/spreadsheetml/2006/main" headerRowCount="0" ref="A1:K1" displayName="Bảng_1" name="Bảng_1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hành ngữ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K1802" displayName="HSK_5_5400_từ" name="HSK_5_5400_từ" id="7">
  <tableColumns count="11">
    <tableColumn name="STT" id="1"/>
    <tableColumn name="Từ vựng" id="2"/>
    <tableColumn name="Nghe mẫu" id="3"/>
    <tableColumn name="Pinyin" id="4"/>
    <tableColumn name="Loại" id="5"/>
    <tableColumn name="Nghĩa" id="6"/>
    <tableColumn name="Mẹo nhớ từ" id="7"/>
    <tableColumn name="Ôn tập từ vựng" id="8"/>
    <tableColumn name="Check" id="9"/>
    <tableColumn name="Ôn tập nghĩa" id="10"/>
    <tableColumn name="Check 2" id="11"/>
  </tableColumns>
  <tableStyleInfo name="HSk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3" width="10.38"/>
    <col customWidth="1" min="4" max="4" width="17.13"/>
    <col customWidth="1" min="5" max="5" width="21.88"/>
    <col customWidth="1" min="6" max="6" width="17.75"/>
    <col customWidth="1" min="7" max="7" width="43.88"/>
    <col customWidth="1" min="8" max="8" width="16.5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.5" customHeight="1">
      <c r="A2" s="5">
        <v>1.0</v>
      </c>
      <c r="B2" s="6" t="s">
        <v>11</v>
      </c>
      <c r="C2" s="7" t="str">
        <f t="shared" ref="C2:C301" si="1">HYPERLINK("https://translate.google.com/translate_tts?ie=UTF-8&amp;client=tw-ob&amp;tl=zh-CN&amp;q="&amp;ENCODEURL(B2),"🔊")</f>
        <v>🔊</v>
      </c>
      <c r="D2" s="8" t="s">
        <v>12</v>
      </c>
      <c r="E2" s="6" t="s">
        <v>13</v>
      </c>
      <c r="F2" s="9" t="s">
        <v>14</v>
      </c>
      <c r="G2" s="10" t="s">
        <v>15</v>
      </c>
      <c r="H2" s="6" t="s">
        <v>11</v>
      </c>
      <c r="I2" s="11" t="b">
        <f t="shared" ref="I2:I301" si="2">H2=B2</f>
        <v>1</v>
      </c>
      <c r="J2" s="6"/>
      <c r="K2" s="11" t="b">
        <f t="shared" ref="K2:K301" si="3">J2=F2</f>
        <v>0</v>
      </c>
    </row>
    <row r="3" ht="22.5" customHeight="1">
      <c r="A3" s="12">
        <f t="shared" ref="A3:A301" si="4">A2+1</f>
        <v>2</v>
      </c>
      <c r="B3" s="6" t="s">
        <v>16</v>
      </c>
      <c r="C3" s="7" t="str">
        <f t="shared" si="1"/>
        <v>🔊</v>
      </c>
      <c r="D3" s="8" t="s">
        <v>17</v>
      </c>
      <c r="E3" s="6" t="s">
        <v>18</v>
      </c>
      <c r="F3" s="9" t="s">
        <v>19</v>
      </c>
      <c r="G3" s="10" t="s">
        <v>20</v>
      </c>
      <c r="H3" s="6" t="s">
        <v>16</v>
      </c>
      <c r="I3" s="11" t="b">
        <f t="shared" si="2"/>
        <v>1</v>
      </c>
      <c r="J3" s="6"/>
      <c r="K3" s="11" t="b">
        <f t="shared" si="3"/>
        <v>0</v>
      </c>
    </row>
    <row r="4" ht="22.5" customHeight="1">
      <c r="A4" s="12">
        <f t="shared" si="4"/>
        <v>3</v>
      </c>
      <c r="B4" s="6" t="s">
        <v>21</v>
      </c>
      <c r="C4" s="7" t="str">
        <f t="shared" si="1"/>
        <v>🔊</v>
      </c>
      <c r="D4" s="8" t="s">
        <v>22</v>
      </c>
      <c r="E4" s="6" t="s">
        <v>23</v>
      </c>
      <c r="F4" s="13" t="str">
        <f>IFERROR(__xludf.DUMMYFUNCTION("GOOGLETRANSLATE(B4,""zh_cn"",""vi"")"),"tám")</f>
        <v>tám</v>
      </c>
      <c r="G4" s="10" t="s">
        <v>24</v>
      </c>
      <c r="H4" s="6" t="s">
        <v>21</v>
      </c>
      <c r="I4" s="11" t="b">
        <f t="shared" si="2"/>
        <v>1</v>
      </c>
      <c r="J4" s="6"/>
      <c r="K4" s="11" t="b">
        <f t="shared" si="3"/>
        <v>0</v>
      </c>
    </row>
    <row r="5" ht="22.5" customHeight="1">
      <c r="A5" s="12">
        <f t="shared" si="4"/>
        <v>4</v>
      </c>
      <c r="B5" s="6" t="s">
        <v>25</v>
      </c>
      <c r="C5" s="7" t="str">
        <f t="shared" si="1"/>
        <v>🔊</v>
      </c>
      <c r="D5" s="8" t="s">
        <v>26</v>
      </c>
      <c r="E5" s="6" t="s">
        <v>27</v>
      </c>
      <c r="F5" s="13" t="str">
        <f>IFERROR(__xludf.DUMMYFUNCTION("GOOGLETRANSLATE(B5,""zh_cn"",""vi"")"),"bố")</f>
        <v>bố</v>
      </c>
      <c r="G5" s="10" t="s">
        <v>28</v>
      </c>
      <c r="H5" s="6" t="s">
        <v>25</v>
      </c>
      <c r="I5" s="11" t="b">
        <f t="shared" si="2"/>
        <v>1</v>
      </c>
      <c r="J5" s="6"/>
      <c r="K5" s="11" t="b">
        <f t="shared" si="3"/>
        <v>0</v>
      </c>
    </row>
    <row r="6" ht="22.5" customHeight="1">
      <c r="A6" s="12">
        <f t="shared" si="4"/>
        <v>5</v>
      </c>
      <c r="B6" s="6" t="s">
        <v>29</v>
      </c>
      <c r="C6" s="7" t="str">
        <f t="shared" si="1"/>
        <v>🔊</v>
      </c>
      <c r="D6" s="8" t="s">
        <v>30</v>
      </c>
      <c r="E6" s="6" t="s">
        <v>23</v>
      </c>
      <c r="F6" s="13" t="str">
        <f>IFERROR(__xludf.DUMMYFUNCTION("GOOGLETRANSLATE(B6,""zh_cn"",""vi"")"),"Một trăm")</f>
        <v>Một trăm</v>
      </c>
      <c r="G6" s="10" t="s">
        <v>31</v>
      </c>
      <c r="H6" s="5" t="s">
        <v>29</v>
      </c>
      <c r="I6" s="11" t="b">
        <f t="shared" si="2"/>
        <v>1</v>
      </c>
      <c r="K6" s="11" t="b">
        <f t="shared" si="3"/>
        <v>0</v>
      </c>
    </row>
    <row r="7" ht="22.5" customHeight="1">
      <c r="A7" s="12">
        <f t="shared" si="4"/>
        <v>6</v>
      </c>
      <c r="B7" s="6" t="s">
        <v>32</v>
      </c>
      <c r="C7" s="7" t="str">
        <f t="shared" si="1"/>
        <v>🔊</v>
      </c>
      <c r="D7" s="8" t="s">
        <v>33</v>
      </c>
      <c r="E7" s="6" t="s">
        <v>27</v>
      </c>
      <c r="F7" s="13" t="str">
        <f>IFERROR(__xludf.DUMMYFUNCTION("GOOGLETRANSLATE(B7,""zh_cn"",""vi"")"),"ban ngày")</f>
        <v>ban ngày</v>
      </c>
      <c r="G7" s="10" t="s">
        <v>34</v>
      </c>
      <c r="H7" s="5" t="s">
        <v>32</v>
      </c>
      <c r="I7" s="11" t="b">
        <f t="shared" si="2"/>
        <v>1</v>
      </c>
      <c r="K7" s="11" t="b">
        <f t="shared" si="3"/>
        <v>0</v>
      </c>
    </row>
    <row r="8" ht="22.5" customHeight="1">
      <c r="A8" s="12">
        <f t="shared" si="4"/>
        <v>7</v>
      </c>
      <c r="B8" s="6" t="s">
        <v>35</v>
      </c>
      <c r="C8" s="7" t="str">
        <f t="shared" si="1"/>
        <v>🔊</v>
      </c>
      <c r="D8" s="8" t="s">
        <v>36</v>
      </c>
      <c r="E8" s="6" t="s">
        <v>37</v>
      </c>
      <c r="F8" s="13" t="str">
        <f>IFERROR(__xludf.DUMMYFUNCTION("GOOGLETRANSLATE(B8,""zh_cn"",""vi"")"),"Một nửa")</f>
        <v>Một nửa</v>
      </c>
      <c r="G8" s="10" t="s">
        <v>38</v>
      </c>
      <c r="H8" s="5" t="s">
        <v>35</v>
      </c>
      <c r="I8" s="11" t="b">
        <f t="shared" si="2"/>
        <v>1</v>
      </c>
      <c r="K8" s="11" t="b">
        <f t="shared" si="3"/>
        <v>0</v>
      </c>
    </row>
    <row r="9" ht="22.5" customHeight="1">
      <c r="A9" s="12">
        <f t="shared" si="4"/>
        <v>8</v>
      </c>
      <c r="B9" s="6" t="s">
        <v>39</v>
      </c>
      <c r="C9" s="7" t="str">
        <f t="shared" si="1"/>
        <v>🔊</v>
      </c>
      <c r="D9" s="8" t="s">
        <v>40</v>
      </c>
      <c r="E9" s="6" t="s">
        <v>27</v>
      </c>
      <c r="F9" s="13" t="str">
        <f>IFERROR(__xludf.DUMMYFUNCTION("GOOGLETRANSLATE(B9,""zh_cn"",""vi"")"),"bánh bao hấp nhân")</f>
        <v>bánh bao hấp nhân</v>
      </c>
      <c r="G9" s="10" t="s">
        <v>41</v>
      </c>
      <c r="H9" s="5" t="s">
        <v>39</v>
      </c>
      <c r="I9" s="11" t="b">
        <f t="shared" si="2"/>
        <v>1</v>
      </c>
      <c r="K9" s="11" t="b">
        <f t="shared" si="3"/>
        <v>0</v>
      </c>
    </row>
    <row r="10" ht="22.5" customHeight="1">
      <c r="A10" s="12">
        <f t="shared" si="4"/>
        <v>9</v>
      </c>
      <c r="B10" s="6" t="s">
        <v>42</v>
      </c>
      <c r="C10" s="7" t="str">
        <f t="shared" si="1"/>
        <v>🔊</v>
      </c>
      <c r="D10" s="8" t="s">
        <v>43</v>
      </c>
      <c r="E10" s="6" t="s">
        <v>27</v>
      </c>
      <c r="F10" s="13" t="str">
        <f>IFERROR(__xludf.DUMMYFUNCTION("GOOGLETRANSLATE(B10,""zh_cn"",""vi"")"),"tách")</f>
        <v>tách</v>
      </c>
      <c r="G10" s="10" t="s">
        <v>44</v>
      </c>
      <c r="H10" s="5" t="s">
        <v>42</v>
      </c>
      <c r="I10" s="11" t="b">
        <f t="shared" si="2"/>
        <v>1</v>
      </c>
      <c r="K10" s="11" t="b">
        <f t="shared" si="3"/>
        <v>0</v>
      </c>
    </row>
    <row r="11" ht="22.5" customHeight="1">
      <c r="A11" s="12">
        <f t="shared" si="4"/>
        <v>10</v>
      </c>
      <c r="B11" s="6" t="s">
        <v>45</v>
      </c>
      <c r="C11" s="7" t="str">
        <f t="shared" si="1"/>
        <v>🔊</v>
      </c>
      <c r="D11" s="8" t="s">
        <v>46</v>
      </c>
      <c r="E11" s="6" t="s">
        <v>47</v>
      </c>
      <c r="F11" s="9" t="s">
        <v>48</v>
      </c>
      <c r="G11" s="10" t="s">
        <v>49</v>
      </c>
      <c r="H11" s="5" t="s">
        <v>45</v>
      </c>
      <c r="I11" s="11" t="b">
        <f t="shared" si="2"/>
        <v>1</v>
      </c>
      <c r="K11" s="11" t="b">
        <f t="shared" si="3"/>
        <v>0</v>
      </c>
    </row>
    <row r="12" ht="22.5" customHeight="1">
      <c r="A12" s="12">
        <f t="shared" si="4"/>
        <v>11</v>
      </c>
      <c r="B12" s="6" t="s">
        <v>50</v>
      </c>
      <c r="C12" s="7" t="str">
        <f t="shared" si="1"/>
        <v>🔊</v>
      </c>
      <c r="D12" s="8" t="s">
        <v>51</v>
      </c>
      <c r="E12" s="6" t="s">
        <v>52</v>
      </c>
      <c r="F12" s="5" t="s">
        <v>53</v>
      </c>
      <c r="G12" s="10" t="s">
        <v>54</v>
      </c>
      <c r="H12" s="5" t="s">
        <v>50</v>
      </c>
      <c r="I12" s="11" t="b">
        <f t="shared" si="2"/>
        <v>1</v>
      </c>
      <c r="K12" s="11" t="b">
        <f t="shared" si="3"/>
        <v>0</v>
      </c>
    </row>
    <row r="13" ht="22.5" customHeight="1">
      <c r="A13" s="12">
        <f t="shared" si="4"/>
        <v>12</v>
      </c>
      <c r="B13" s="6" t="s">
        <v>55</v>
      </c>
      <c r="C13" s="7" t="str">
        <f t="shared" si="1"/>
        <v>🔊</v>
      </c>
      <c r="D13" s="8" t="s">
        <v>56</v>
      </c>
      <c r="E13" s="6" t="s">
        <v>57</v>
      </c>
      <c r="F13" s="13" t="str">
        <f>IFERROR(__xludf.DUMMYFUNCTION("GOOGLETRANSLATE(B13,""zh_cn"",""vi"")"),"đau ốm")</f>
        <v>đau ốm</v>
      </c>
      <c r="G13" s="10" t="s">
        <v>58</v>
      </c>
      <c r="H13" s="5" t="s">
        <v>55</v>
      </c>
      <c r="I13" s="11" t="b">
        <f t="shared" si="2"/>
        <v>1</v>
      </c>
      <c r="K13" s="11" t="b">
        <f t="shared" si="3"/>
        <v>0</v>
      </c>
    </row>
    <row r="14" ht="22.5" customHeight="1">
      <c r="A14" s="12">
        <f t="shared" si="4"/>
        <v>13</v>
      </c>
      <c r="B14" s="6" t="s">
        <v>59</v>
      </c>
      <c r="C14" s="7" t="str">
        <f t="shared" si="1"/>
        <v>🔊</v>
      </c>
      <c r="D14" s="8" t="s">
        <v>60</v>
      </c>
      <c r="E14" s="6" t="s">
        <v>61</v>
      </c>
      <c r="F14" s="13" t="str">
        <f>IFERROR(__xludf.DUMMYFUNCTION("GOOGLETRANSLATE(B14,""zh_cn"",""vi"")"),"KHÔNG")</f>
        <v>KHÔNG</v>
      </c>
      <c r="G14" s="10" t="s">
        <v>62</v>
      </c>
      <c r="H14" s="5" t="s">
        <v>59</v>
      </c>
      <c r="I14" s="11" t="b">
        <f t="shared" si="2"/>
        <v>1</v>
      </c>
      <c r="K14" s="11" t="b">
        <f t="shared" si="3"/>
        <v>0</v>
      </c>
    </row>
    <row r="15" ht="22.5" customHeight="1">
      <c r="A15" s="12">
        <f t="shared" si="4"/>
        <v>14</v>
      </c>
      <c r="B15" s="6" t="s">
        <v>63</v>
      </c>
      <c r="C15" s="7" t="str">
        <f t="shared" si="1"/>
        <v>🔊</v>
      </c>
      <c r="D15" s="8" t="s">
        <v>64</v>
      </c>
      <c r="E15" s="12"/>
      <c r="F15" s="9" t="s">
        <v>65</v>
      </c>
      <c r="G15" s="10" t="s">
        <v>66</v>
      </c>
      <c r="H15" s="5" t="s">
        <v>63</v>
      </c>
      <c r="I15" s="11" t="b">
        <f t="shared" si="2"/>
        <v>1</v>
      </c>
      <c r="K15" s="11" t="b">
        <f t="shared" si="3"/>
        <v>0</v>
      </c>
    </row>
    <row r="16" ht="22.5" customHeight="1">
      <c r="A16" s="12">
        <f t="shared" si="4"/>
        <v>15</v>
      </c>
      <c r="B16" s="6" t="s">
        <v>67</v>
      </c>
      <c r="C16" s="7" t="str">
        <f t="shared" si="1"/>
        <v>🔊</v>
      </c>
      <c r="D16" s="8" t="s">
        <v>68</v>
      </c>
      <c r="E16" s="6" t="s">
        <v>61</v>
      </c>
      <c r="F16" s="9" t="s">
        <v>69</v>
      </c>
      <c r="G16" s="10" t="s">
        <v>70</v>
      </c>
      <c r="H16" s="5" t="s">
        <v>67</v>
      </c>
      <c r="I16" s="11" t="b">
        <f t="shared" si="2"/>
        <v>1</v>
      </c>
      <c r="K16" s="11" t="b">
        <f t="shared" si="3"/>
        <v>0</v>
      </c>
    </row>
    <row r="17" ht="22.5" customHeight="1">
      <c r="A17" s="12">
        <f t="shared" si="4"/>
        <v>16</v>
      </c>
      <c r="B17" s="6" t="s">
        <v>71</v>
      </c>
      <c r="C17" s="7" t="str">
        <f t="shared" si="1"/>
        <v>🔊</v>
      </c>
      <c r="D17" s="8" t="s">
        <v>72</v>
      </c>
      <c r="E17" s="6" t="s">
        <v>27</v>
      </c>
      <c r="F17" s="13" t="str">
        <f>IFERROR(__xludf.DUMMYFUNCTION("GOOGLETRANSLATE(B17,""zh_cn"",""vi"")"),"rau quả")</f>
        <v>rau quả</v>
      </c>
      <c r="G17" s="10" t="s">
        <v>73</v>
      </c>
      <c r="H17" s="5" t="s">
        <v>71</v>
      </c>
      <c r="I17" s="11" t="b">
        <f t="shared" si="2"/>
        <v>1</v>
      </c>
      <c r="K17" s="11" t="b">
        <f t="shared" si="3"/>
        <v>0</v>
      </c>
    </row>
    <row r="18" ht="22.5" customHeight="1">
      <c r="A18" s="12">
        <f t="shared" si="4"/>
        <v>17</v>
      </c>
      <c r="B18" s="6" t="s">
        <v>74</v>
      </c>
      <c r="C18" s="7" t="str">
        <f t="shared" si="1"/>
        <v>🔊</v>
      </c>
      <c r="D18" s="8" t="s">
        <v>75</v>
      </c>
      <c r="E18" s="6" t="s">
        <v>27</v>
      </c>
      <c r="F18" s="13" t="str">
        <f>IFERROR(__xludf.DUMMYFUNCTION("GOOGLETRANSLATE(B18,""zh_cn"",""vi"")"),"Trà")</f>
        <v>Trà</v>
      </c>
      <c r="G18" s="10" t="s">
        <v>76</v>
      </c>
      <c r="H18" s="5" t="s">
        <v>74</v>
      </c>
      <c r="I18" s="11" t="b">
        <f t="shared" si="2"/>
        <v>1</v>
      </c>
      <c r="K18" s="11" t="b">
        <f t="shared" si="3"/>
        <v>0</v>
      </c>
    </row>
    <row r="19" ht="22.5" customHeight="1">
      <c r="A19" s="12">
        <f t="shared" si="4"/>
        <v>18</v>
      </c>
      <c r="B19" s="6" t="s">
        <v>77</v>
      </c>
      <c r="C19" s="7" t="str">
        <f t="shared" si="1"/>
        <v>🔊</v>
      </c>
      <c r="D19" s="8" t="s">
        <v>78</v>
      </c>
      <c r="E19" s="6" t="s">
        <v>13</v>
      </c>
      <c r="F19" s="13" t="str">
        <f>IFERROR(__xludf.DUMMYFUNCTION("GOOGLETRANSLATE(B19,""zh_cn"",""vi"")"),"Hát")</f>
        <v>Hát</v>
      </c>
      <c r="G19" s="10" t="s">
        <v>79</v>
      </c>
      <c r="H19" s="5" t="s">
        <v>77</v>
      </c>
      <c r="I19" s="11" t="b">
        <f t="shared" si="2"/>
        <v>1</v>
      </c>
      <c r="K19" s="11" t="b">
        <f t="shared" si="3"/>
        <v>0</v>
      </c>
    </row>
    <row r="20" ht="22.5" customHeight="1">
      <c r="A20" s="12">
        <f t="shared" si="4"/>
        <v>19</v>
      </c>
      <c r="B20" s="6" t="s">
        <v>80</v>
      </c>
      <c r="C20" s="7" t="str">
        <f t="shared" si="1"/>
        <v>🔊</v>
      </c>
      <c r="D20" s="8" t="s">
        <v>81</v>
      </c>
      <c r="E20" s="6" t="s">
        <v>27</v>
      </c>
      <c r="F20" s="13" t="str">
        <f>IFERROR(__xludf.DUMMYFUNCTION("GOOGLETRANSLATE(B20,""zh_cn"",""vi"")"),"siêu thị")</f>
        <v>siêu thị</v>
      </c>
      <c r="G20" s="10" t="s">
        <v>82</v>
      </c>
      <c r="H20" s="5" t="s">
        <v>80</v>
      </c>
      <c r="I20" s="11" t="b">
        <f t="shared" si="2"/>
        <v>1</v>
      </c>
      <c r="K20" s="11" t="b">
        <f t="shared" si="3"/>
        <v>0</v>
      </c>
    </row>
    <row r="21" ht="22.5" customHeight="1">
      <c r="A21" s="12">
        <f t="shared" si="4"/>
        <v>20</v>
      </c>
      <c r="B21" s="6" t="s">
        <v>83</v>
      </c>
      <c r="C21" s="7" t="str">
        <f t="shared" si="1"/>
        <v>🔊</v>
      </c>
      <c r="D21" s="8" t="s">
        <v>84</v>
      </c>
      <c r="E21" s="6" t="s">
        <v>27</v>
      </c>
      <c r="F21" s="9" t="s">
        <v>85</v>
      </c>
      <c r="G21" s="10" t="s">
        <v>86</v>
      </c>
      <c r="H21" s="5" t="s">
        <v>83</v>
      </c>
      <c r="I21" s="11" t="b">
        <f t="shared" si="2"/>
        <v>1</v>
      </c>
      <c r="K21" s="11" t="b">
        <f t="shared" si="3"/>
        <v>0</v>
      </c>
    </row>
    <row r="22" ht="22.5" customHeight="1">
      <c r="A22" s="12">
        <f t="shared" si="4"/>
        <v>21</v>
      </c>
      <c r="B22" s="6" t="s">
        <v>87</v>
      </c>
      <c r="C22" s="7" t="str">
        <f t="shared" si="1"/>
        <v>🔊</v>
      </c>
      <c r="D22" s="8" t="s">
        <v>88</v>
      </c>
      <c r="E22" s="6" t="s">
        <v>13</v>
      </c>
      <c r="F22" s="13" t="str">
        <f>IFERROR(__xludf.DUMMYFUNCTION("GOOGLETRANSLATE(B22,""zh_cn"",""vi"")"),"ăn")</f>
        <v>ăn</v>
      </c>
      <c r="G22" s="10" t="s">
        <v>89</v>
      </c>
      <c r="H22" s="5" t="s">
        <v>87</v>
      </c>
      <c r="I22" s="11" t="b">
        <f t="shared" si="2"/>
        <v>1</v>
      </c>
      <c r="K22" s="11" t="b">
        <f t="shared" si="3"/>
        <v>0</v>
      </c>
    </row>
    <row r="23" ht="22.5" customHeight="1">
      <c r="A23" s="12">
        <f t="shared" si="4"/>
        <v>22</v>
      </c>
      <c r="B23" s="6" t="s">
        <v>90</v>
      </c>
      <c r="C23" s="7" t="str">
        <f t="shared" si="1"/>
        <v>🔊</v>
      </c>
      <c r="D23" s="8" t="s">
        <v>91</v>
      </c>
      <c r="E23" s="6" t="s">
        <v>13</v>
      </c>
      <c r="F23" s="9" t="s">
        <v>92</v>
      </c>
      <c r="G23" s="10" t="s">
        <v>93</v>
      </c>
      <c r="H23" s="5" t="s">
        <v>90</v>
      </c>
      <c r="I23" s="11" t="b">
        <f t="shared" si="2"/>
        <v>1</v>
      </c>
      <c r="K23" s="11" t="b">
        <f t="shared" si="3"/>
        <v>0</v>
      </c>
    </row>
    <row r="24" ht="22.5" customHeight="1">
      <c r="A24" s="12">
        <f t="shared" si="4"/>
        <v>23</v>
      </c>
      <c r="B24" s="6" t="s">
        <v>94</v>
      </c>
      <c r="C24" s="7" t="str">
        <f t="shared" si="1"/>
        <v>🔊</v>
      </c>
      <c r="D24" s="8" t="s">
        <v>95</v>
      </c>
      <c r="E24" s="6" t="s">
        <v>27</v>
      </c>
      <c r="F24" s="13" t="str">
        <f>IFERROR(__xludf.DUMMYFUNCTION("GOOGLETRANSLATE(B24,""zh_cn"",""vi"")"),"Taxi")</f>
        <v>Taxi</v>
      </c>
      <c r="G24" s="10" t="s">
        <v>96</v>
      </c>
      <c r="H24" s="5" t="s">
        <v>94</v>
      </c>
      <c r="I24" s="11" t="b">
        <f t="shared" si="2"/>
        <v>1</v>
      </c>
      <c r="K24" s="11" t="b">
        <f t="shared" si="3"/>
        <v>0</v>
      </c>
    </row>
    <row r="25" ht="22.5" customHeight="1">
      <c r="A25" s="12">
        <f t="shared" si="4"/>
        <v>24</v>
      </c>
      <c r="B25" s="6" t="s">
        <v>97</v>
      </c>
      <c r="C25" s="7" t="str">
        <f t="shared" si="1"/>
        <v>🔊</v>
      </c>
      <c r="D25" s="8" t="s">
        <v>98</v>
      </c>
      <c r="E25" s="6" t="s">
        <v>99</v>
      </c>
      <c r="F25" s="13" t="str">
        <f>IFERROR(__xludf.DUMMYFUNCTION("GOOGLETRANSLATE(B25,""zh_cn"",""vi"")"),"to lớn")</f>
        <v>to lớn</v>
      </c>
      <c r="G25" s="10" t="s">
        <v>100</v>
      </c>
      <c r="H25" s="5" t="s">
        <v>97</v>
      </c>
      <c r="I25" s="11" t="b">
        <f t="shared" si="2"/>
        <v>1</v>
      </c>
      <c r="K25" s="11" t="b">
        <f t="shared" si="3"/>
        <v>0</v>
      </c>
    </row>
    <row r="26" ht="22.5" customHeight="1">
      <c r="A26" s="12">
        <f t="shared" si="4"/>
        <v>25</v>
      </c>
      <c r="B26" s="6" t="s">
        <v>101</v>
      </c>
      <c r="C26" s="7" t="str">
        <f t="shared" si="1"/>
        <v>🔊</v>
      </c>
      <c r="D26" s="8" t="s">
        <v>102</v>
      </c>
      <c r="E26" s="12"/>
      <c r="F26" s="13" t="str">
        <f>IFERROR(__xludf.DUMMYFUNCTION("GOOGLETRANSLATE(B26,""zh_cn"",""vi"")"),"Gọi điện")</f>
        <v>Gọi điện</v>
      </c>
      <c r="G26" s="10" t="s">
        <v>103</v>
      </c>
      <c r="H26" s="5" t="s">
        <v>101</v>
      </c>
      <c r="I26" s="11" t="b">
        <f t="shared" si="2"/>
        <v>1</v>
      </c>
      <c r="K26" s="11" t="b">
        <f t="shared" si="3"/>
        <v>0</v>
      </c>
    </row>
    <row r="27" ht="22.5" customHeight="1">
      <c r="A27" s="12">
        <f t="shared" si="4"/>
        <v>26</v>
      </c>
      <c r="B27" s="6" t="s">
        <v>104</v>
      </c>
      <c r="C27" s="7" t="str">
        <f t="shared" si="1"/>
        <v>🔊</v>
      </c>
      <c r="D27" s="8" t="s">
        <v>105</v>
      </c>
      <c r="E27" s="6" t="s">
        <v>106</v>
      </c>
      <c r="F27" s="13" t="str">
        <f>IFERROR(__xludf.DUMMYFUNCTION("GOOGLETRANSLATE(B27,""zh_cn"",""vi"")"),"Mọi người")</f>
        <v>Mọi người</v>
      </c>
      <c r="G27" s="10" t="s">
        <v>107</v>
      </c>
      <c r="H27" s="5" t="s">
        <v>104</v>
      </c>
      <c r="I27" s="11" t="b">
        <f t="shared" si="2"/>
        <v>1</v>
      </c>
      <c r="K27" s="11" t="b">
        <f t="shared" si="3"/>
        <v>0</v>
      </c>
    </row>
    <row r="28" ht="22.5" customHeight="1">
      <c r="A28" s="12">
        <f t="shared" si="4"/>
        <v>27</v>
      </c>
      <c r="B28" s="6" t="s">
        <v>108</v>
      </c>
      <c r="C28" s="7" t="str">
        <f t="shared" si="1"/>
        <v>🔊</v>
      </c>
      <c r="D28" s="8" t="s">
        <v>109</v>
      </c>
      <c r="E28" s="6" t="s">
        <v>13</v>
      </c>
      <c r="F28" s="13" t="str">
        <f>IFERROR(__xludf.DUMMYFUNCTION("GOOGLETRANSLATE(B28,""zh_cn"",""vi"")"),"đến")</f>
        <v>đến</v>
      </c>
      <c r="G28" s="10" t="s">
        <v>110</v>
      </c>
      <c r="H28" s="5" t="s">
        <v>108</v>
      </c>
      <c r="I28" s="11" t="b">
        <f t="shared" si="2"/>
        <v>1</v>
      </c>
      <c r="K28" s="11" t="b">
        <f t="shared" si="3"/>
        <v>0</v>
      </c>
    </row>
    <row r="29" ht="22.5" customHeight="1">
      <c r="A29" s="12">
        <f t="shared" si="4"/>
        <v>28</v>
      </c>
      <c r="B29" s="6" t="s">
        <v>111</v>
      </c>
      <c r="C29" s="7" t="str">
        <f t="shared" si="1"/>
        <v>🔊</v>
      </c>
      <c r="D29" s="8" t="s">
        <v>112</v>
      </c>
      <c r="E29" s="6" t="s">
        <v>27</v>
      </c>
      <c r="F29" s="13" t="str">
        <f>IFERROR(__xludf.DUMMYFUNCTION("GOOGLETRANSLATE(B29,""zh_cn"",""vi"")"),"Trường đại học")</f>
        <v>Trường đại học</v>
      </c>
      <c r="G29" s="10" t="s">
        <v>113</v>
      </c>
      <c r="H29" s="5" t="s">
        <v>111</v>
      </c>
      <c r="I29" s="11" t="b">
        <f t="shared" si="2"/>
        <v>1</v>
      </c>
      <c r="K29" s="11" t="b">
        <f t="shared" si="3"/>
        <v>0</v>
      </c>
    </row>
    <row r="30" ht="22.5" customHeight="1">
      <c r="A30" s="12">
        <f t="shared" si="4"/>
        <v>29</v>
      </c>
      <c r="B30" s="6" t="s">
        <v>114</v>
      </c>
      <c r="C30" s="7" t="str">
        <f t="shared" si="1"/>
        <v>🔊</v>
      </c>
      <c r="D30" s="8" t="s">
        <v>115</v>
      </c>
      <c r="E30" s="6" t="s">
        <v>27</v>
      </c>
      <c r="F30" s="13" t="str">
        <f>IFERROR(__xludf.DUMMYFUNCTION("GOOGLETRANSLATE(B30,""zh_cn"",""vi"")"),"sinh viên đại học")</f>
        <v>sinh viên đại học</v>
      </c>
      <c r="G30" s="10" t="s">
        <v>116</v>
      </c>
      <c r="H30" s="5" t="s">
        <v>114</v>
      </c>
      <c r="I30" s="11" t="b">
        <f t="shared" si="2"/>
        <v>1</v>
      </c>
      <c r="K30" s="11" t="b">
        <f t="shared" si="3"/>
        <v>0</v>
      </c>
    </row>
    <row r="31" ht="22.5" customHeight="1">
      <c r="A31" s="12">
        <f t="shared" si="4"/>
        <v>30</v>
      </c>
      <c r="B31" s="6" t="s">
        <v>117</v>
      </c>
      <c r="C31" s="7" t="str">
        <f t="shared" si="1"/>
        <v>🔊</v>
      </c>
      <c r="D31" s="8" t="s">
        <v>118</v>
      </c>
      <c r="E31" s="6" t="s">
        <v>18</v>
      </c>
      <c r="F31" s="13" t="str">
        <f>IFERROR(__xludf.DUMMYFUNCTION("GOOGLETRANSLATE(B31,""zh_cn"",""vi"")"),"của")</f>
        <v>của</v>
      </c>
      <c r="G31" s="10" t="s">
        <v>119</v>
      </c>
      <c r="H31" s="5" t="s">
        <v>117</v>
      </c>
      <c r="I31" s="11" t="b">
        <f t="shared" si="2"/>
        <v>1</v>
      </c>
      <c r="K31" s="11" t="b">
        <f t="shared" si="3"/>
        <v>0</v>
      </c>
    </row>
    <row r="32" ht="22.5" customHeight="1">
      <c r="A32" s="12">
        <f t="shared" si="4"/>
        <v>31</v>
      </c>
      <c r="B32" s="6" t="s">
        <v>120</v>
      </c>
      <c r="C32" s="7" t="str">
        <f t="shared" si="1"/>
        <v>🔊</v>
      </c>
      <c r="D32" s="8" t="s">
        <v>121</v>
      </c>
      <c r="E32" s="6" t="s">
        <v>122</v>
      </c>
      <c r="F32" s="9" t="s">
        <v>123</v>
      </c>
      <c r="G32" s="10" t="s">
        <v>124</v>
      </c>
      <c r="H32" s="5" t="s">
        <v>120</v>
      </c>
      <c r="I32" s="11" t="b">
        <f t="shared" si="2"/>
        <v>1</v>
      </c>
      <c r="K32" s="11" t="b">
        <f t="shared" si="3"/>
        <v>0</v>
      </c>
    </row>
    <row r="33" ht="22.5" customHeight="1">
      <c r="A33" s="12">
        <f t="shared" si="4"/>
        <v>32</v>
      </c>
      <c r="B33" s="6" t="s">
        <v>125</v>
      </c>
      <c r="C33" s="7" t="str">
        <f t="shared" si="1"/>
        <v>🔊</v>
      </c>
      <c r="D33" s="8" t="s">
        <v>126</v>
      </c>
      <c r="E33" s="6" t="s">
        <v>27</v>
      </c>
      <c r="F33" s="13" t="str">
        <f>IFERROR(__xludf.DUMMYFUNCTION("GOOGLETRANSLATE(B33,""zh_cn"",""vi"")"),"cửa hàng")</f>
        <v>cửa hàng</v>
      </c>
      <c r="G33" s="10" t="s">
        <v>127</v>
      </c>
      <c r="H33" s="5" t="s">
        <v>125</v>
      </c>
      <c r="I33" s="11" t="b">
        <f t="shared" si="2"/>
        <v>1</v>
      </c>
      <c r="K33" s="11" t="b">
        <f t="shared" si="3"/>
        <v>0</v>
      </c>
    </row>
    <row r="34" ht="22.5" customHeight="1">
      <c r="A34" s="12">
        <f t="shared" si="4"/>
        <v>33</v>
      </c>
      <c r="B34" s="6" t="s">
        <v>128</v>
      </c>
      <c r="C34" s="7" t="str">
        <f t="shared" si="1"/>
        <v>🔊</v>
      </c>
      <c r="D34" s="8" t="s">
        <v>129</v>
      </c>
      <c r="E34" s="6" t="s">
        <v>130</v>
      </c>
      <c r="F34" s="13" t="str">
        <f>IFERROR(__xludf.DUMMYFUNCTION("GOOGLETRANSLATE(B34,""zh_cn"",""vi"")"),"điểm")</f>
        <v>điểm</v>
      </c>
      <c r="G34" s="10" t="s">
        <v>131</v>
      </c>
      <c r="H34" s="5" t="s">
        <v>128</v>
      </c>
      <c r="I34" s="11" t="b">
        <f t="shared" si="2"/>
        <v>1</v>
      </c>
      <c r="K34" s="11" t="b">
        <f t="shared" si="3"/>
        <v>0</v>
      </c>
    </row>
    <row r="35" ht="22.5" customHeight="1">
      <c r="A35" s="12">
        <f t="shared" si="4"/>
        <v>34</v>
      </c>
      <c r="B35" s="6" t="s">
        <v>132</v>
      </c>
      <c r="C35" s="7" t="str">
        <f t="shared" si="1"/>
        <v>🔊</v>
      </c>
      <c r="D35" s="8" t="s">
        <v>133</v>
      </c>
      <c r="E35" s="6" t="s">
        <v>27</v>
      </c>
      <c r="F35" s="13" t="str">
        <f>IFERROR(__xludf.DUMMYFUNCTION("GOOGLETRANSLATE(B35,""zh_cn"",""vi"")"),"Điện thoại")</f>
        <v>Điện thoại</v>
      </c>
      <c r="G35" s="10" t="s">
        <v>134</v>
      </c>
      <c r="H35" s="5" t="s">
        <v>132</v>
      </c>
      <c r="I35" s="11" t="b">
        <f t="shared" si="2"/>
        <v>1</v>
      </c>
      <c r="K35" s="11" t="b">
        <f t="shared" si="3"/>
        <v>0</v>
      </c>
    </row>
    <row r="36" ht="22.5" customHeight="1">
      <c r="A36" s="12">
        <f t="shared" si="4"/>
        <v>35</v>
      </c>
      <c r="B36" s="6" t="s">
        <v>135</v>
      </c>
      <c r="C36" s="7" t="str">
        <f t="shared" si="1"/>
        <v>🔊</v>
      </c>
      <c r="D36" s="8" t="s">
        <v>136</v>
      </c>
      <c r="E36" s="6" t="s">
        <v>27</v>
      </c>
      <c r="F36" s="13" t="str">
        <f>IFERROR(__xludf.DUMMYFUNCTION("GOOGLETRANSLATE(B36,""zh_cn"",""vi"")"),"máy tính")</f>
        <v>máy tính</v>
      </c>
      <c r="G36" s="10" t="s">
        <v>137</v>
      </c>
      <c r="H36" s="5" t="s">
        <v>135</v>
      </c>
      <c r="I36" s="11" t="b">
        <f t="shared" si="2"/>
        <v>1</v>
      </c>
      <c r="K36" s="11" t="b">
        <f t="shared" si="3"/>
        <v>0</v>
      </c>
    </row>
    <row r="37" ht="22.5" customHeight="1">
      <c r="A37" s="12">
        <f t="shared" si="4"/>
        <v>36</v>
      </c>
      <c r="B37" s="6" t="s">
        <v>138</v>
      </c>
      <c r="C37" s="7" t="str">
        <f t="shared" si="1"/>
        <v>🔊</v>
      </c>
      <c r="D37" s="8" t="s">
        <v>139</v>
      </c>
      <c r="E37" s="6" t="s">
        <v>27</v>
      </c>
      <c r="F37" s="13" t="str">
        <f>IFERROR(__xludf.DUMMYFUNCTION("GOOGLETRANSLATE(B37,""zh_cn"",""vi"")"),"tivi")</f>
        <v>tivi</v>
      </c>
      <c r="G37" s="10" t="s">
        <v>140</v>
      </c>
      <c r="H37" s="5" t="s">
        <v>138</v>
      </c>
      <c r="I37" s="11" t="b">
        <f t="shared" si="2"/>
        <v>1</v>
      </c>
      <c r="K37" s="11" t="b">
        <f t="shared" si="3"/>
        <v>0</v>
      </c>
    </row>
    <row r="38" ht="22.5" customHeight="1">
      <c r="A38" s="12">
        <f t="shared" si="4"/>
        <v>37</v>
      </c>
      <c r="B38" s="6" t="s">
        <v>141</v>
      </c>
      <c r="C38" s="7" t="str">
        <f t="shared" si="1"/>
        <v>🔊</v>
      </c>
      <c r="D38" s="8" t="s">
        <v>142</v>
      </c>
      <c r="E38" s="6" t="s">
        <v>27</v>
      </c>
      <c r="F38" s="13" t="str">
        <f>IFERROR(__xludf.DUMMYFUNCTION("GOOGLETRANSLATE(B38,""zh_cn"",""vi"")"),"Bộ phim")</f>
        <v>Bộ phim</v>
      </c>
      <c r="G38" s="10" t="s">
        <v>143</v>
      </c>
      <c r="H38" s="5" t="s">
        <v>141</v>
      </c>
      <c r="I38" s="11" t="b">
        <f t="shared" si="2"/>
        <v>1</v>
      </c>
      <c r="K38" s="11" t="b">
        <f t="shared" si="3"/>
        <v>0</v>
      </c>
    </row>
    <row r="39" ht="22.5" customHeight="1">
      <c r="A39" s="12">
        <f t="shared" si="4"/>
        <v>38</v>
      </c>
      <c r="B39" s="6" t="s">
        <v>144</v>
      </c>
      <c r="C39" s="7" t="str">
        <f t="shared" si="1"/>
        <v>🔊</v>
      </c>
      <c r="D39" s="8" t="s">
        <v>145</v>
      </c>
      <c r="E39" s="6" t="s">
        <v>27</v>
      </c>
      <c r="F39" s="13" t="str">
        <f>IFERROR(__xludf.DUMMYFUNCTION("GOOGLETRANSLATE(B39,""zh_cn"",""vi"")"),"Rạp chiếu phim")</f>
        <v>Rạp chiếu phim</v>
      </c>
      <c r="G39" s="10" t="s">
        <v>146</v>
      </c>
      <c r="H39" s="5" t="s">
        <v>144</v>
      </c>
      <c r="I39" s="11" t="b">
        <f t="shared" si="2"/>
        <v>1</v>
      </c>
      <c r="K39" s="11" t="b">
        <f t="shared" si="3"/>
        <v>0</v>
      </c>
    </row>
    <row r="40" ht="22.5" customHeight="1">
      <c r="A40" s="12">
        <f t="shared" si="4"/>
        <v>39</v>
      </c>
      <c r="B40" s="6" t="s">
        <v>147</v>
      </c>
      <c r="C40" s="7" t="str">
        <f t="shared" si="1"/>
        <v>🔊</v>
      </c>
      <c r="D40" s="8" t="s">
        <v>148</v>
      </c>
      <c r="E40" s="6" t="s">
        <v>27</v>
      </c>
      <c r="F40" s="13" t="str">
        <f>IFERROR(__xludf.DUMMYFUNCTION("GOOGLETRANSLATE(B40,""zh_cn"",""vi"")"),"em trai")</f>
        <v>em trai</v>
      </c>
      <c r="G40" s="10" t="s">
        <v>149</v>
      </c>
      <c r="H40" s="5" t="s">
        <v>147</v>
      </c>
      <c r="I40" s="11" t="b">
        <f t="shared" si="2"/>
        <v>1</v>
      </c>
      <c r="K40" s="11" t="b">
        <f t="shared" si="3"/>
        <v>0</v>
      </c>
    </row>
    <row r="41" ht="22.5" customHeight="1">
      <c r="A41" s="12">
        <f t="shared" si="4"/>
        <v>40</v>
      </c>
      <c r="B41" s="6" t="s">
        <v>150</v>
      </c>
      <c r="C41" s="7" t="str">
        <f t="shared" si="1"/>
        <v>🔊</v>
      </c>
      <c r="D41" s="8" t="s">
        <v>151</v>
      </c>
      <c r="E41" s="6" t="s">
        <v>27</v>
      </c>
      <c r="F41" s="9" t="s">
        <v>152</v>
      </c>
      <c r="G41" s="10" t="s">
        <v>153</v>
      </c>
      <c r="H41" s="5" t="s">
        <v>150</v>
      </c>
      <c r="I41" s="11" t="b">
        <f t="shared" si="2"/>
        <v>1</v>
      </c>
      <c r="K41" s="11" t="b">
        <f t="shared" si="3"/>
        <v>0</v>
      </c>
    </row>
    <row r="42" ht="22.5" customHeight="1">
      <c r="A42" s="12">
        <f t="shared" si="4"/>
        <v>41</v>
      </c>
      <c r="B42" s="6" t="s">
        <v>154</v>
      </c>
      <c r="C42" s="7" t="str">
        <f t="shared" si="1"/>
        <v>🔊</v>
      </c>
      <c r="D42" s="8" t="s">
        <v>155</v>
      </c>
      <c r="E42" s="6" t="s">
        <v>61</v>
      </c>
      <c r="F42" s="9" t="s">
        <v>156</v>
      </c>
      <c r="G42" s="10" t="s">
        <v>157</v>
      </c>
      <c r="H42" s="5" t="s">
        <v>154</v>
      </c>
      <c r="I42" s="11" t="b">
        <f t="shared" si="2"/>
        <v>1</v>
      </c>
      <c r="K42" s="11" t="b">
        <f t="shared" si="3"/>
        <v>0</v>
      </c>
    </row>
    <row r="43" ht="22.5" customHeight="1">
      <c r="A43" s="12">
        <f t="shared" si="4"/>
        <v>42</v>
      </c>
      <c r="B43" s="6" t="s">
        <v>158</v>
      </c>
      <c r="C43" s="7" t="str">
        <f t="shared" si="1"/>
        <v>🔊</v>
      </c>
      <c r="D43" s="8" t="s">
        <v>159</v>
      </c>
      <c r="E43" s="6" t="s">
        <v>13</v>
      </c>
      <c r="F43" s="13" t="str">
        <f>IFERROR(__xludf.DUMMYFUNCTION("GOOGLETRANSLATE(B43,""zh_cn"",""vi"")"),"đọc")</f>
        <v>đọc</v>
      </c>
      <c r="G43" s="10" t="s">
        <v>160</v>
      </c>
      <c r="H43" s="5" t="s">
        <v>158</v>
      </c>
      <c r="I43" s="11" t="b">
        <f t="shared" si="2"/>
        <v>1</v>
      </c>
      <c r="K43" s="11" t="b">
        <f t="shared" si="3"/>
        <v>0</v>
      </c>
    </row>
    <row r="44" ht="22.5" customHeight="1">
      <c r="A44" s="12">
        <f t="shared" si="4"/>
        <v>43</v>
      </c>
      <c r="B44" s="6" t="s">
        <v>161</v>
      </c>
      <c r="C44" s="7" t="str">
        <f t="shared" si="1"/>
        <v>🔊</v>
      </c>
      <c r="D44" s="8" t="s">
        <v>162</v>
      </c>
      <c r="E44" s="6" t="s">
        <v>163</v>
      </c>
      <c r="F44" s="9" t="s">
        <v>164</v>
      </c>
      <c r="G44" s="10" t="s">
        <v>165</v>
      </c>
      <c r="H44" s="5" t="s">
        <v>161</v>
      </c>
      <c r="I44" s="11" t="b">
        <f t="shared" si="2"/>
        <v>1</v>
      </c>
      <c r="K44" s="11" t="b">
        <f t="shared" si="3"/>
        <v>0</v>
      </c>
    </row>
    <row r="45" ht="22.5" customHeight="1">
      <c r="A45" s="12">
        <f t="shared" si="4"/>
        <v>44</v>
      </c>
      <c r="B45" s="6" t="s">
        <v>166</v>
      </c>
      <c r="C45" s="7" t="str">
        <f t="shared" si="1"/>
        <v>🔊</v>
      </c>
      <c r="D45" s="8" t="s">
        <v>167</v>
      </c>
      <c r="E45" s="6" t="s">
        <v>13</v>
      </c>
      <c r="F45" s="13" t="str">
        <f>IFERROR(__xludf.DUMMYFUNCTION("GOOGLETRANSLATE(B45,""zh_cn"",""vi"")"),"Xin lỗi")</f>
        <v>Xin lỗi</v>
      </c>
      <c r="G45" s="10" t="s">
        <v>168</v>
      </c>
      <c r="H45" s="5" t="s">
        <v>166</v>
      </c>
      <c r="I45" s="11" t="b">
        <f t="shared" si="2"/>
        <v>1</v>
      </c>
      <c r="K45" s="11" t="b">
        <f t="shared" si="3"/>
        <v>0</v>
      </c>
    </row>
    <row r="46" ht="22.5" customHeight="1">
      <c r="A46" s="12">
        <f t="shared" si="4"/>
        <v>45</v>
      </c>
      <c r="B46" s="6" t="s">
        <v>169</v>
      </c>
      <c r="C46" s="7" t="str">
        <f t="shared" si="1"/>
        <v>🔊</v>
      </c>
      <c r="D46" s="8" t="s">
        <v>170</v>
      </c>
      <c r="E46" s="6" t="s">
        <v>171</v>
      </c>
      <c r="F46" s="13" t="str">
        <f>IFERROR(__xludf.DUMMYFUNCTION("GOOGLETRANSLATE(B46,""zh_cn"",""vi"")"),"nhiều")</f>
        <v>nhiều</v>
      </c>
      <c r="G46" s="10" t="s">
        <v>172</v>
      </c>
      <c r="H46" s="5" t="s">
        <v>169</v>
      </c>
      <c r="I46" s="11" t="b">
        <f t="shared" si="2"/>
        <v>1</v>
      </c>
      <c r="K46" s="11" t="b">
        <f t="shared" si="3"/>
        <v>0</v>
      </c>
    </row>
    <row r="47" ht="22.5" customHeight="1">
      <c r="A47" s="12">
        <f t="shared" si="4"/>
        <v>46</v>
      </c>
      <c r="B47" s="6" t="s">
        <v>173</v>
      </c>
      <c r="C47" s="7" t="str">
        <f t="shared" si="1"/>
        <v>🔊</v>
      </c>
      <c r="D47" s="8" t="s">
        <v>174</v>
      </c>
      <c r="E47" s="6" t="s">
        <v>106</v>
      </c>
      <c r="F47" s="13" t="str">
        <f>IFERROR(__xludf.DUMMYFUNCTION("GOOGLETRANSLATE(B47,""zh_cn"",""vi"")"),"Bao nhiêu")</f>
        <v>Bao nhiêu</v>
      </c>
      <c r="G47" s="10" t="s">
        <v>175</v>
      </c>
      <c r="H47" s="5" t="s">
        <v>173</v>
      </c>
      <c r="I47" s="11" t="b">
        <f t="shared" si="2"/>
        <v>1</v>
      </c>
      <c r="K47" s="11" t="b">
        <f t="shared" si="3"/>
        <v>0</v>
      </c>
    </row>
    <row r="48" ht="22.5" customHeight="1">
      <c r="A48" s="12">
        <f t="shared" si="4"/>
        <v>47</v>
      </c>
      <c r="B48" s="6" t="s">
        <v>176</v>
      </c>
      <c r="C48" s="7" t="str">
        <f t="shared" si="1"/>
        <v>🔊</v>
      </c>
      <c r="D48" s="8" t="s">
        <v>177</v>
      </c>
      <c r="E48" s="6" t="s">
        <v>13</v>
      </c>
      <c r="F48" s="9" t="s">
        <v>178</v>
      </c>
      <c r="G48" s="10" t="s">
        <v>179</v>
      </c>
      <c r="H48" s="5" t="s">
        <v>176</v>
      </c>
      <c r="I48" s="11" t="b">
        <f t="shared" si="2"/>
        <v>1</v>
      </c>
      <c r="K48" s="11" t="b">
        <f t="shared" si="3"/>
        <v>0</v>
      </c>
    </row>
    <row r="49" ht="22.5" customHeight="1">
      <c r="A49" s="12">
        <f t="shared" si="4"/>
        <v>48</v>
      </c>
      <c r="B49" s="6" t="s">
        <v>180</v>
      </c>
      <c r="C49" s="7" t="str">
        <f t="shared" si="1"/>
        <v>🔊</v>
      </c>
      <c r="D49" s="8" t="s">
        <v>181</v>
      </c>
      <c r="E49" s="6" t="s">
        <v>23</v>
      </c>
      <c r="F49" s="13" t="str">
        <f>IFERROR(__xludf.DUMMYFUNCTION("GOOGLETRANSLATE(B49,""zh_cn"",""vi"")"),"hai")</f>
        <v>hai</v>
      </c>
      <c r="G49" s="10" t="s">
        <v>182</v>
      </c>
      <c r="H49" s="5" t="s">
        <v>180</v>
      </c>
      <c r="I49" s="11" t="b">
        <f t="shared" si="2"/>
        <v>1</v>
      </c>
      <c r="K49" s="11" t="b">
        <f t="shared" si="3"/>
        <v>0</v>
      </c>
    </row>
    <row r="50" ht="22.5" customHeight="1">
      <c r="A50" s="12">
        <f t="shared" si="4"/>
        <v>49</v>
      </c>
      <c r="B50" s="6" t="s">
        <v>183</v>
      </c>
      <c r="C50" s="7" t="str">
        <f t="shared" si="1"/>
        <v>🔊</v>
      </c>
      <c r="D50" s="8" t="s">
        <v>184</v>
      </c>
      <c r="E50" s="6" t="s">
        <v>27</v>
      </c>
      <c r="F50" s="13" t="str">
        <f>IFERROR(__xludf.DUMMYFUNCTION("GOOGLETRANSLATE(B50,""zh_cn"",""vi"")"),"con trai")</f>
        <v>con trai</v>
      </c>
      <c r="G50" s="10" t="s">
        <v>185</v>
      </c>
      <c r="H50" s="5" t="s">
        <v>183</v>
      </c>
      <c r="I50" s="11" t="b">
        <f t="shared" si="2"/>
        <v>1</v>
      </c>
      <c r="K50" s="11" t="b">
        <f t="shared" si="3"/>
        <v>0</v>
      </c>
    </row>
    <row r="51" ht="22.5" customHeight="1">
      <c r="A51" s="12">
        <f t="shared" si="4"/>
        <v>50</v>
      </c>
      <c r="B51" s="6" t="s">
        <v>186</v>
      </c>
      <c r="C51" s="7" t="str">
        <f t="shared" si="1"/>
        <v>🔊</v>
      </c>
      <c r="D51" s="8" t="s">
        <v>187</v>
      </c>
      <c r="E51" s="6" t="s">
        <v>27</v>
      </c>
      <c r="F51" s="5" t="s">
        <v>188</v>
      </c>
      <c r="G51" s="10" t="s">
        <v>189</v>
      </c>
      <c r="H51" s="5" t="s">
        <v>186</v>
      </c>
      <c r="I51" s="11" t="b">
        <f t="shared" si="2"/>
        <v>1</v>
      </c>
      <c r="K51" s="11" t="b">
        <f t="shared" si="3"/>
        <v>0</v>
      </c>
    </row>
    <row r="52" ht="22.5" customHeight="1">
      <c r="A52" s="12">
        <f t="shared" si="4"/>
        <v>51</v>
      </c>
      <c r="B52" s="6" t="s">
        <v>190</v>
      </c>
      <c r="C52" s="7" t="str">
        <f t="shared" si="1"/>
        <v>🔊</v>
      </c>
      <c r="D52" s="8" t="s">
        <v>191</v>
      </c>
      <c r="E52" s="6" t="s">
        <v>27</v>
      </c>
      <c r="F52" s="13" t="str">
        <f>IFERROR(__xludf.DUMMYFUNCTION("GOOGLETRANSLATE(B52,""zh_cn"",""vi"")"),"Nhà hàng")</f>
        <v>Nhà hàng</v>
      </c>
      <c r="G52" s="10" t="s">
        <v>192</v>
      </c>
      <c r="H52" s="5" t="s">
        <v>190</v>
      </c>
      <c r="I52" s="11" t="b">
        <f t="shared" si="2"/>
        <v>1</v>
      </c>
      <c r="K52" s="11" t="b">
        <f t="shared" si="3"/>
        <v>0</v>
      </c>
    </row>
    <row r="53" ht="22.5" customHeight="1">
      <c r="A53" s="12">
        <f t="shared" si="4"/>
        <v>52</v>
      </c>
      <c r="B53" s="6" t="s">
        <v>193</v>
      </c>
      <c r="C53" s="7" t="str">
        <f t="shared" si="1"/>
        <v>🔊</v>
      </c>
      <c r="D53" s="8" t="s">
        <v>194</v>
      </c>
      <c r="E53" s="6" t="s">
        <v>27</v>
      </c>
      <c r="F53" s="13" t="str">
        <f>IFERROR(__xludf.DUMMYFUNCTION("GOOGLETRANSLATE(B53,""zh_cn"",""vi"")"),"Phòng")</f>
        <v>Phòng</v>
      </c>
      <c r="G53" s="10" t="s">
        <v>195</v>
      </c>
      <c r="H53" s="5" t="s">
        <v>193</v>
      </c>
      <c r="I53" s="11" t="b">
        <f t="shared" si="2"/>
        <v>1</v>
      </c>
      <c r="K53" s="11" t="b">
        <f t="shared" si="3"/>
        <v>0</v>
      </c>
    </row>
    <row r="54" ht="22.5" customHeight="1">
      <c r="A54" s="12">
        <f t="shared" si="4"/>
        <v>53</v>
      </c>
      <c r="B54" s="6" t="s">
        <v>196</v>
      </c>
      <c r="C54" s="7" t="str">
        <f t="shared" si="1"/>
        <v>🔊</v>
      </c>
      <c r="D54" s="8" t="s">
        <v>197</v>
      </c>
      <c r="E54" s="6" t="s">
        <v>61</v>
      </c>
      <c r="F54" s="13" t="str">
        <f>IFERROR(__xludf.DUMMYFUNCTION("GOOGLETRANSLATE(B54,""zh_cn"",""vi"")"),"Rất")</f>
        <v>Rất</v>
      </c>
      <c r="G54" s="10" t="s">
        <v>198</v>
      </c>
      <c r="H54" s="5" t="s">
        <v>196</v>
      </c>
      <c r="I54" s="11" t="b">
        <f t="shared" si="2"/>
        <v>1</v>
      </c>
      <c r="K54" s="11" t="b">
        <f t="shared" si="3"/>
        <v>0</v>
      </c>
    </row>
    <row r="55" ht="22.5" customHeight="1">
      <c r="A55" s="12">
        <f t="shared" si="4"/>
        <v>54</v>
      </c>
      <c r="B55" s="6" t="s">
        <v>199</v>
      </c>
      <c r="C55" s="7" t="str">
        <f t="shared" si="1"/>
        <v>🔊</v>
      </c>
      <c r="D55" s="8" t="s">
        <v>200</v>
      </c>
      <c r="E55" s="6" t="s">
        <v>27</v>
      </c>
      <c r="F55" s="13" t="str">
        <f>IFERROR(__xludf.DUMMYFUNCTION("GOOGLETRANSLATE(B55,""zh_cn"",""vi"")"),"máy bay")</f>
        <v>máy bay</v>
      </c>
      <c r="G55" s="10" t="s">
        <v>201</v>
      </c>
      <c r="H55" s="5" t="s">
        <v>199</v>
      </c>
      <c r="I55" s="11" t="b">
        <f t="shared" si="2"/>
        <v>1</v>
      </c>
      <c r="K55" s="11" t="b">
        <f t="shared" si="3"/>
        <v>0</v>
      </c>
    </row>
    <row r="56" ht="22.5" customHeight="1">
      <c r="A56" s="12">
        <f t="shared" si="4"/>
        <v>55</v>
      </c>
      <c r="B56" s="6" t="s">
        <v>202</v>
      </c>
      <c r="C56" s="7" t="str">
        <f t="shared" si="1"/>
        <v>🔊</v>
      </c>
      <c r="D56" s="8" t="s">
        <v>203</v>
      </c>
      <c r="E56" s="6" t="s">
        <v>204</v>
      </c>
      <c r="F56" s="9" t="s">
        <v>205</v>
      </c>
      <c r="G56" s="10" t="s">
        <v>206</v>
      </c>
      <c r="H56" s="5" t="s">
        <v>202</v>
      </c>
      <c r="I56" s="11" t="b">
        <f t="shared" si="2"/>
        <v>1</v>
      </c>
      <c r="K56" s="11" t="b">
        <f t="shared" si="3"/>
        <v>0</v>
      </c>
    </row>
    <row r="57" ht="22.5" customHeight="1">
      <c r="A57" s="12">
        <f t="shared" si="4"/>
        <v>56</v>
      </c>
      <c r="B57" s="6" t="s">
        <v>207</v>
      </c>
      <c r="C57" s="7" t="str">
        <f t="shared" si="1"/>
        <v>🔊</v>
      </c>
      <c r="D57" s="8" t="s">
        <v>208</v>
      </c>
      <c r="E57" s="6" t="s">
        <v>47</v>
      </c>
      <c r="F57" s="13" t="str">
        <f>IFERROR(__xludf.DUMMYFUNCTION("GOOGLETRANSLATE(B57,""zh_cn"",""vi"")"),"phút")</f>
        <v>phút</v>
      </c>
      <c r="G57" s="10" t="s">
        <v>209</v>
      </c>
      <c r="H57" s="5" t="s">
        <v>207</v>
      </c>
      <c r="I57" s="11" t="b">
        <f t="shared" si="2"/>
        <v>1</v>
      </c>
      <c r="K57" s="11" t="b">
        <f t="shared" si="3"/>
        <v>0</v>
      </c>
    </row>
    <row r="58" ht="22.5" customHeight="1">
      <c r="A58" s="12">
        <f t="shared" si="4"/>
        <v>57</v>
      </c>
      <c r="B58" s="6" t="s">
        <v>210</v>
      </c>
      <c r="C58" s="7" t="str">
        <f t="shared" si="1"/>
        <v>🔊</v>
      </c>
      <c r="D58" s="8" t="s">
        <v>211</v>
      </c>
      <c r="E58" s="6" t="s">
        <v>99</v>
      </c>
      <c r="F58" s="13" t="str">
        <f>IFERROR(__xludf.DUMMYFUNCTION("GOOGLETRANSLATE(B58,""zh_cn"",""vi"")"),"Vui mừng")</f>
        <v>Vui mừng</v>
      </c>
      <c r="G58" s="10" t="s">
        <v>212</v>
      </c>
      <c r="H58" s="5" t="s">
        <v>210</v>
      </c>
      <c r="I58" s="11" t="b">
        <f t="shared" si="2"/>
        <v>1</v>
      </c>
      <c r="K58" s="11" t="b">
        <f t="shared" si="3"/>
        <v>0</v>
      </c>
    </row>
    <row r="59" ht="22.5" customHeight="1">
      <c r="A59" s="12">
        <f t="shared" si="4"/>
        <v>58</v>
      </c>
      <c r="B59" s="6" t="s">
        <v>213</v>
      </c>
      <c r="C59" s="7" t="str">
        <f t="shared" si="1"/>
        <v>🔊</v>
      </c>
      <c r="D59" s="8" t="s">
        <v>214</v>
      </c>
      <c r="E59" s="6" t="s">
        <v>47</v>
      </c>
      <c r="F59" s="9" t="s">
        <v>215</v>
      </c>
      <c r="G59" s="10" t="s">
        <v>216</v>
      </c>
      <c r="H59" s="5" t="s">
        <v>213</v>
      </c>
      <c r="I59" s="11" t="b">
        <f t="shared" si="2"/>
        <v>1</v>
      </c>
      <c r="K59" s="11" t="b">
        <f t="shared" si="3"/>
        <v>0</v>
      </c>
    </row>
    <row r="60" ht="22.5" customHeight="1">
      <c r="A60" s="12">
        <f t="shared" si="4"/>
        <v>59</v>
      </c>
      <c r="B60" s="6" t="s">
        <v>217</v>
      </c>
      <c r="C60" s="7" t="str">
        <f t="shared" si="1"/>
        <v>🔊</v>
      </c>
      <c r="D60" s="8" t="s">
        <v>218</v>
      </c>
      <c r="E60" s="6" t="s">
        <v>27</v>
      </c>
      <c r="F60" s="13" t="str">
        <f>IFERROR(__xludf.DUMMYFUNCTION("GOOGLETRANSLATE(B60,""zh_cn"",""vi"")"),"Bài hát")</f>
        <v>Bài hát</v>
      </c>
      <c r="G60" s="10" t="s">
        <v>219</v>
      </c>
      <c r="H60" s="5" t="s">
        <v>217</v>
      </c>
      <c r="I60" s="11" t="b">
        <f t="shared" si="2"/>
        <v>1</v>
      </c>
      <c r="K60" s="11" t="b">
        <f t="shared" si="3"/>
        <v>0</v>
      </c>
    </row>
    <row r="61" ht="22.5" customHeight="1">
      <c r="A61" s="12">
        <f t="shared" si="4"/>
        <v>60</v>
      </c>
      <c r="B61" s="6" t="s">
        <v>220</v>
      </c>
      <c r="C61" s="7" t="str">
        <f t="shared" si="1"/>
        <v>🔊</v>
      </c>
      <c r="D61" s="8" t="s">
        <v>221</v>
      </c>
      <c r="E61" s="6" t="s">
        <v>27</v>
      </c>
      <c r="F61" s="13" t="str">
        <f>IFERROR(__xludf.DUMMYFUNCTION("GOOGLETRANSLATE(B61,""zh_cn"",""vi"")"),"anh trai")</f>
        <v>anh trai</v>
      </c>
      <c r="G61" s="10" t="s">
        <v>222</v>
      </c>
      <c r="H61" s="5" t="s">
        <v>220</v>
      </c>
      <c r="I61" s="11" t="b">
        <f t="shared" si="2"/>
        <v>1</v>
      </c>
      <c r="K61" s="11" t="b">
        <f t="shared" si="3"/>
        <v>0</v>
      </c>
    </row>
    <row r="62" ht="22.5" customHeight="1">
      <c r="A62" s="12">
        <f t="shared" si="4"/>
        <v>61</v>
      </c>
      <c r="B62" s="6" t="s">
        <v>223</v>
      </c>
      <c r="C62" s="7" t="str">
        <f t="shared" si="1"/>
        <v>🔊</v>
      </c>
      <c r="D62" s="8" t="s">
        <v>224</v>
      </c>
      <c r="E62" s="6" t="s">
        <v>225</v>
      </c>
      <c r="F62" s="13" t="str">
        <f>IFERROR(__xludf.DUMMYFUNCTION("GOOGLETRANSLATE(B62,""zh_cn"",""vi"")"),"Đưa cho")</f>
        <v>Đưa cho</v>
      </c>
      <c r="G62" s="10" t="s">
        <v>226</v>
      </c>
      <c r="H62" s="5" t="s">
        <v>223</v>
      </c>
      <c r="I62" s="11" t="b">
        <f t="shared" si="2"/>
        <v>1</v>
      </c>
      <c r="K62" s="11" t="b">
        <f t="shared" si="3"/>
        <v>0</v>
      </c>
    </row>
    <row r="63" ht="22.5" customHeight="1">
      <c r="A63" s="12">
        <f t="shared" si="4"/>
        <v>62</v>
      </c>
      <c r="B63" s="6" t="s">
        <v>227</v>
      </c>
      <c r="C63" s="7" t="str">
        <f t="shared" si="1"/>
        <v>🔊</v>
      </c>
      <c r="D63" s="8" t="s">
        <v>228</v>
      </c>
      <c r="E63" s="6" t="s">
        <v>27</v>
      </c>
      <c r="F63" s="13" t="str">
        <f>IFERROR(__xludf.DUMMYFUNCTION("GOOGLETRANSLATE(B63,""zh_cn"",""vi"")"),"công ty")</f>
        <v>công ty</v>
      </c>
      <c r="G63" s="10" t="s">
        <v>229</v>
      </c>
      <c r="H63" s="5" t="s">
        <v>227</v>
      </c>
      <c r="I63" s="11" t="b">
        <f t="shared" si="2"/>
        <v>1</v>
      </c>
      <c r="K63" s="11" t="b">
        <f t="shared" si="3"/>
        <v>0</v>
      </c>
    </row>
    <row r="64" ht="22.5" customHeight="1">
      <c r="A64" s="12">
        <f t="shared" si="4"/>
        <v>63</v>
      </c>
      <c r="B64" s="6" t="s">
        <v>230</v>
      </c>
      <c r="C64" s="7" t="str">
        <f t="shared" si="1"/>
        <v>🔊</v>
      </c>
      <c r="D64" s="8" t="s">
        <v>231</v>
      </c>
      <c r="E64" s="6" t="s">
        <v>232</v>
      </c>
      <c r="F64" s="13" t="str">
        <f>IFERROR(__xludf.DUMMYFUNCTION("GOOGLETRANSLATE(B64,""zh_cn"",""vi"")"),"Công việc")</f>
        <v>Công việc</v>
      </c>
      <c r="G64" s="10" t="s">
        <v>233</v>
      </c>
      <c r="H64" s="5" t="s">
        <v>230</v>
      </c>
      <c r="I64" s="11" t="b">
        <f t="shared" si="2"/>
        <v>1</v>
      </c>
      <c r="K64" s="11" t="b">
        <f t="shared" si="3"/>
        <v>0</v>
      </c>
    </row>
    <row r="65" ht="22.5" customHeight="1">
      <c r="A65" s="12">
        <f t="shared" si="4"/>
        <v>64</v>
      </c>
      <c r="B65" s="6" t="s">
        <v>234</v>
      </c>
      <c r="C65" s="7" t="str">
        <f t="shared" si="1"/>
        <v>🔊</v>
      </c>
      <c r="D65" s="8" t="s">
        <v>235</v>
      </c>
      <c r="E65" s="6" t="s">
        <v>27</v>
      </c>
      <c r="F65" s="13" t="str">
        <f>IFERROR(__xludf.DUMMYFUNCTION("GOOGLETRANSLATE(B65,""zh_cn"",""vi"")"),"chó")</f>
        <v>chó</v>
      </c>
      <c r="G65" s="10" t="s">
        <v>236</v>
      </c>
      <c r="H65" s="5" t="s">
        <v>234</v>
      </c>
      <c r="I65" s="11" t="b">
        <f t="shared" si="2"/>
        <v>1</v>
      </c>
      <c r="K65" s="11" t="b">
        <f t="shared" si="3"/>
        <v>0</v>
      </c>
    </row>
    <row r="66" ht="22.5" customHeight="1">
      <c r="A66" s="12">
        <f t="shared" si="4"/>
        <v>65</v>
      </c>
      <c r="B66" s="6" t="s">
        <v>237</v>
      </c>
      <c r="C66" s="7" t="str">
        <f t="shared" si="1"/>
        <v>🔊</v>
      </c>
      <c r="D66" s="8" t="s">
        <v>238</v>
      </c>
      <c r="E66" s="6" t="s">
        <v>99</v>
      </c>
      <c r="F66" s="13" t="str">
        <f>IFERROR(__xludf.DUMMYFUNCTION("GOOGLETRANSLATE(B66,""zh_cn"",""vi"")"),"đắt")</f>
        <v>đắt</v>
      </c>
      <c r="G66" s="10" t="s">
        <v>239</v>
      </c>
      <c r="H66" s="5" t="s">
        <v>237</v>
      </c>
      <c r="I66" s="11" t="b">
        <f t="shared" si="2"/>
        <v>1</v>
      </c>
      <c r="K66" s="11" t="b">
        <f t="shared" si="3"/>
        <v>0</v>
      </c>
    </row>
    <row r="67" ht="22.5" customHeight="1">
      <c r="A67" s="12">
        <f t="shared" si="4"/>
        <v>66</v>
      </c>
      <c r="B67" s="6" t="s">
        <v>240</v>
      </c>
      <c r="C67" s="7" t="str">
        <f t="shared" si="1"/>
        <v>🔊</v>
      </c>
      <c r="D67" s="8" t="s">
        <v>241</v>
      </c>
      <c r="E67" s="6" t="s">
        <v>27</v>
      </c>
      <c r="F67" s="13" t="str">
        <f>IFERROR(__xludf.DUMMYFUNCTION("GOOGLETRANSLATE(B67,""zh_cn"",""vi"")"),"quốc gia")</f>
        <v>quốc gia</v>
      </c>
      <c r="G67" s="10" t="s">
        <v>242</v>
      </c>
      <c r="H67" s="5" t="s">
        <v>240</v>
      </c>
      <c r="I67" s="11" t="b">
        <f t="shared" si="2"/>
        <v>1</v>
      </c>
      <c r="K67" s="11" t="b">
        <f t="shared" si="3"/>
        <v>0</v>
      </c>
    </row>
    <row r="68" ht="22.5" customHeight="1">
      <c r="A68" s="12">
        <f t="shared" si="4"/>
        <v>67</v>
      </c>
      <c r="B68" s="6" t="s">
        <v>243</v>
      </c>
      <c r="C68" s="7" t="str">
        <f t="shared" si="1"/>
        <v>🔊</v>
      </c>
      <c r="D68" s="8" t="s">
        <v>244</v>
      </c>
      <c r="E68" s="6" t="s">
        <v>61</v>
      </c>
      <c r="F68" s="5" t="s">
        <v>245</v>
      </c>
      <c r="G68" s="10" t="s">
        <v>246</v>
      </c>
      <c r="H68" s="5" t="s">
        <v>243</v>
      </c>
      <c r="I68" s="11" t="b">
        <f t="shared" si="2"/>
        <v>1</v>
      </c>
      <c r="K68" s="11" t="b">
        <f t="shared" si="3"/>
        <v>0</v>
      </c>
    </row>
    <row r="69" ht="22.5" customHeight="1">
      <c r="A69" s="12">
        <f t="shared" si="4"/>
        <v>68</v>
      </c>
      <c r="B69" s="6" t="s">
        <v>247</v>
      </c>
      <c r="C69" s="7" t="str">
        <f t="shared" si="1"/>
        <v>🔊</v>
      </c>
      <c r="D69" s="8" t="s">
        <v>248</v>
      </c>
      <c r="E69" s="6" t="s">
        <v>27</v>
      </c>
      <c r="F69" s="13" t="str">
        <f>IFERROR(__xludf.DUMMYFUNCTION("GOOGLETRANSLATE(B69,""zh_cn"",""vi"")"),"đứa trẻ")</f>
        <v>đứa trẻ</v>
      </c>
      <c r="G69" s="10" t="s">
        <v>249</v>
      </c>
      <c r="H69" s="5" t="s">
        <v>247</v>
      </c>
      <c r="I69" s="11" t="b">
        <f t="shared" si="2"/>
        <v>1</v>
      </c>
      <c r="K69" s="11" t="b">
        <f t="shared" si="3"/>
        <v>0</v>
      </c>
    </row>
    <row r="70" ht="22.5" customHeight="1">
      <c r="A70" s="12">
        <f t="shared" si="4"/>
        <v>69</v>
      </c>
      <c r="B70" s="6" t="s">
        <v>250</v>
      </c>
      <c r="C70" s="7" t="str">
        <f t="shared" si="1"/>
        <v>🔊</v>
      </c>
      <c r="D70" s="8" t="s">
        <v>251</v>
      </c>
      <c r="E70" s="6" t="s">
        <v>27</v>
      </c>
      <c r="F70" s="9" t="s">
        <v>252</v>
      </c>
      <c r="G70" s="10" t="s">
        <v>253</v>
      </c>
      <c r="H70" s="5" t="s">
        <v>250</v>
      </c>
      <c r="I70" s="11" t="b">
        <f t="shared" si="2"/>
        <v>1</v>
      </c>
      <c r="K70" s="11" t="b">
        <f t="shared" si="3"/>
        <v>0</v>
      </c>
    </row>
    <row r="71" ht="22.5" customHeight="1">
      <c r="A71" s="12">
        <f t="shared" si="4"/>
        <v>70</v>
      </c>
      <c r="B71" s="6" t="s">
        <v>254</v>
      </c>
      <c r="C71" s="7" t="str">
        <f t="shared" si="1"/>
        <v>🔊</v>
      </c>
      <c r="D71" s="8" t="s">
        <v>255</v>
      </c>
      <c r="E71" s="6" t="s">
        <v>27</v>
      </c>
      <c r="F71" s="13" t="str">
        <f>IFERROR(__xludf.DUMMYFUNCTION("GOOGLETRANSLATE(B71,""zh_cn"",""vi"")"),"Chữ Hán")</f>
        <v>Chữ Hán</v>
      </c>
      <c r="G71" s="10" t="s">
        <v>256</v>
      </c>
      <c r="H71" s="5" t="s">
        <v>254</v>
      </c>
      <c r="I71" s="11" t="b">
        <f t="shared" si="2"/>
        <v>1</v>
      </c>
      <c r="K71" s="11" t="b">
        <f t="shared" si="3"/>
        <v>0</v>
      </c>
    </row>
    <row r="72" ht="22.5" customHeight="1">
      <c r="A72" s="12">
        <f t="shared" si="4"/>
        <v>71</v>
      </c>
      <c r="B72" s="6" t="s">
        <v>257</v>
      </c>
      <c r="C72" s="7" t="str">
        <f t="shared" si="1"/>
        <v>🔊</v>
      </c>
      <c r="D72" s="8" t="s">
        <v>258</v>
      </c>
      <c r="E72" s="6" t="s">
        <v>259</v>
      </c>
      <c r="F72" s="13" t="str">
        <f>IFERROR(__xludf.DUMMYFUNCTION("GOOGLETRANSLATE(B72,""zh_cn"",""vi"")"),"Con số")</f>
        <v>Con số</v>
      </c>
      <c r="G72" s="10" t="s">
        <v>260</v>
      </c>
      <c r="H72" s="5" t="s">
        <v>257</v>
      </c>
      <c r="I72" s="11" t="b">
        <f t="shared" si="2"/>
        <v>1</v>
      </c>
      <c r="K72" s="11" t="b">
        <f t="shared" si="3"/>
        <v>0</v>
      </c>
    </row>
    <row r="73" ht="22.5" customHeight="1">
      <c r="A73" s="12">
        <f t="shared" si="4"/>
        <v>72</v>
      </c>
      <c r="B73" s="6" t="s">
        <v>261</v>
      </c>
      <c r="C73" s="7" t="str">
        <f t="shared" si="1"/>
        <v>🔊</v>
      </c>
      <c r="D73" s="8" t="s">
        <v>262</v>
      </c>
      <c r="E73" s="6" t="s">
        <v>263</v>
      </c>
      <c r="F73" s="13" t="str">
        <f>IFERROR(__xludf.DUMMYFUNCTION("GOOGLETRANSLATE(B73,""zh_cn"",""vi"")"),"Tốt")</f>
        <v>Tốt</v>
      </c>
      <c r="G73" s="10" t="s">
        <v>264</v>
      </c>
      <c r="H73" s="5" t="s">
        <v>261</v>
      </c>
      <c r="I73" s="11" t="b">
        <f t="shared" si="2"/>
        <v>1</v>
      </c>
      <c r="K73" s="11" t="b">
        <f t="shared" si="3"/>
        <v>0</v>
      </c>
    </row>
    <row r="74" ht="22.5" customHeight="1">
      <c r="A74" s="12">
        <f t="shared" si="4"/>
        <v>73</v>
      </c>
      <c r="B74" s="6" t="s">
        <v>265</v>
      </c>
      <c r="C74" s="7" t="str">
        <f t="shared" si="1"/>
        <v>🔊</v>
      </c>
      <c r="D74" s="8" t="s">
        <v>266</v>
      </c>
      <c r="E74" s="6" t="s">
        <v>99</v>
      </c>
      <c r="F74" s="13" t="str">
        <f>IFERROR(__xludf.DUMMYFUNCTION("GOOGLETRANSLATE(B74,""zh_cn"",""vi"")"),"ngon")</f>
        <v>ngon</v>
      </c>
      <c r="G74" s="10" t="s">
        <v>267</v>
      </c>
      <c r="H74" s="5" t="s">
        <v>265</v>
      </c>
      <c r="I74" s="11" t="b">
        <f t="shared" si="2"/>
        <v>1</v>
      </c>
      <c r="K74" s="11" t="b">
        <f t="shared" si="3"/>
        <v>0</v>
      </c>
    </row>
    <row r="75" ht="22.5" customHeight="1">
      <c r="A75" s="12">
        <f t="shared" si="4"/>
        <v>74</v>
      </c>
      <c r="B75" s="6" t="s">
        <v>268</v>
      </c>
      <c r="C75" s="7" t="str">
        <f t="shared" si="1"/>
        <v>🔊</v>
      </c>
      <c r="D75" s="8" t="s">
        <v>269</v>
      </c>
      <c r="E75" s="6" t="s">
        <v>99</v>
      </c>
      <c r="F75" s="13" t="str">
        <f>IFERROR(__xludf.DUMMYFUNCTION("GOOGLETRANSLATE(B75,""zh_cn"",""vi"")"),"Đẹp")</f>
        <v>Đẹp</v>
      </c>
      <c r="G75" s="10" t="s">
        <v>270</v>
      </c>
      <c r="H75" s="5" t="s">
        <v>268</v>
      </c>
      <c r="I75" s="11" t="b">
        <f t="shared" si="2"/>
        <v>1</v>
      </c>
      <c r="K75" s="11" t="b">
        <f t="shared" si="3"/>
        <v>0</v>
      </c>
    </row>
    <row r="76" ht="22.5" customHeight="1">
      <c r="A76" s="12">
        <f t="shared" si="4"/>
        <v>75</v>
      </c>
      <c r="B76" s="6" t="s">
        <v>271</v>
      </c>
      <c r="C76" s="7" t="str">
        <f t="shared" si="1"/>
        <v>🔊</v>
      </c>
      <c r="D76" s="8" t="s">
        <v>272</v>
      </c>
      <c r="E76" s="6" t="s">
        <v>99</v>
      </c>
      <c r="F76" s="9" t="s">
        <v>273</v>
      </c>
      <c r="G76" s="10" t="s">
        <v>274</v>
      </c>
      <c r="H76" s="5" t="s">
        <v>271</v>
      </c>
      <c r="I76" s="11" t="b">
        <f t="shared" si="2"/>
        <v>1</v>
      </c>
      <c r="K76" s="11" t="b">
        <f t="shared" si="3"/>
        <v>0</v>
      </c>
    </row>
    <row r="77" ht="22.5" customHeight="1">
      <c r="A77" s="12">
        <f t="shared" si="4"/>
        <v>76</v>
      </c>
      <c r="B77" s="6" t="s">
        <v>275</v>
      </c>
      <c r="C77" s="7" t="str">
        <f t="shared" si="1"/>
        <v>🔊</v>
      </c>
      <c r="D77" s="8" t="s">
        <v>276</v>
      </c>
      <c r="E77" s="6" t="s">
        <v>99</v>
      </c>
      <c r="F77" s="9" t="s">
        <v>277</v>
      </c>
      <c r="G77" s="10" t="s">
        <v>278</v>
      </c>
      <c r="H77" s="5" t="s">
        <v>275</v>
      </c>
      <c r="I77" s="11" t="b">
        <f t="shared" si="2"/>
        <v>1</v>
      </c>
      <c r="K77" s="11" t="b">
        <f t="shared" si="3"/>
        <v>0</v>
      </c>
    </row>
    <row r="78" ht="22.5" customHeight="1">
      <c r="A78" s="12">
        <f t="shared" si="4"/>
        <v>77</v>
      </c>
      <c r="B78" s="6" t="s">
        <v>279</v>
      </c>
      <c r="C78" s="7" t="str">
        <f t="shared" si="1"/>
        <v>🔊</v>
      </c>
      <c r="D78" s="8" t="s">
        <v>280</v>
      </c>
      <c r="E78" s="6" t="s">
        <v>281</v>
      </c>
      <c r="F78" s="13" t="str">
        <f>IFERROR(__xludf.DUMMYFUNCTION("GOOGLETRANSLATE(B78,""zh_cn"",""vi"")"),"Và")</f>
        <v>Và</v>
      </c>
      <c r="G78" s="10" t="s">
        <v>282</v>
      </c>
      <c r="H78" s="5" t="s">
        <v>279</v>
      </c>
      <c r="I78" s="11" t="b">
        <f t="shared" si="2"/>
        <v>1</v>
      </c>
      <c r="K78" s="11" t="b">
        <f t="shared" si="3"/>
        <v>0</v>
      </c>
    </row>
    <row r="79" ht="22.5" customHeight="1">
      <c r="A79" s="12">
        <f t="shared" si="4"/>
        <v>78</v>
      </c>
      <c r="B79" s="6" t="s">
        <v>283</v>
      </c>
      <c r="C79" s="7" t="str">
        <f t="shared" si="1"/>
        <v>🔊</v>
      </c>
      <c r="D79" s="8" t="s">
        <v>284</v>
      </c>
      <c r="E79" s="6" t="s">
        <v>13</v>
      </c>
      <c r="F79" s="13" t="str">
        <f>IFERROR(__xludf.DUMMYFUNCTION("GOOGLETRANSLATE(B79,""zh_cn"",""vi"")"),"uống")</f>
        <v>uống</v>
      </c>
      <c r="G79" s="10" t="s">
        <v>285</v>
      </c>
      <c r="H79" s="5" t="s">
        <v>283</v>
      </c>
      <c r="I79" s="11" t="b">
        <f t="shared" si="2"/>
        <v>1</v>
      </c>
      <c r="K79" s="11" t="b">
        <f t="shared" si="3"/>
        <v>0</v>
      </c>
    </row>
    <row r="80" ht="22.5" customHeight="1">
      <c r="A80" s="12">
        <f t="shared" si="4"/>
        <v>79</v>
      </c>
      <c r="B80" s="6" t="s">
        <v>286</v>
      </c>
      <c r="C80" s="7" t="str">
        <f t="shared" si="1"/>
        <v>🔊</v>
      </c>
      <c r="D80" s="8" t="s">
        <v>287</v>
      </c>
      <c r="E80" s="6" t="s">
        <v>61</v>
      </c>
      <c r="F80" s="13" t="str">
        <f>IFERROR(__xludf.DUMMYFUNCTION("GOOGLETRANSLATE(B80,""zh_cn"",""vi"")"),"rất")</f>
        <v>rất</v>
      </c>
      <c r="G80" s="10" t="s">
        <v>288</v>
      </c>
      <c r="H80" s="5" t="s">
        <v>286</v>
      </c>
      <c r="I80" s="11" t="b">
        <f t="shared" si="2"/>
        <v>1</v>
      </c>
      <c r="K80" s="11" t="b">
        <f t="shared" si="3"/>
        <v>0</v>
      </c>
    </row>
    <row r="81" ht="22.5" customHeight="1">
      <c r="A81" s="12">
        <f t="shared" si="4"/>
        <v>80</v>
      </c>
      <c r="B81" s="6" t="s">
        <v>289</v>
      </c>
      <c r="C81" s="7" t="str">
        <f t="shared" si="1"/>
        <v>🔊</v>
      </c>
      <c r="D81" s="8" t="s">
        <v>290</v>
      </c>
      <c r="E81" s="6" t="s">
        <v>27</v>
      </c>
      <c r="F81" s="13" t="str">
        <f>IFERROR(__xludf.DUMMYFUNCTION("GOOGLETRANSLATE(B81,""zh_cn"",""vi"")"),"mặt sau")</f>
        <v>mặt sau</v>
      </c>
      <c r="G81" s="10" t="s">
        <v>291</v>
      </c>
      <c r="H81" s="5" t="s">
        <v>289</v>
      </c>
      <c r="I81" s="11" t="b">
        <f t="shared" si="2"/>
        <v>1</v>
      </c>
      <c r="K81" s="11" t="b">
        <f t="shared" si="3"/>
        <v>0</v>
      </c>
    </row>
    <row r="82" ht="22.5" customHeight="1">
      <c r="A82" s="12">
        <f t="shared" si="4"/>
        <v>81</v>
      </c>
      <c r="B82" s="6" t="s">
        <v>292</v>
      </c>
      <c r="C82" s="7" t="str">
        <f t="shared" si="1"/>
        <v>🔊</v>
      </c>
      <c r="D82" s="8" t="s">
        <v>293</v>
      </c>
      <c r="E82" s="6" t="s">
        <v>294</v>
      </c>
      <c r="F82" s="13" t="str">
        <f>IFERROR(__xludf.DUMMYFUNCTION("GOOGLETRANSLATE(B82,""zh_cn"",""vi"")"),"trở lại")</f>
        <v>trở lại</v>
      </c>
      <c r="G82" s="10" t="s">
        <v>295</v>
      </c>
      <c r="H82" s="5" t="s">
        <v>292</v>
      </c>
      <c r="I82" s="11" t="b">
        <f t="shared" si="2"/>
        <v>1</v>
      </c>
      <c r="K82" s="11" t="b">
        <f t="shared" si="3"/>
        <v>0</v>
      </c>
    </row>
    <row r="83" ht="22.5" customHeight="1">
      <c r="A83" s="12">
        <f t="shared" si="4"/>
        <v>82</v>
      </c>
      <c r="B83" s="6" t="s">
        <v>296</v>
      </c>
      <c r="C83" s="7" t="str">
        <f t="shared" si="1"/>
        <v>🔊</v>
      </c>
      <c r="D83" s="8" t="s">
        <v>297</v>
      </c>
      <c r="E83" s="6" t="s">
        <v>13</v>
      </c>
      <c r="F83" s="9" t="s">
        <v>298</v>
      </c>
      <c r="G83" s="10" t="s">
        <v>299</v>
      </c>
      <c r="H83" s="5" t="s">
        <v>296</v>
      </c>
      <c r="I83" s="11" t="b">
        <f t="shared" si="2"/>
        <v>1</v>
      </c>
      <c r="K83" s="11" t="b">
        <f t="shared" si="3"/>
        <v>0</v>
      </c>
    </row>
    <row r="84" ht="22.5" customHeight="1">
      <c r="A84" s="12">
        <f t="shared" si="4"/>
        <v>83</v>
      </c>
      <c r="B84" s="6" t="s">
        <v>300</v>
      </c>
      <c r="C84" s="7" t="str">
        <f t="shared" si="1"/>
        <v>🔊</v>
      </c>
      <c r="D84" s="8" t="s">
        <v>301</v>
      </c>
      <c r="E84" s="6" t="s">
        <v>27</v>
      </c>
      <c r="F84" s="13" t="str">
        <f>IFERROR(__xludf.DUMMYFUNCTION("GOOGLETRANSLATE(B84,""zh_cn"",""vi"")"),"xe lửa")</f>
        <v>xe lửa</v>
      </c>
      <c r="G84" s="10" t="s">
        <v>302</v>
      </c>
      <c r="H84" s="5" t="s">
        <v>300</v>
      </c>
      <c r="I84" s="11" t="b">
        <f t="shared" si="2"/>
        <v>1</v>
      </c>
      <c r="K84" s="11" t="b">
        <f t="shared" si="3"/>
        <v>0</v>
      </c>
    </row>
    <row r="85" ht="22.5" customHeight="1">
      <c r="A85" s="12">
        <f t="shared" si="4"/>
        <v>84</v>
      </c>
      <c r="B85" s="6" t="s">
        <v>303</v>
      </c>
      <c r="C85" s="7" t="str">
        <f t="shared" si="1"/>
        <v>🔊</v>
      </c>
      <c r="D85" s="8" t="s">
        <v>304</v>
      </c>
      <c r="E85" s="6" t="s">
        <v>305</v>
      </c>
      <c r="F85" s="13" t="str">
        <f>IFERROR(__xludf.DUMMYFUNCTION("GOOGLETRANSLATE(B85,""zh_cn"",""vi"")"),"Một số")</f>
        <v>Một số</v>
      </c>
      <c r="G85" s="10" t="s">
        <v>306</v>
      </c>
      <c r="H85" s="5" t="s">
        <v>303</v>
      </c>
      <c r="I85" s="11" t="b">
        <f t="shared" si="2"/>
        <v>1</v>
      </c>
      <c r="K85" s="11" t="b">
        <f t="shared" si="3"/>
        <v>0</v>
      </c>
    </row>
    <row r="86" ht="22.5" customHeight="1">
      <c r="A86" s="12">
        <f t="shared" si="4"/>
        <v>85</v>
      </c>
      <c r="B86" s="6" t="s">
        <v>307</v>
      </c>
      <c r="C86" s="7" t="str">
        <f t="shared" si="1"/>
        <v>🔊</v>
      </c>
      <c r="D86" s="8" t="s">
        <v>308</v>
      </c>
      <c r="E86" s="6" t="s">
        <v>309</v>
      </c>
      <c r="F86" s="9" t="s">
        <v>310</v>
      </c>
      <c r="G86" s="10" t="s">
        <v>311</v>
      </c>
      <c r="H86" s="5" t="s">
        <v>307</v>
      </c>
      <c r="I86" s="11" t="b">
        <f t="shared" si="2"/>
        <v>1</v>
      </c>
      <c r="K86" s="11" t="b">
        <f t="shared" si="3"/>
        <v>0</v>
      </c>
    </row>
    <row r="87" ht="22.5" customHeight="1">
      <c r="A87" s="12">
        <f t="shared" si="4"/>
        <v>86</v>
      </c>
      <c r="B87" s="6" t="s">
        <v>312</v>
      </c>
      <c r="C87" s="7" t="str">
        <f t="shared" si="1"/>
        <v>🔊</v>
      </c>
      <c r="D87" s="8" t="s">
        <v>313</v>
      </c>
      <c r="E87" s="6" t="s">
        <v>13</v>
      </c>
      <c r="F87" s="13" t="str">
        <f>IFERROR(__xludf.DUMMYFUNCTION("GOOGLETRANSLATE(B87,""zh_cn"",""vi"")"),"Nhìn thấy")</f>
        <v>Nhìn thấy</v>
      </c>
      <c r="G87" s="10" t="s">
        <v>314</v>
      </c>
      <c r="H87" s="5" t="s">
        <v>312</v>
      </c>
      <c r="I87" s="11" t="b">
        <f t="shared" si="2"/>
        <v>1</v>
      </c>
      <c r="K87" s="11" t="b">
        <f t="shared" si="3"/>
        <v>0</v>
      </c>
    </row>
    <row r="88" ht="22.5" customHeight="1">
      <c r="A88" s="12">
        <f t="shared" si="4"/>
        <v>87</v>
      </c>
      <c r="B88" s="6" t="s">
        <v>315</v>
      </c>
      <c r="C88" s="7" t="str">
        <f t="shared" si="1"/>
        <v>🔊</v>
      </c>
      <c r="D88" s="8" t="s">
        <v>313</v>
      </c>
      <c r="E88" s="6" t="s">
        <v>47</v>
      </c>
      <c r="F88" s="9" t="s">
        <v>316</v>
      </c>
      <c r="G88" s="10" t="s">
        <v>317</v>
      </c>
      <c r="H88" s="5" t="s">
        <v>315</v>
      </c>
      <c r="I88" s="11" t="b">
        <f t="shared" si="2"/>
        <v>1</v>
      </c>
      <c r="K88" s="11" t="b">
        <f t="shared" si="3"/>
        <v>0</v>
      </c>
    </row>
    <row r="89" ht="22.5" customHeight="1">
      <c r="A89" s="12">
        <f t="shared" si="4"/>
        <v>88</v>
      </c>
      <c r="B89" s="6" t="s">
        <v>318</v>
      </c>
      <c r="C89" s="7" t="str">
        <f t="shared" si="1"/>
        <v>🔊</v>
      </c>
      <c r="D89" s="8" t="s">
        <v>319</v>
      </c>
      <c r="E89" s="6" t="s">
        <v>225</v>
      </c>
      <c r="F89" s="13" t="str">
        <f>IFERROR(__xludf.DUMMYFUNCTION("GOOGLETRANSLATE(B89,""zh_cn"",""vi"")"),"Gọi")</f>
        <v>Gọi</v>
      </c>
      <c r="G89" s="10" t="s">
        <v>320</v>
      </c>
      <c r="H89" s="5" t="s">
        <v>318</v>
      </c>
      <c r="I89" s="11" t="b">
        <f t="shared" si="2"/>
        <v>1</v>
      </c>
      <c r="K89" s="11" t="b">
        <f t="shared" si="3"/>
        <v>0</v>
      </c>
    </row>
    <row r="90" ht="22.5" customHeight="1">
      <c r="A90" s="12">
        <f t="shared" si="4"/>
        <v>89</v>
      </c>
      <c r="B90" s="6" t="s">
        <v>321</v>
      </c>
      <c r="C90" s="7" t="str">
        <f t="shared" si="1"/>
        <v>🔊</v>
      </c>
      <c r="D90" s="8" t="s">
        <v>322</v>
      </c>
      <c r="E90" s="6" t="s">
        <v>27</v>
      </c>
      <c r="F90" s="9" t="s">
        <v>323</v>
      </c>
      <c r="G90" s="10" t="s">
        <v>324</v>
      </c>
      <c r="H90" s="5" t="s">
        <v>321</v>
      </c>
      <c r="I90" s="11" t="b">
        <f t="shared" si="2"/>
        <v>1</v>
      </c>
      <c r="K90" s="11" t="b">
        <f t="shared" si="3"/>
        <v>0</v>
      </c>
    </row>
    <row r="91" ht="22.5" customHeight="1">
      <c r="A91" s="12">
        <f t="shared" si="4"/>
        <v>90</v>
      </c>
      <c r="B91" s="6" t="s">
        <v>325</v>
      </c>
      <c r="C91" s="7" t="str">
        <f t="shared" si="1"/>
        <v>🔊</v>
      </c>
      <c r="D91" s="8" t="s">
        <v>326</v>
      </c>
      <c r="E91" s="6" t="s">
        <v>27</v>
      </c>
      <c r="F91" s="9" t="s">
        <v>327</v>
      </c>
      <c r="G91" s="10" t="s">
        <v>328</v>
      </c>
      <c r="H91" s="5" t="s">
        <v>325</v>
      </c>
      <c r="I91" s="11" t="b">
        <f t="shared" si="2"/>
        <v>1</v>
      </c>
      <c r="K91" s="11" t="b">
        <f t="shared" si="3"/>
        <v>0</v>
      </c>
    </row>
    <row r="92" ht="22.5" customHeight="1">
      <c r="A92" s="12">
        <f t="shared" si="4"/>
        <v>91</v>
      </c>
      <c r="B92" s="6" t="s">
        <v>329</v>
      </c>
      <c r="C92" s="7" t="str">
        <f t="shared" si="1"/>
        <v>🔊</v>
      </c>
      <c r="D92" s="8" t="s">
        <v>330</v>
      </c>
      <c r="E92" s="6" t="s">
        <v>27</v>
      </c>
      <c r="F92" s="13" t="str">
        <f>IFERROR(__xludf.DUMMYFUNCTION("GOOGLETRANSLATE(B92,""zh_cn"",""vi"")"),"trứng")</f>
        <v>trứng</v>
      </c>
      <c r="G92" s="10" t="s">
        <v>331</v>
      </c>
      <c r="H92" s="5" t="s">
        <v>329</v>
      </c>
      <c r="I92" s="11" t="b">
        <f t="shared" si="2"/>
        <v>1</v>
      </c>
      <c r="K92" s="11" t="b">
        <f t="shared" si="3"/>
        <v>0</v>
      </c>
    </row>
    <row r="93" ht="22.5" customHeight="1">
      <c r="A93" s="12">
        <f t="shared" si="4"/>
        <v>92</v>
      </c>
      <c r="B93" s="6" t="s">
        <v>332</v>
      </c>
      <c r="C93" s="7" t="str">
        <f t="shared" si="1"/>
        <v>🔊</v>
      </c>
      <c r="D93" s="8" t="s">
        <v>333</v>
      </c>
      <c r="E93" s="6" t="s">
        <v>27</v>
      </c>
      <c r="F93" s="13" t="str">
        <f>IFERROR(__xludf.DUMMYFUNCTION("GOOGLETRANSLATE(B93,""zh_cn"",""vi"")"),"chị gái")</f>
        <v>chị gái</v>
      </c>
      <c r="G93" s="10" t="s">
        <v>334</v>
      </c>
      <c r="H93" s="5" t="s">
        <v>332</v>
      </c>
      <c r="I93" s="11" t="b">
        <f t="shared" si="2"/>
        <v>1</v>
      </c>
      <c r="K93" s="11" t="b">
        <f t="shared" si="3"/>
        <v>0</v>
      </c>
    </row>
    <row r="94" ht="22.5" customHeight="1">
      <c r="A94" s="12">
        <f t="shared" si="4"/>
        <v>93</v>
      </c>
      <c r="B94" s="6" t="s">
        <v>335</v>
      </c>
      <c r="C94" s="7" t="str">
        <f t="shared" si="1"/>
        <v>🔊</v>
      </c>
      <c r="D94" s="8" t="s">
        <v>336</v>
      </c>
      <c r="E94" s="6" t="s">
        <v>27</v>
      </c>
      <c r="F94" s="13" t="str">
        <f>IFERROR(__xludf.DUMMYFUNCTION("GOOGLETRANSLATE(B94,""zh_cn"",""vi"")"),"Năm nay")</f>
        <v>Năm nay</v>
      </c>
      <c r="G94" s="10" t="s">
        <v>337</v>
      </c>
      <c r="H94" s="5" t="s">
        <v>335</v>
      </c>
      <c r="I94" s="11" t="b">
        <f t="shared" si="2"/>
        <v>1</v>
      </c>
      <c r="K94" s="11" t="b">
        <f t="shared" si="3"/>
        <v>0</v>
      </c>
    </row>
    <row r="95" ht="22.5" customHeight="1">
      <c r="A95" s="12">
        <f t="shared" si="4"/>
        <v>94</v>
      </c>
      <c r="B95" s="6" t="s">
        <v>338</v>
      </c>
      <c r="C95" s="7" t="str">
        <f t="shared" si="1"/>
        <v>🔊</v>
      </c>
      <c r="D95" s="8" t="s">
        <v>339</v>
      </c>
      <c r="E95" s="6" t="s">
        <v>27</v>
      </c>
      <c r="F95" s="13" t="str">
        <f>IFERROR(__xludf.DUMMYFUNCTION("GOOGLETRANSLATE(B95,""zh_cn"",""vi"")"),"Hôm nay")</f>
        <v>Hôm nay</v>
      </c>
      <c r="G95" s="10" t="s">
        <v>340</v>
      </c>
      <c r="H95" s="5" t="s">
        <v>338</v>
      </c>
      <c r="I95" s="11" t="b">
        <f t="shared" si="2"/>
        <v>1</v>
      </c>
      <c r="K95" s="11" t="b">
        <f t="shared" si="3"/>
        <v>0</v>
      </c>
    </row>
    <row r="96" ht="22.5" customHeight="1">
      <c r="A96" s="12">
        <f t="shared" si="4"/>
        <v>95</v>
      </c>
      <c r="B96" s="6" t="s">
        <v>341</v>
      </c>
      <c r="C96" s="7" t="str">
        <f t="shared" si="1"/>
        <v>🔊</v>
      </c>
      <c r="D96" s="8" t="s">
        <v>342</v>
      </c>
      <c r="E96" s="6" t="s">
        <v>23</v>
      </c>
      <c r="F96" s="13" t="str">
        <f>IFERROR(__xludf.DUMMYFUNCTION("GOOGLETRANSLATE(B96,""zh_cn"",""vi"")"),"Chín")</f>
        <v>Chín</v>
      </c>
      <c r="G96" s="10" t="s">
        <v>343</v>
      </c>
      <c r="H96" s="5" t="s">
        <v>341</v>
      </c>
      <c r="I96" s="11" t="b">
        <f t="shared" si="2"/>
        <v>1</v>
      </c>
      <c r="K96" s="11" t="b">
        <f t="shared" si="3"/>
        <v>0</v>
      </c>
    </row>
    <row r="97" ht="22.5" customHeight="1">
      <c r="A97" s="12">
        <f t="shared" si="4"/>
        <v>96</v>
      </c>
      <c r="B97" s="6" t="s">
        <v>344</v>
      </c>
      <c r="C97" s="7" t="str">
        <f t="shared" si="1"/>
        <v>🔊</v>
      </c>
      <c r="D97" s="8" t="s">
        <v>345</v>
      </c>
      <c r="E97" s="6" t="s">
        <v>13</v>
      </c>
      <c r="F97" s="13" t="str">
        <f>IFERROR(__xludf.DUMMYFUNCTION("GOOGLETRANSLATE(B97,""zh_cn"",""vi"")"),"cảm thấy")</f>
        <v>cảm thấy</v>
      </c>
      <c r="G97" s="10" t="s">
        <v>346</v>
      </c>
      <c r="H97" s="5" t="s">
        <v>344</v>
      </c>
      <c r="I97" s="11" t="b">
        <f t="shared" si="2"/>
        <v>1</v>
      </c>
      <c r="K97" s="11" t="b">
        <f t="shared" si="3"/>
        <v>0</v>
      </c>
    </row>
    <row r="98" ht="22.5" customHeight="1">
      <c r="A98" s="12">
        <f t="shared" si="4"/>
        <v>97</v>
      </c>
      <c r="B98" s="6" t="s">
        <v>347</v>
      </c>
      <c r="C98" s="7" t="str">
        <f t="shared" si="1"/>
        <v>🔊</v>
      </c>
      <c r="D98" s="8" t="s">
        <v>348</v>
      </c>
      <c r="E98" s="6" t="s">
        <v>13</v>
      </c>
      <c r="F98" s="13" t="str">
        <f>IFERROR(__xludf.DUMMYFUNCTION("GOOGLETRANSLATE(B98,""zh_cn"",""vi"")"),"mở")</f>
        <v>mở</v>
      </c>
      <c r="G98" s="10" t="s">
        <v>349</v>
      </c>
      <c r="H98" s="5" t="s">
        <v>347</v>
      </c>
      <c r="I98" s="11" t="b">
        <f t="shared" si="2"/>
        <v>1</v>
      </c>
      <c r="K98" s="11" t="b">
        <f t="shared" si="3"/>
        <v>0</v>
      </c>
    </row>
    <row r="99" ht="22.5" customHeight="1">
      <c r="A99" s="12">
        <f t="shared" si="4"/>
        <v>98</v>
      </c>
      <c r="B99" s="6" t="s">
        <v>350</v>
      </c>
      <c r="C99" s="7" t="str">
        <f t="shared" si="1"/>
        <v>🔊</v>
      </c>
      <c r="D99" s="8" t="s">
        <v>351</v>
      </c>
      <c r="E99" s="6" t="s">
        <v>13</v>
      </c>
      <c r="F99" s="13" t="str">
        <f>IFERROR(__xludf.DUMMYFUNCTION("GOOGLETRANSLATE(B99,""zh_cn"",""vi"")"),"lái xe")</f>
        <v>lái xe</v>
      </c>
      <c r="G99" s="10" t="s">
        <v>352</v>
      </c>
      <c r="H99" s="5" t="s">
        <v>350</v>
      </c>
      <c r="I99" s="11" t="b">
        <f t="shared" si="2"/>
        <v>1</v>
      </c>
      <c r="K99" s="11" t="b">
        <f t="shared" si="3"/>
        <v>0</v>
      </c>
    </row>
    <row r="100" ht="22.5" customHeight="1">
      <c r="A100" s="12">
        <f t="shared" si="4"/>
        <v>99</v>
      </c>
      <c r="B100" s="6" t="s">
        <v>353</v>
      </c>
      <c r="C100" s="7" t="str">
        <f t="shared" si="1"/>
        <v>🔊</v>
      </c>
      <c r="D100" s="8" t="s">
        <v>354</v>
      </c>
      <c r="E100" s="6" t="s">
        <v>13</v>
      </c>
      <c r="F100" s="13" t="str">
        <f>IFERROR(__xludf.DUMMYFUNCTION("GOOGLETRANSLATE(B100,""zh_cn"",""vi"")"),"Nhìn")</f>
        <v>Nhìn</v>
      </c>
      <c r="G100" s="10" t="s">
        <v>355</v>
      </c>
      <c r="H100" s="5" t="s">
        <v>353</v>
      </c>
      <c r="I100" s="11" t="b">
        <f t="shared" si="2"/>
        <v>1</v>
      </c>
      <c r="K100" s="11" t="b">
        <f t="shared" si="3"/>
        <v>0</v>
      </c>
    </row>
    <row r="101" ht="22.5" customHeight="1">
      <c r="A101" s="12">
        <f t="shared" si="4"/>
        <v>100</v>
      </c>
      <c r="B101" s="6" t="s">
        <v>356</v>
      </c>
      <c r="C101" s="7" t="str">
        <f t="shared" si="1"/>
        <v>🔊</v>
      </c>
      <c r="D101" s="8" t="s">
        <v>357</v>
      </c>
      <c r="E101" s="6" t="s">
        <v>13</v>
      </c>
      <c r="F101" s="13" t="str">
        <f>IFERROR(__xludf.DUMMYFUNCTION("GOOGLETRANSLATE(B101,""zh_cn"",""vi"")"),"đi khám bác sĩ")</f>
        <v>đi khám bác sĩ</v>
      </c>
      <c r="G101" s="10" t="s">
        <v>358</v>
      </c>
      <c r="H101" s="5" t="s">
        <v>356</v>
      </c>
      <c r="I101" s="11" t="b">
        <f t="shared" si="2"/>
        <v>1</v>
      </c>
      <c r="K101" s="11" t="b">
        <f t="shared" si="3"/>
        <v>0</v>
      </c>
    </row>
    <row r="102" ht="22.5" customHeight="1">
      <c r="A102" s="12">
        <f t="shared" si="4"/>
        <v>101</v>
      </c>
      <c r="B102" s="6" t="s">
        <v>359</v>
      </c>
      <c r="C102" s="7" t="str">
        <f t="shared" si="1"/>
        <v>🔊</v>
      </c>
      <c r="D102" s="8" t="s">
        <v>360</v>
      </c>
      <c r="E102" s="6" t="s">
        <v>13</v>
      </c>
      <c r="F102" s="13" t="str">
        <f>IFERROR(__xludf.DUMMYFUNCTION("GOOGLETRANSLATE(B102,""zh_cn"",""vi"")"),"nhìn thấy")</f>
        <v>nhìn thấy</v>
      </c>
      <c r="G102" s="10" t="s">
        <v>361</v>
      </c>
      <c r="H102" s="5" t="s">
        <v>359</v>
      </c>
      <c r="I102" s="11" t="b">
        <f t="shared" si="2"/>
        <v>1</v>
      </c>
      <c r="K102" s="11" t="b">
        <f t="shared" si="3"/>
        <v>0</v>
      </c>
    </row>
    <row r="103" ht="22.5" customHeight="1">
      <c r="A103" s="12">
        <f t="shared" si="4"/>
        <v>102</v>
      </c>
      <c r="B103" s="6" t="s">
        <v>362</v>
      </c>
      <c r="C103" s="7" t="str">
        <f t="shared" si="1"/>
        <v>🔊</v>
      </c>
      <c r="D103" s="8" t="s">
        <v>363</v>
      </c>
      <c r="E103" s="6" t="s">
        <v>27</v>
      </c>
      <c r="F103" s="5" t="s">
        <v>364</v>
      </c>
      <c r="G103" s="10" t="s">
        <v>365</v>
      </c>
      <c r="H103" s="5" t="s">
        <v>362</v>
      </c>
      <c r="I103" s="11" t="b">
        <f t="shared" si="2"/>
        <v>1</v>
      </c>
      <c r="K103" s="11" t="b">
        <f t="shared" si="3"/>
        <v>0</v>
      </c>
    </row>
    <row r="104" ht="22.5" customHeight="1">
      <c r="A104" s="12">
        <f t="shared" si="4"/>
        <v>103</v>
      </c>
      <c r="B104" s="6" t="s">
        <v>366</v>
      </c>
      <c r="C104" s="7" t="str">
        <f t="shared" si="1"/>
        <v>🔊</v>
      </c>
      <c r="D104" s="8" t="s">
        <v>367</v>
      </c>
      <c r="E104" s="6" t="s">
        <v>368</v>
      </c>
      <c r="F104" s="13" t="str">
        <f>IFERROR(__xludf.DUMMYFUNCTION("GOOGLETRANSLATE(B104,""zh_cn"",""vi"")"),"Có thể")</f>
        <v>Có thể</v>
      </c>
      <c r="G104" s="10" t="s">
        <v>369</v>
      </c>
      <c r="H104" s="5" t="s">
        <v>366</v>
      </c>
      <c r="I104" s="11" t="b">
        <f t="shared" si="2"/>
        <v>1</v>
      </c>
      <c r="K104" s="11" t="b">
        <f t="shared" si="3"/>
        <v>0</v>
      </c>
    </row>
    <row r="105" ht="22.5" customHeight="1">
      <c r="A105" s="12">
        <f t="shared" si="4"/>
        <v>104</v>
      </c>
      <c r="B105" s="6" t="s">
        <v>370</v>
      </c>
      <c r="C105" s="7" t="str">
        <f t="shared" si="1"/>
        <v>🔊</v>
      </c>
      <c r="D105" s="8" t="s">
        <v>371</v>
      </c>
      <c r="E105" s="6" t="s">
        <v>259</v>
      </c>
      <c r="F105" s="13" t="str">
        <f>IFERROR(__xludf.DUMMYFUNCTION("GOOGLETRANSLATE(B105,""zh_cn"",""vi"")"),"miệng")</f>
        <v>miệng</v>
      </c>
      <c r="G105" s="10" t="s">
        <v>372</v>
      </c>
      <c r="H105" s="5" t="s">
        <v>370</v>
      </c>
      <c r="I105" s="11" t="b">
        <f t="shared" si="2"/>
        <v>1</v>
      </c>
      <c r="K105" s="11" t="b">
        <f t="shared" si="3"/>
        <v>0</v>
      </c>
    </row>
    <row r="106" ht="22.5" customHeight="1">
      <c r="A106" s="12">
        <f t="shared" si="4"/>
        <v>105</v>
      </c>
      <c r="B106" s="6" t="s">
        <v>373</v>
      </c>
      <c r="C106" s="7" t="str">
        <f t="shared" si="1"/>
        <v>🔊</v>
      </c>
      <c r="D106" s="8" t="s">
        <v>374</v>
      </c>
      <c r="E106" s="6" t="s">
        <v>47</v>
      </c>
      <c r="F106" s="5" t="s">
        <v>375</v>
      </c>
      <c r="G106" s="10" t="s">
        <v>376</v>
      </c>
      <c r="H106" s="5" t="s">
        <v>373</v>
      </c>
      <c r="I106" s="11" t="b">
        <f t="shared" si="2"/>
        <v>1</v>
      </c>
      <c r="K106" s="11" t="b">
        <f t="shared" si="3"/>
        <v>0</v>
      </c>
    </row>
    <row r="107" ht="22.5" customHeight="1">
      <c r="A107" s="12">
        <f t="shared" si="4"/>
        <v>106</v>
      </c>
      <c r="B107" s="6" t="s">
        <v>377</v>
      </c>
      <c r="C107" s="7" t="str">
        <f t="shared" si="1"/>
        <v>🔊</v>
      </c>
      <c r="D107" s="8" t="s">
        <v>378</v>
      </c>
      <c r="E107" s="6" t="s">
        <v>13</v>
      </c>
      <c r="F107" s="13" t="str">
        <f>IFERROR(__xludf.DUMMYFUNCTION("GOOGLETRANSLATE(B107,""zh_cn"",""vi"")"),"Đến")</f>
        <v>Đến</v>
      </c>
      <c r="G107" s="10" t="s">
        <v>379</v>
      </c>
      <c r="H107" s="5" t="s">
        <v>377</v>
      </c>
      <c r="I107" s="11" t="b">
        <f t="shared" si="2"/>
        <v>1</v>
      </c>
      <c r="K107" s="11" t="b">
        <f t="shared" si="3"/>
        <v>0</v>
      </c>
    </row>
    <row r="108" ht="22.5" customHeight="1">
      <c r="A108" s="12">
        <f t="shared" si="4"/>
        <v>107</v>
      </c>
      <c r="B108" s="6" t="s">
        <v>380</v>
      </c>
      <c r="C108" s="7" t="str">
        <f t="shared" si="1"/>
        <v>🔊</v>
      </c>
      <c r="D108" s="8" t="s">
        <v>381</v>
      </c>
      <c r="E108" s="6" t="s">
        <v>27</v>
      </c>
      <c r="F108" s="13" t="str">
        <f>IFERROR(__xludf.DUMMYFUNCTION("GOOGLETRANSLATE(B108,""zh_cn"",""vi"")"),"giáo viên")</f>
        <v>giáo viên</v>
      </c>
      <c r="G108" s="10" t="s">
        <v>382</v>
      </c>
      <c r="H108" s="5" t="s">
        <v>380</v>
      </c>
      <c r="I108" s="11" t="b">
        <f t="shared" si="2"/>
        <v>1</v>
      </c>
      <c r="K108" s="11" t="b">
        <f t="shared" si="3"/>
        <v>0</v>
      </c>
    </row>
    <row r="109" ht="22.5" customHeight="1">
      <c r="A109" s="12">
        <f t="shared" si="4"/>
        <v>108</v>
      </c>
      <c r="B109" s="6" t="s">
        <v>383</v>
      </c>
      <c r="C109" s="7" t="str">
        <f t="shared" si="1"/>
        <v>🔊</v>
      </c>
      <c r="D109" s="8" t="s">
        <v>384</v>
      </c>
      <c r="E109" s="6" t="s">
        <v>18</v>
      </c>
      <c r="F109" s="13" t="str">
        <f>IFERROR(__xludf.DUMMYFUNCTION("GOOGLETRANSLATE(B109,""zh_cn"",""vi"")"),"Đã")</f>
        <v>Đã</v>
      </c>
      <c r="G109" s="10" t="s">
        <v>385</v>
      </c>
      <c r="H109" s="5" t="s">
        <v>383</v>
      </c>
      <c r="I109" s="11" t="b">
        <f t="shared" si="2"/>
        <v>1</v>
      </c>
      <c r="K109" s="11" t="b">
        <f t="shared" si="3"/>
        <v>0</v>
      </c>
    </row>
    <row r="110" ht="22.5" customHeight="1">
      <c r="A110" s="12">
        <f t="shared" si="4"/>
        <v>109</v>
      </c>
      <c r="B110" s="6" t="s">
        <v>386</v>
      </c>
      <c r="C110" s="7" t="str">
        <f t="shared" si="1"/>
        <v>🔊</v>
      </c>
      <c r="D110" s="8" t="s">
        <v>387</v>
      </c>
      <c r="E110" s="6" t="s">
        <v>99</v>
      </c>
      <c r="F110" s="13" t="str">
        <f>IFERROR(__xludf.DUMMYFUNCTION("GOOGLETRANSLATE(B110,""zh_cn"",""vi"")"),"lạnh lẽo")</f>
        <v>lạnh lẽo</v>
      </c>
      <c r="G110" s="10" t="s">
        <v>388</v>
      </c>
      <c r="H110" s="5" t="s">
        <v>386</v>
      </c>
      <c r="I110" s="11" t="b">
        <f t="shared" si="2"/>
        <v>1</v>
      </c>
      <c r="K110" s="11" t="b">
        <f t="shared" si="3"/>
        <v>0</v>
      </c>
    </row>
    <row r="111" ht="22.5" customHeight="1">
      <c r="A111" s="12">
        <f t="shared" si="4"/>
        <v>110</v>
      </c>
      <c r="B111" s="6" t="s">
        <v>389</v>
      </c>
      <c r="C111" s="7" t="str">
        <f t="shared" si="1"/>
        <v>🔊</v>
      </c>
      <c r="D111" s="8" t="s">
        <v>390</v>
      </c>
      <c r="E111" s="6" t="s">
        <v>27</v>
      </c>
      <c r="F111" s="13" t="str">
        <f>IFERROR(__xludf.DUMMYFUNCTION("GOOGLETRANSLATE(B111,""zh_cn"",""vi"")"),"bên trong")</f>
        <v>bên trong</v>
      </c>
      <c r="G111" s="10" t="s">
        <v>391</v>
      </c>
      <c r="H111" s="5" t="s">
        <v>389</v>
      </c>
      <c r="I111" s="11" t="b">
        <f t="shared" si="2"/>
        <v>1</v>
      </c>
      <c r="K111" s="11" t="b">
        <f t="shared" si="3"/>
        <v>0</v>
      </c>
    </row>
    <row r="112" ht="22.5" customHeight="1">
      <c r="A112" s="12">
        <f t="shared" si="4"/>
        <v>111</v>
      </c>
      <c r="B112" s="6" t="s">
        <v>392</v>
      </c>
      <c r="C112" s="7" t="str">
        <f t="shared" si="1"/>
        <v>🔊</v>
      </c>
      <c r="D112" s="8" t="s">
        <v>393</v>
      </c>
      <c r="E112" s="6" t="s">
        <v>23</v>
      </c>
      <c r="F112" s="13" t="str">
        <f>IFERROR(__xludf.DUMMYFUNCTION("GOOGLETRANSLATE(B112,""zh_cn"",""vi"")"),"hai")</f>
        <v>hai</v>
      </c>
      <c r="G112" s="10" t="s">
        <v>394</v>
      </c>
      <c r="H112" s="5" t="s">
        <v>392</v>
      </c>
      <c r="I112" s="11" t="b">
        <f t="shared" si="2"/>
        <v>1</v>
      </c>
      <c r="K112" s="11" t="b">
        <f t="shared" si="3"/>
        <v>0</v>
      </c>
    </row>
    <row r="113" ht="22.5" customHeight="1">
      <c r="A113" s="12">
        <f t="shared" si="4"/>
        <v>112</v>
      </c>
      <c r="B113" s="6" t="s">
        <v>395</v>
      </c>
      <c r="C113" s="7" t="str">
        <f t="shared" si="1"/>
        <v>🔊</v>
      </c>
      <c r="D113" s="8" t="s">
        <v>396</v>
      </c>
      <c r="E113" s="6" t="s">
        <v>23</v>
      </c>
      <c r="F113" s="13" t="str">
        <f>IFERROR(__xludf.DUMMYFUNCTION("GOOGLETRANSLATE(B113,""zh_cn"",""vi"")"),"số không")</f>
        <v>số không</v>
      </c>
      <c r="G113" s="10" t="s">
        <v>397</v>
      </c>
      <c r="H113" s="5" t="s">
        <v>395</v>
      </c>
      <c r="I113" s="11" t="b">
        <f t="shared" si="2"/>
        <v>1</v>
      </c>
      <c r="K113" s="11" t="b">
        <f t="shared" si="3"/>
        <v>0</v>
      </c>
    </row>
    <row r="114" ht="22.5" customHeight="1">
      <c r="A114" s="12">
        <f t="shared" si="4"/>
        <v>113</v>
      </c>
      <c r="B114" s="6" t="s">
        <v>398</v>
      </c>
      <c r="C114" s="7" t="str">
        <f t="shared" si="1"/>
        <v>🔊</v>
      </c>
      <c r="D114" s="8" t="s">
        <v>399</v>
      </c>
      <c r="E114" s="6" t="s">
        <v>23</v>
      </c>
      <c r="F114" s="13" t="str">
        <f>IFERROR(__xludf.DUMMYFUNCTION("GOOGLETRANSLATE(B114,""zh_cn"",""vi"")"),"sáu")</f>
        <v>sáu</v>
      </c>
      <c r="G114" s="10" t="s">
        <v>400</v>
      </c>
      <c r="H114" s="5" t="s">
        <v>398</v>
      </c>
      <c r="I114" s="11" t="b">
        <f t="shared" si="2"/>
        <v>1</v>
      </c>
      <c r="K114" s="11" t="b">
        <f t="shared" si="3"/>
        <v>0</v>
      </c>
    </row>
    <row r="115" ht="22.5" customHeight="1">
      <c r="A115" s="12">
        <f t="shared" si="4"/>
        <v>114</v>
      </c>
      <c r="B115" s="6" t="s">
        <v>401</v>
      </c>
      <c r="C115" s="7" t="str">
        <f t="shared" si="1"/>
        <v>🔊</v>
      </c>
      <c r="D115" s="8" t="s">
        <v>402</v>
      </c>
      <c r="E115" s="6" t="s">
        <v>18</v>
      </c>
      <c r="F115" s="9" t="s">
        <v>403</v>
      </c>
      <c r="G115" s="10" t="s">
        <v>404</v>
      </c>
      <c r="H115" s="5" t="s">
        <v>401</v>
      </c>
      <c r="I115" s="11" t="b">
        <f t="shared" si="2"/>
        <v>1</v>
      </c>
      <c r="K115" s="11" t="b">
        <f t="shared" si="3"/>
        <v>0</v>
      </c>
    </row>
    <row r="116" ht="22.5" customHeight="1">
      <c r="A116" s="12">
        <f t="shared" si="4"/>
        <v>115</v>
      </c>
      <c r="B116" s="6" t="s">
        <v>405</v>
      </c>
      <c r="C116" s="7" t="str">
        <f t="shared" si="1"/>
        <v>🔊</v>
      </c>
      <c r="D116" s="8" t="s">
        <v>406</v>
      </c>
      <c r="E116" s="6" t="s">
        <v>13</v>
      </c>
      <c r="F116" s="13" t="str">
        <f>IFERROR(__xludf.DUMMYFUNCTION("GOOGLETRANSLATE(B116,""zh_cn"",""vi"")"),"Bán")</f>
        <v>Bán</v>
      </c>
      <c r="G116" s="10" t="s">
        <v>407</v>
      </c>
      <c r="H116" s="5" t="s">
        <v>405</v>
      </c>
      <c r="I116" s="11" t="b">
        <f t="shared" si="2"/>
        <v>1</v>
      </c>
      <c r="K116" s="11" t="b">
        <f t="shared" si="3"/>
        <v>0</v>
      </c>
    </row>
    <row r="117" ht="22.5" customHeight="1">
      <c r="A117" s="12">
        <f t="shared" si="4"/>
        <v>116</v>
      </c>
      <c r="B117" s="6" t="s">
        <v>408</v>
      </c>
      <c r="C117" s="7" t="str">
        <f t="shared" si="1"/>
        <v>🔊</v>
      </c>
      <c r="D117" s="8" t="s">
        <v>409</v>
      </c>
      <c r="E117" s="6" t="s">
        <v>13</v>
      </c>
      <c r="F117" s="13" t="str">
        <f>IFERROR(__xludf.DUMMYFUNCTION("GOOGLETRANSLATE(B117,""zh_cn"",""vi"")"),"mua")</f>
        <v>mua</v>
      </c>
      <c r="G117" s="10" t="s">
        <v>410</v>
      </c>
      <c r="H117" s="5" t="s">
        <v>408</v>
      </c>
      <c r="I117" s="11" t="b">
        <f t="shared" si="2"/>
        <v>1</v>
      </c>
      <c r="K117" s="11" t="b">
        <f t="shared" si="3"/>
        <v>0</v>
      </c>
    </row>
    <row r="118" ht="22.5" customHeight="1">
      <c r="A118" s="12">
        <f t="shared" si="4"/>
        <v>117</v>
      </c>
      <c r="B118" s="6" t="s">
        <v>411</v>
      </c>
      <c r="C118" s="7" t="str">
        <f t="shared" si="1"/>
        <v>🔊</v>
      </c>
      <c r="D118" s="8" t="s">
        <v>412</v>
      </c>
      <c r="E118" s="6" t="s">
        <v>27</v>
      </c>
      <c r="F118" s="13" t="str">
        <f>IFERROR(__xludf.DUMMYFUNCTION("GOOGLETRANSLATE(B118,""zh_cn"",""vi"")"),"Mẹ")</f>
        <v>Mẹ</v>
      </c>
      <c r="G118" s="10" t="s">
        <v>413</v>
      </c>
      <c r="H118" s="5" t="s">
        <v>411</v>
      </c>
      <c r="I118" s="11" t="b">
        <f t="shared" si="2"/>
        <v>1</v>
      </c>
      <c r="K118" s="11" t="b">
        <f t="shared" si="3"/>
        <v>0</v>
      </c>
    </row>
    <row r="119" ht="22.5" customHeight="1">
      <c r="A119" s="12">
        <f t="shared" si="4"/>
        <v>118</v>
      </c>
      <c r="B119" s="6" t="s">
        <v>414</v>
      </c>
      <c r="C119" s="7" t="str">
        <f t="shared" si="1"/>
        <v>🔊</v>
      </c>
      <c r="D119" s="8" t="s">
        <v>415</v>
      </c>
      <c r="E119" s="6" t="s">
        <v>416</v>
      </c>
      <c r="F119" s="13" t="str">
        <f>IFERROR(__xludf.DUMMYFUNCTION("GOOGLETRANSLATE(B119,""zh_cn"",""vi"")"),"bận")</f>
        <v>bận</v>
      </c>
      <c r="G119" s="10" t="s">
        <v>417</v>
      </c>
      <c r="H119" s="5" t="s">
        <v>414</v>
      </c>
      <c r="I119" s="11" t="b">
        <f t="shared" si="2"/>
        <v>1</v>
      </c>
      <c r="K119" s="11" t="b">
        <f t="shared" si="3"/>
        <v>0</v>
      </c>
    </row>
    <row r="120" ht="22.5" customHeight="1">
      <c r="A120" s="12">
        <f t="shared" si="4"/>
        <v>119</v>
      </c>
      <c r="B120" s="6" t="s">
        <v>418</v>
      </c>
      <c r="C120" s="7" t="str">
        <f t="shared" si="1"/>
        <v>🔊</v>
      </c>
      <c r="D120" s="8" t="s">
        <v>419</v>
      </c>
      <c r="E120" s="6" t="s">
        <v>27</v>
      </c>
      <c r="F120" s="13" t="str">
        <f>IFERROR(__xludf.DUMMYFUNCTION("GOOGLETRANSLATE(B120,""zh_cn"",""vi"")"),"con mèo")</f>
        <v>con mèo</v>
      </c>
      <c r="G120" s="10" t="s">
        <v>420</v>
      </c>
      <c r="H120" s="5" t="s">
        <v>418</v>
      </c>
      <c r="I120" s="11" t="b">
        <f t="shared" si="2"/>
        <v>1</v>
      </c>
      <c r="K120" s="11" t="b">
        <f t="shared" si="3"/>
        <v>0</v>
      </c>
    </row>
    <row r="121" ht="22.5" customHeight="1">
      <c r="A121" s="12">
        <f t="shared" si="4"/>
        <v>120</v>
      </c>
      <c r="B121" s="6" t="s">
        <v>421</v>
      </c>
      <c r="C121" s="7" t="str">
        <f t="shared" si="1"/>
        <v>🔊</v>
      </c>
      <c r="D121" s="8" t="s">
        <v>422</v>
      </c>
      <c r="E121" s="14"/>
      <c r="F121" s="13" t="str">
        <f>IFERROR(__xludf.DUMMYFUNCTION("GOOGLETRANSLATE(B121,""zh_cn"",""vi"")"),"Điều đó không quan trọng")</f>
        <v>Điều đó không quan trọng</v>
      </c>
      <c r="G121" s="10" t="s">
        <v>423</v>
      </c>
      <c r="H121" s="5" t="s">
        <v>421</v>
      </c>
      <c r="I121" s="11" t="b">
        <f t="shared" si="2"/>
        <v>1</v>
      </c>
      <c r="K121" s="11" t="b">
        <f t="shared" si="3"/>
        <v>0</v>
      </c>
    </row>
    <row r="122" ht="22.5" customHeight="1">
      <c r="A122" s="12">
        <f t="shared" si="4"/>
        <v>121</v>
      </c>
      <c r="B122" s="6" t="s">
        <v>424</v>
      </c>
      <c r="C122" s="7" t="str">
        <f t="shared" si="1"/>
        <v>🔊</v>
      </c>
      <c r="D122" s="8" t="s">
        <v>425</v>
      </c>
      <c r="E122" s="6" t="s">
        <v>27</v>
      </c>
      <c r="F122" s="13" t="str">
        <f>IFERROR(__xludf.DUMMYFUNCTION("GOOGLETRANSLATE(B122,""zh_cn"",""vi"")"),"em gái")</f>
        <v>em gái</v>
      </c>
      <c r="G122" s="10" t="s">
        <v>426</v>
      </c>
      <c r="H122" s="5" t="s">
        <v>424</v>
      </c>
      <c r="I122" s="11" t="b">
        <f t="shared" si="2"/>
        <v>1</v>
      </c>
      <c r="K122" s="11" t="b">
        <f t="shared" si="3"/>
        <v>0</v>
      </c>
    </row>
    <row r="123" ht="22.5" customHeight="1">
      <c r="A123" s="12">
        <f t="shared" si="4"/>
        <v>122</v>
      </c>
      <c r="B123" s="6" t="s">
        <v>427</v>
      </c>
      <c r="C123" s="7" t="str">
        <f t="shared" si="1"/>
        <v>🔊</v>
      </c>
      <c r="D123" s="8" t="s">
        <v>428</v>
      </c>
      <c r="E123" s="6" t="s">
        <v>13</v>
      </c>
      <c r="F123" s="9" t="s">
        <v>429</v>
      </c>
      <c r="G123" s="10" t="s">
        <v>430</v>
      </c>
      <c r="H123" s="5" t="s">
        <v>427</v>
      </c>
      <c r="I123" s="11" t="b">
        <f t="shared" si="2"/>
        <v>1</v>
      </c>
      <c r="K123" s="11" t="b">
        <f t="shared" si="3"/>
        <v>0</v>
      </c>
    </row>
    <row r="124" ht="22.5" customHeight="1">
      <c r="A124" s="12">
        <f t="shared" si="4"/>
        <v>123</v>
      </c>
      <c r="B124" s="6" t="s">
        <v>431</v>
      </c>
      <c r="C124" s="7" t="str">
        <f t="shared" si="1"/>
        <v>🔊</v>
      </c>
      <c r="D124" s="8" t="s">
        <v>432</v>
      </c>
      <c r="E124" s="6" t="s">
        <v>433</v>
      </c>
      <c r="F124" s="13" t="str">
        <f>IFERROR(__xludf.DUMMYFUNCTION("GOOGLETRANSLATE(B124,""zh_cn"",""vi"")"),"không có")</f>
        <v>không có</v>
      </c>
      <c r="G124" s="10" t="s">
        <v>434</v>
      </c>
      <c r="H124" s="5" t="s">
        <v>431</v>
      </c>
      <c r="I124" s="11" t="b">
        <f t="shared" si="2"/>
        <v>1</v>
      </c>
      <c r="K124" s="11" t="b">
        <f t="shared" si="3"/>
        <v>0</v>
      </c>
    </row>
    <row r="125" ht="22.5" customHeight="1">
      <c r="A125" s="12">
        <f t="shared" si="4"/>
        <v>124</v>
      </c>
      <c r="B125" s="6" t="s">
        <v>435</v>
      </c>
      <c r="C125" s="7" t="str">
        <f t="shared" si="1"/>
        <v>🔊</v>
      </c>
      <c r="D125" s="8" t="s">
        <v>436</v>
      </c>
      <c r="E125" s="6" t="s">
        <v>437</v>
      </c>
      <c r="F125" s="13" t="str">
        <f>IFERROR(__xludf.DUMMYFUNCTION("GOOGLETRANSLATE(B125,""zh_cn"",""vi"")"),"Họ")</f>
        <v>Họ</v>
      </c>
      <c r="G125" s="10" t="s">
        <v>438</v>
      </c>
      <c r="H125" s="5" t="s">
        <v>435</v>
      </c>
      <c r="I125" s="11" t="b">
        <f t="shared" si="2"/>
        <v>1</v>
      </c>
      <c r="K125" s="11" t="b">
        <f t="shared" si="3"/>
        <v>0</v>
      </c>
    </row>
    <row r="126" ht="22.5" customHeight="1">
      <c r="A126" s="12">
        <f t="shared" si="4"/>
        <v>125</v>
      </c>
      <c r="B126" s="6" t="s">
        <v>439</v>
      </c>
      <c r="C126" s="7" t="str">
        <f t="shared" si="1"/>
        <v>🔊</v>
      </c>
      <c r="D126" s="8" t="s">
        <v>440</v>
      </c>
      <c r="E126" s="6" t="s">
        <v>27</v>
      </c>
      <c r="F126" s="13" t="str">
        <f>IFERROR(__xludf.DUMMYFUNCTION("GOOGLETRANSLATE(B126,""zh_cn"",""vi"")"),"bánh mỳ")</f>
        <v>bánh mỳ</v>
      </c>
      <c r="G126" s="10" t="s">
        <v>441</v>
      </c>
      <c r="H126" s="5" t="s">
        <v>439</v>
      </c>
      <c r="I126" s="11" t="b">
        <f t="shared" si="2"/>
        <v>1</v>
      </c>
      <c r="K126" s="11" t="b">
        <f t="shared" si="3"/>
        <v>0</v>
      </c>
    </row>
    <row r="127" ht="22.5" customHeight="1">
      <c r="A127" s="12">
        <f t="shared" si="4"/>
        <v>126</v>
      </c>
      <c r="B127" s="6" t="s">
        <v>442</v>
      </c>
      <c r="C127" s="7" t="str">
        <f t="shared" si="1"/>
        <v>🔊</v>
      </c>
      <c r="D127" s="8" t="s">
        <v>443</v>
      </c>
      <c r="E127" s="6" t="s">
        <v>27</v>
      </c>
      <c r="F127" s="5" t="s">
        <v>444</v>
      </c>
      <c r="G127" s="10" t="s">
        <v>445</v>
      </c>
      <c r="H127" s="5" t="s">
        <v>442</v>
      </c>
      <c r="I127" s="11" t="b">
        <f t="shared" si="2"/>
        <v>1</v>
      </c>
      <c r="K127" s="11" t="b">
        <f t="shared" si="3"/>
        <v>0</v>
      </c>
    </row>
    <row r="128" ht="22.5" customHeight="1">
      <c r="A128" s="12">
        <f t="shared" si="4"/>
        <v>127</v>
      </c>
      <c r="B128" s="6" t="s">
        <v>446</v>
      </c>
      <c r="C128" s="7" t="str">
        <f t="shared" si="1"/>
        <v>🔊</v>
      </c>
      <c r="D128" s="8" t="s">
        <v>447</v>
      </c>
      <c r="E128" s="6" t="s">
        <v>27</v>
      </c>
      <c r="F128" s="13" t="str">
        <f>IFERROR(__xludf.DUMMYFUNCTION("GOOGLETRANSLATE(B128,""zh_cn"",""vi"")"),"cơm")</f>
        <v>cơm</v>
      </c>
      <c r="G128" s="10" t="s">
        <v>448</v>
      </c>
      <c r="H128" s="5" t="s">
        <v>446</v>
      </c>
      <c r="I128" s="11" t="b">
        <f t="shared" si="2"/>
        <v>1</v>
      </c>
      <c r="K128" s="11" t="b">
        <f t="shared" si="3"/>
        <v>0</v>
      </c>
    </row>
    <row r="129" ht="22.5" customHeight="1">
      <c r="A129" s="12">
        <f t="shared" si="4"/>
        <v>128</v>
      </c>
      <c r="B129" s="6" t="s">
        <v>449</v>
      </c>
      <c r="C129" s="7" t="str">
        <f t="shared" si="1"/>
        <v>🔊</v>
      </c>
      <c r="D129" s="8" t="s">
        <v>450</v>
      </c>
      <c r="E129" s="6" t="s">
        <v>27</v>
      </c>
      <c r="F129" s="13" t="str">
        <f>IFERROR(__xludf.DUMMYFUNCTION("GOOGLETRANSLATE(B129,""zh_cn"",""vi"")"),"năm tới")</f>
        <v>năm tới</v>
      </c>
      <c r="G129" s="10" t="s">
        <v>451</v>
      </c>
      <c r="H129" s="5" t="s">
        <v>449</v>
      </c>
      <c r="I129" s="11" t="b">
        <f t="shared" si="2"/>
        <v>1</v>
      </c>
      <c r="K129" s="11" t="b">
        <f t="shared" si="3"/>
        <v>0</v>
      </c>
    </row>
    <row r="130" ht="22.5" customHeight="1">
      <c r="A130" s="12">
        <f t="shared" si="4"/>
        <v>129</v>
      </c>
      <c r="B130" s="6" t="s">
        <v>452</v>
      </c>
      <c r="C130" s="7" t="str">
        <f t="shared" si="1"/>
        <v>🔊</v>
      </c>
      <c r="D130" s="8" t="s">
        <v>453</v>
      </c>
      <c r="E130" s="6" t="s">
        <v>27</v>
      </c>
      <c r="F130" s="13" t="str">
        <f>IFERROR(__xludf.DUMMYFUNCTION("GOOGLETRANSLATE(B130,""zh_cn"",""vi"")"),"Ngày mai")</f>
        <v>Ngày mai</v>
      </c>
      <c r="G130" s="10" t="s">
        <v>454</v>
      </c>
      <c r="H130" s="5" t="s">
        <v>452</v>
      </c>
      <c r="I130" s="11" t="b">
        <f t="shared" si="2"/>
        <v>1</v>
      </c>
      <c r="K130" s="11" t="b">
        <f t="shared" si="3"/>
        <v>0</v>
      </c>
    </row>
    <row r="131" ht="22.5" customHeight="1">
      <c r="A131" s="12">
        <f t="shared" si="4"/>
        <v>130</v>
      </c>
      <c r="B131" s="6" t="s">
        <v>455</v>
      </c>
      <c r="C131" s="7" t="str">
        <f t="shared" si="1"/>
        <v>🔊</v>
      </c>
      <c r="D131" s="8" t="s">
        <v>456</v>
      </c>
      <c r="E131" s="6" t="s">
        <v>27</v>
      </c>
      <c r="F131" s="13" t="str">
        <f>IFERROR(__xludf.DUMMYFUNCTION("GOOGLETRANSLATE(B131,""zh_cn"",""vi"")"),"tên")</f>
        <v>tên</v>
      </c>
      <c r="G131" s="10" t="s">
        <v>457</v>
      </c>
      <c r="H131" s="5" t="s">
        <v>455</v>
      </c>
      <c r="I131" s="11" t="b">
        <f t="shared" si="2"/>
        <v>1</v>
      </c>
      <c r="K131" s="11" t="b">
        <f t="shared" si="3"/>
        <v>0</v>
      </c>
    </row>
    <row r="132" ht="22.5" customHeight="1">
      <c r="A132" s="12">
        <f t="shared" si="4"/>
        <v>131</v>
      </c>
      <c r="B132" s="6" t="s">
        <v>458</v>
      </c>
      <c r="C132" s="7" t="str">
        <f t="shared" si="1"/>
        <v>🔊</v>
      </c>
      <c r="D132" s="8" t="s">
        <v>459</v>
      </c>
      <c r="E132" s="6" t="s">
        <v>460</v>
      </c>
      <c r="F132" s="5" t="s">
        <v>461</v>
      </c>
      <c r="G132" s="10" t="s">
        <v>462</v>
      </c>
      <c r="H132" s="5" t="s">
        <v>458</v>
      </c>
      <c r="I132" s="11" t="b">
        <f t="shared" si="2"/>
        <v>1</v>
      </c>
      <c r="K132" s="11" t="b">
        <f t="shared" si="3"/>
        <v>0</v>
      </c>
    </row>
    <row r="133" ht="22.5" customHeight="1">
      <c r="A133" s="12">
        <f t="shared" si="4"/>
        <v>132</v>
      </c>
      <c r="B133" s="6" t="s">
        <v>463</v>
      </c>
      <c r="C133" s="7" t="str">
        <f t="shared" si="1"/>
        <v>🔊</v>
      </c>
      <c r="D133" s="8" t="s">
        <v>464</v>
      </c>
      <c r="E133" s="6" t="s">
        <v>106</v>
      </c>
      <c r="F133" s="9" t="s">
        <v>465</v>
      </c>
      <c r="G133" s="10" t="s">
        <v>466</v>
      </c>
      <c r="H133" s="5" t="s">
        <v>463</v>
      </c>
      <c r="I133" s="11" t="b">
        <f t="shared" si="2"/>
        <v>1</v>
      </c>
      <c r="K133" s="11" t="b">
        <f t="shared" si="3"/>
        <v>0</v>
      </c>
    </row>
    <row r="134" ht="22.5" customHeight="1">
      <c r="A134" s="12">
        <f t="shared" si="4"/>
        <v>133</v>
      </c>
      <c r="B134" s="6" t="s">
        <v>467</v>
      </c>
      <c r="C134" s="7" t="str">
        <f t="shared" si="1"/>
        <v>🔊</v>
      </c>
      <c r="D134" s="8" t="s">
        <v>468</v>
      </c>
      <c r="E134" s="6" t="s">
        <v>106</v>
      </c>
      <c r="F134" s="9" t="s">
        <v>469</v>
      </c>
      <c r="G134" s="10" t="s">
        <v>470</v>
      </c>
      <c r="H134" s="5" t="s">
        <v>467</v>
      </c>
      <c r="I134" s="11" t="b">
        <f t="shared" si="2"/>
        <v>1</v>
      </c>
      <c r="K134" s="11" t="b">
        <f t="shared" si="3"/>
        <v>0</v>
      </c>
    </row>
    <row r="135" ht="22.5" customHeight="1">
      <c r="A135" s="12">
        <f t="shared" si="4"/>
        <v>134</v>
      </c>
      <c r="B135" s="6" t="s">
        <v>471</v>
      </c>
      <c r="C135" s="7" t="str">
        <f t="shared" si="1"/>
        <v>🔊</v>
      </c>
      <c r="D135" s="8" t="s">
        <v>472</v>
      </c>
      <c r="E135" s="6" t="s">
        <v>106</v>
      </c>
      <c r="F135" s="13" t="str">
        <f>IFERROR(__xludf.DUMMYFUNCTION("GOOGLETRANSLATE(B135,""zh_cn"",""vi"")"),"cái đó")</f>
        <v>cái đó</v>
      </c>
      <c r="G135" s="10" t="s">
        <v>473</v>
      </c>
      <c r="H135" s="5" t="s">
        <v>471</v>
      </c>
      <c r="I135" s="11" t="b">
        <f t="shared" si="2"/>
        <v>1</v>
      </c>
      <c r="K135" s="11" t="b">
        <f t="shared" si="3"/>
        <v>0</v>
      </c>
    </row>
    <row r="136" ht="22.5" customHeight="1">
      <c r="A136" s="12">
        <f t="shared" si="4"/>
        <v>135</v>
      </c>
      <c r="B136" s="6" t="s">
        <v>474</v>
      </c>
      <c r="C136" s="7" t="str">
        <f t="shared" si="1"/>
        <v>🔊</v>
      </c>
      <c r="D136" s="8" t="s">
        <v>475</v>
      </c>
      <c r="E136" s="6" t="s">
        <v>106</v>
      </c>
      <c r="F136" s="9" t="s">
        <v>476</v>
      </c>
      <c r="G136" s="10" t="s">
        <v>477</v>
      </c>
      <c r="H136" s="5" t="s">
        <v>474</v>
      </c>
      <c r="I136" s="11" t="b">
        <f t="shared" si="2"/>
        <v>1</v>
      </c>
      <c r="K136" s="11" t="b">
        <f t="shared" si="3"/>
        <v>0</v>
      </c>
    </row>
    <row r="137" ht="22.5" customHeight="1">
      <c r="A137" s="12">
        <f t="shared" si="4"/>
        <v>136</v>
      </c>
      <c r="B137" s="6" t="s">
        <v>478</v>
      </c>
      <c r="C137" s="7" t="str">
        <f t="shared" si="1"/>
        <v>🔊</v>
      </c>
      <c r="D137" s="8" t="s">
        <v>479</v>
      </c>
      <c r="E137" s="6" t="s">
        <v>106</v>
      </c>
      <c r="F137" s="5" t="s">
        <v>480</v>
      </c>
      <c r="G137" s="10" t="s">
        <v>481</v>
      </c>
      <c r="H137" s="5" t="s">
        <v>478</v>
      </c>
      <c r="I137" s="11" t="b">
        <f t="shared" si="2"/>
        <v>1</v>
      </c>
      <c r="K137" s="11" t="b">
        <f t="shared" si="3"/>
        <v>0</v>
      </c>
    </row>
    <row r="138" ht="22.5" customHeight="1">
      <c r="A138" s="12">
        <f t="shared" si="4"/>
        <v>137</v>
      </c>
      <c r="B138" s="6" t="s">
        <v>482</v>
      </c>
      <c r="C138" s="7" t="str">
        <f t="shared" si="1"/>
        <v>🔊</v>
      </c>
      <c r="D138" s="8" t="s">
        <v>483</v>
      </c>
      <c r="E138" s="6" t="s">
        <v>106</v>
      </c>
      <c r="F138" s="9" t="s">
        <v>484</v>
      </c>
      <c r="G138" s="10" t="s">
        <v>485</v>
      </c>
      <c r="H138" s="5" t="s">
        <v>482</v>
      </c>
      <c r="I138" s="11" t="b">
        <f t="shared" si="2"/>
        <v>1</v>
      </c>
      <c r="K138" s="11" t="b">
        <f t="shared" si="3"/>
        <v>0</v>
      </c>
    </row>
    <row r="139" ht="22.5" customHeight="1">
      <c r="A139" s="12">
        <f t="shared" si="4"/>
        <v>138</v>
      </c>
      <c r="B139" s="6" t="s">
        <v>486</v>
      </c>
      <c r="C139" s="7" t="str">
        <f t="shared" si="1"/>
        <v>🔊</v>
      </c>
      <c r="D139" s="8" t="s">
        <v>487</v>
      </c>
      <c r="E139" s="6" t="s">
        <v>99</v>
      </c>
      <c r="F139" s="13" t="str">
        <f>IFERROR(__xludf.DUMMYFUNCTION("GOOGLETRANSLATE(B139,""zh_cn"",""vi"")"),"nam giới")</f>
        <v>nam giới</v>
      </c>
      <c r="G139" s="10" t="s">
        <v>488</v>
      </c>
      <c r="H139" s="5" t="s">
        <v>486</v>
      </c>
      <c r="I139" s="11" t="b">
        <f t="shared" si="2"/>
        <v>1</v>
      </c>
      <c r="K139" s="11" t="b">
        <f t="shared" si="3"/>
        <v>0</v>
      </c>
    </row>
    <row r="140" ht="22.5" customHeight="1">
      <c r="A140" s="12">
        <f t="shared" si="4"/>
        <v>139</v>
      </c>
      <c r="B140" s="6" t="s">
        <v>489</v>
      </c>
      <c r="C140" s="7" t="str">
        <f t="shared" si="1"/>
        <v>🔊</v>
      </c>
      <c r="D140" s="8" t="s">
        <v>490</v>
      </c>
      <c r="E140" s="6" t="s">
        <v>27</v>
      </c>
      <c r="F140" s="13" t="str">
        <f>IFERROR(__xludf.DUMMYFUNCTION("GOOGLETRANSLATE(B140,""zh_cn"",""vi"")"),"Bạn trai")</f>
        <v>Bạn trai</v>
      </c>
      <c r="G140" s="10" t="s">
        <v>491</v>
      </c>
      <c r="H140" s="5" t="s">
        <v>489</v>
      </c>
      <c r="I140" s="11" t="b">
        <f t="shared" si="2"/>
        <v>1</v>
      </c>
      <c r="K140" s="11" t="b">
        <f t="shared" si="3"/>
        <v>0</v>
      </c>
    </row>
    <row r="141" ht="22.5" customHeight="1">
      <c r="A141" s="12">
        <f t="shared" si="4"/>
        <v>140</v>
      </c>
      <c r="B141" s="6" t="s">
        <v>492</v>
      </c>
      <c r="C141" s="7" t="str">
        <f t="shared" si="1"/>
        <v>🔊</v>
      </c>
      <c r="D141" s="8" t="s">
        <v>493</v>
      </c>
      <c r="E141" s="6" t="s">
        <v>106</v>
      </c>
      <c r="F141" s="9" t="s">
        <v>494</v>
      </c>
      <c r="G141" s="10" t="s">
        <v>495</v>
      </c>
      <c r="H141" s="5" t="s">
        <v>492</v>
      </c>
      <c r="I141" s="11" t="b">
        <f t="shared" si="2"/>
        <v>1</v>
      </c>
      <c r="K141" s="11" t="b">
        <f t="shared" si="3"/>
        <v>0</v>
      </c>
    </row>
    <row r="142" ht="22.5" customHeight="1">
      <c r="A142" s="12">
        <f t="shared" si="4"/>
        <v>141</v>
      </c>
      <c r="B142" s="6" t="s">
        <v>496</v>
      </c>
      <c r="C142" s="7" t="str">
        <f t="shared" si="1"/>
        <v>🔊</v>
      </c>
      <c r="D142" s="8" t="s">
        <v>497</v>
      </c>
      <c r="E142" s="6" t="s">
        <v>106</v>
      </c>
      <c r="F142" s="9" t="s">
        <v>484</v>
      </c>
      <c r="G142" s="10" t="s">
        <v>498</v>
      </c>
      <c r="H142" s="5" t="s">
        <v>496</v>
      </c>
      <c r="I142" s="11" t="b">
        <f t="shared" si="2"/>
        <v>1</v>
      </c>
      <c r="K142" s="11" t="b">
        <f t="shared" si="3"/>
        <v>0</v>
      </c>
    </row>
    <row r="143" ht="22.5" customHeight="1">
      <c r="A143" s="12">
        <f t="shared" si="4"/>
        <v>142</v>
      </c>
      <c r="B143" s="6" t="s">
        <v>499</v>
      </c>
      <c r="C143" s="7" t="str">
        <f t="shared" si="1"/>
        <v>🔊</v>
      </c>
      <c r="D143" s="8" t="s">
        <v>500</v>
      </c>
      <c r="E143" s="6" t="s">
        <v>106</v>
      </c>
      <c r="F143" s="13" t="str">
        <f>IFERROR(__xludf.DUMMYFUNCTION("GOOGLETRANSLATE(B143,""zh_cn"",""vi"")"),"Những cái đó")</f>
        <v>Những cái đó</v>
      </c>
      <c r="G143" s="10" t="s">
        <v>501</v>
      </c>
      <c r="H143" s="5" t="s">
        <v>499</v>
      </c>
      <c r="I143" s="11" t="b">
        <f t="shared" si="2"/>
        <v>1</v>
      </c>
      <c r="K143" s="11" t="b">
        <f t="shared" si="3"/>
        <v>0</v>
      </c>
    </row>
    <row r="144" ht="22.5" customHeight="1">
      <c r="A144" s="12">
        <f t="shared" si="4"/>
        <v>143</v>
      </c>
      <c r="B144" s="6" t="s">
        <v>502</v>
      </c>
      <c r="C144" s="7" t="str">
        <f t="shared" si="1"/>
        <v>🔊</v>
      </c>
      <c r="D144" s="8" t="s">
        <v>503</v>
      </c>
      <c r="E144" s="6" t="s">
        <v>106</v>
      </c>
      <c r="F144" s="9" t="s">
        <v>504</v>
      </c>
      <c r="G144" s="10" t="s">
        <v>505</v>
      </c>
      <c r="H144" s="5" t="s">
        <v>502</v>
      </c>
      <c r="I144" s="11" t="b">
        <f t="shared" si="2"/>
        <v>1</v>
      </c>
      <c r="K144" s="11" t="b">
        <f t="shared" si="3"/>
        <v>0</v>
      </c>
    </row>
    <row r="145" ht="22.5" customHeight="1">
      <c r="A145" s="12">
        <f t="shared" si="4"/>
        <v>144</v>
      </c>
      <c r="B145" s="6" t="s">
        <v>506</v>
      </c>
      <c r="C145" s="7" t="str">
        <f t="shared" si="1"/>
        <v>🔊</v>
      </c>
      <c r="D145" s="8" t="s">
        <v>507</v>
      </c>
      <c r="E145" s="6" t="s">
        <v>18</v>
      </c>
      <c r="F145" s="9" t="s">
        <v>508</v>
      </c>
      <c r="G145" s="10" t="s">
        <v>509</v>
      </c>
      <c r="H145" s="5" t="s">
        <v>506</v>
      </c>
      <c r="I145" s="11" t="b">
        <f t="shared" si="2"/>
        <v>1</v>
      </c>
      <c r="K145" s="11" t="b">
        <f t="shared" si="3"/>
        <v>0</v>
      </c>
    </row>
    <row r="146" ht="22.5" customHeight="1">
      <c r="A146" s="12">
        <f t="shared" si="4"/>
        <v>145</v>
      </c>
      <c r="B146" s="6" t="s">
        <v>510</v>
      </c>
      <c r="C146" s="7" t="str">
        <f t="shared" si="1"/>
        <v>🔊</v>
      </c>
      <c r="D146" s="8" t="s">
        <v>511</v>
      </c>
      <c r="E146" s="6" t="s">
        <v>13</v>
      </c>
      <c r="F146" s="13" t="str">
        <f>IFERROR(__xludf.DUMMYFUNCTION("GOOGLETRANSLATE(B146,""zh_cn"",""vi"")"),"có thể")</f>
        <v>có thể</v>
      </c>
      <c r="G146" s="10" t="s">
        <v>512</v>
      </c>
      <c r="H146" s="5" t="s">
        <v>510</v>
      </c>
      <c r="I146" s="11" t="b">
        <f t="shared" si="2"/>
        <v>1</v>
      </c>
      <c r="K146" s="11" t="b">
        <f t="shared" si="3"/>
        <v>0</v>
      </c>
    </row>
    <row r="147" ht="22.5" customHeight="1">
      <c r="A147" s="12">
        <f t="shared" si="4"/>
        <v>146</v>
      </c>
      <c r="B147" s="6" t="s">
        <v>513</v>
      </c>
      <c r="C147" s="7" t="str">
        <f t="shared" si="1"/>
        <v>🔊</v>
      </c>
      <c r="D147" s="8" t="s">
        <v>514</v>
      </c>
      <c r="E147" s="6" t="s">
        <v>106</v>
      </c>
      <c r="F147" s="13" t="str">
        <f>IFERROR(__xludf.DUMMYFUNCTION("GOOGLETRANSLATE(B147,""zh_cn"",""vi"")"),"Bạn")</f>
        <v>Bạn</v>
      </c>
      <c r="G147" s="10" t="s">
        <v>515</v>
      </c>
      <c r="H147" s="5" t="s">
        <v>513</v>
      </c>
      <c r="I147" s="11" t="b">
        <f t="shared" si="2"/>
        <v>1</v>
      </c>
      <c r="K147" s="11" t="b">
        <f t="shared" si="3"/>
        <v>0</v>
      </c>
    </row>
    <row r="148" ht="22.5" customHeight="1">
      <c r="A148" s="12">
        <f t="shared" si="4"/>
        <v>147</v>
      </c>
      <c r="B148" s="6" t="s">
        <v>516</v>
      </c>
      <c r="C148" s="7" t="str">
        <f t="shared" si="1"/>
        <v>🔊</v>
      </c>
      <c r="D148" s="8" t="s">
        <v>517</v>
      </c>
      <c r="E148" s="14"/>
      <c r="F148" s="13" t="str">
        <f>IFERROR(__xludf.DUMMYFUNCTION("GOOGLETRANSLATE(B148,""zh_cn"",""vi"")"),"Xin chào")</f>
        <v>Xin chào</v>
      </c>
      <c r="G148" s="10" t="s">
        <v>518</v>
      </c>
      <c r="H148" s="5" t="s">
        <v>516</v>
      </c>
      <c r="I148" s="11" t="b">
        <f t="shared" si="2"/>
        <v>1</v>
      </c>
      <c r="K148" s="11" t="b">
        <f t="shared" si="3"/>
        <v>0</v>
      </c>
    </row>
    <row r="149" ht="22.5" customHeight="1">
      <c r="A149" s="12">
        <f t="shared" si="4"/>
        <v>148</v>
      </c>
      <c r="B149" s="6" t="s">
        <v>519</v>
      </c>
      <c r="C149" s="7" t="str">
        <f t="shared" si="1"/>
        <v>🔊</v>
      </c>
      <c r="D149" s="8" t="s">
        <v>520</v>
      </c>
      <c r="E149" s="6" t="s">
        <v>259</v>
      </c>
      <c r="F149" s="13" t="str">
        <f>IFERROR(__xludf.DUMMYFUNCTION("GOOGLETRANSLATE(B149,""zh_cn"",""vi"")"),"Năm")</f>
        <v>Năm</v>
      </c>
      <c r="G149" s="10" t="s">
        <v>521</v>
      </c>
      <c r="H149" s="5" t="s">
        <v>519</v>
      </c>
      <c r="I149" s="11" t="b">
        <f t="shared" si="2"/>
        <v>1</v>
      </c>
      <c r="K149" s="11" t="b">
        <f t="shared" si="3"/>
        <v>0</v>
      </c>
    </row>
    <row r="150" ht="22.5" customHeight="1">
      <c r="A150" s="12">
        <f t="shared" si="4"/>
        <v>149</v>
      </c>
      <c r="B150" s="6" t="s">
        <v>522</v>
      </c>
      <c r="C150" s="7" t="str">
        <f t="shared" si="1"/>
        <v>🔊</v>
      </c>
      <c r="D150" s="8" t="s">
        <v>523</v>
      </c>
      <c r="E150" s="6" t="s">
        <v>106</v>
      </c>
      <c r="F150" s="9" t="s">
        <v>524</v>
      </c>
      <c r="G150" s="10" t="s">
        <v>525</v>
      </c>
      <c r="H150" s="5" t="s">
        <v>522</v>
      </c>
      <c r="I150" s="11" t="b">
        <f t="shared" si="2"/>
        <v>1</v>
      </c>
      <c r="K150" s="11" t="b">
        <f t="shared" si="3"/>
        <v>0</v>
      </c>
    </row>
    <row r="151" ht="22.5" customHeight="1">
      <c r="A151" s="12">
        <f t="shared" si="4"/>
        <v>150</v>
      </c>
      <c r="B151" s="6" t="s">
        <v>526</v>
      </c>
      <c r="C151" s="7" t="str">
        <f t="shared" si="1"/>
        <v>🔊</v>
      </c>
      <c r="D151" s="8" t="s">
        <v>527</v>
      </c>
      <c r="E151" s="6" t="s">
        <v>106</v>
      </c>
      <c r="F151" s="9" t="s">
        <v>528</v>
      </c>
      <c r="G151" s="10" t="s">
        <v>529</v>
      </c>
      <c r="H151" s="5" t="s">
        <v>526</v>
      </c>
      <c r="I151" s="11" t="b">
        <f t="shared" si="2"/>
        <v>1</v>
      </c>
      <c r="K151" s="11" t="b">
        <f t="shared" si="3"/>
        <v>0</v>
      </c>
    </row>
    <row r="152" ht="22.5" customHeight="1">
      <c r="A152" s="12">
        <f t="shared" si="4"/>
        <v>151</v>
      </c>
      <c r="B152" s="6" t="s">
        <v>530</v>
      </c>
      <c r="C152" s="7" t="str">
        <f t="shared" si="1"/>
        <v>🔊</v>
      </c>
      <c r="D152" s="8" t="s">
        <v>531</v>
      </c>
      <c r="E152" s="6" t="s">
        <v>27</v>
      </c>
      <c r="F152" s="13" t="str">
        <f>IFERROR(__xludf.DUMMYFUNCTION("GOOGLETRANSLATE(B152,""zh_cn"",""vi"")"),"sữa")</f>
        <v>sữa</v>
      </c>
      <c r="G152" s="10" t="s">
        <v>532</v>
      </c>
      <c r="H152" s="5" t="s">
        <v>530</v>
      </c>
      <c r="I152" s="11" t="b">
        <f t="shared" si="2"/>
        <v>1</v>
      </c>
      <c r="K152" s="11" t="b">
        <f t="shared" si="3"/>
        <v>0</v>
      </c>
    </row>
    <row r="153" ht="22.5" customHeight="1">
      <c r="A153" s="12">
        <f t="shared" si="4"/>
        <v>152</v>
      </c>
      <c r="B153" s="6" t="s">
        <v>533</v>
      </c>
      <c r="C153" s="7" t="str">
        <f t="shared" si="1"/>
        <v>🔊</v>
      </c>
      <c r="D153" s="8" t="s">
        <v>534</v>
      </c>
      <c r="E153" s="6" t="s">
        <v>99</v>
      </c>
      <c r="F153" s="13" t="str">
        <f>IFERROR(__xludf.DUMMYFUNCTION("GOOGLETRANSLATE(B153,""zh_cn"",""vi"")"),"nữ giới")</f>
        <v>nữ giới</v>
      </c>
      <c r="G153" s="10" t="s">
        <v>535</v>
      </c>
      <c r="H153" s="5" t="s">
        <v>533</v>
      </c>
      <c r="I153" s="11" t="b">
        <f t="shared" si="2"/>
        <v>1</v>
      </c>
      <c r="K153" s="11" t="b">
        <f t="shared" si="3"/>
        <v>0</v>
      </c>
    </row>
    <row r="154" ht="22.5" customHeight="1">
      <c r="A154" s="12">
        <f t="shared" si="4"/>
        <v>153</v>
      </c>
      <c r="B154" s="6" t="s">
        <v>536</v>
      </c>
      <c r="C154" s="7" t="str">
        <f t="shared" si="1"/>
        <v>🔊</v>
      </c>
      <c r="D154" s="8" t="s">
        <v>537</v>
      </c>
      <c r="E154" s="6" t="s">
        <v>27</v>
      </c>
      <c r="F154" s="13" t="str">
        <f>IFERROR(__xludf.DUMMYFUNCTION("GOOGLETRANSLATE(B154,""zh_cn"",""vi"")"),"con gái")</f>
        <v>con gái</v>
      </c>
      <c r="G154" s="10" t="s">
        <v>538</v>
      </c>
      <c r="H154" s="5" t="s">
        <v>536</v>
      </c>
      <c r="I154" s="11" t="b">
        <f t="shared" si="2"/>
        <v>1</v>
      </c>
      <c r="K154" s="11" t="b">
        <f t="shared" si="3"/>
        <v>0</v>
      </c>
    </row>
    <row r="155" ht="22.5" customHeight="1">
      <c r="A155" s="12">
        <f t="shared" si="4"/>
        <v>154</v>
      </c>
      <c r="B155" s="6" t="s">
        <v>539</v>
      </c>
      <c r="C155" s="7" t="str">
        <f t="shared" si="1"/>
        <v>🔊</v>
      </c>
      <c r="D155" s="8" t="s">
        <v>540</v>
      </c>
      <c r="E155" s="6" t="s">
        <v>27</v>
      </c>
      <c r="F155" s="13" t="str">
        <f>IFERROR(__xludf.DUMMYFUNCTION("GOOGLETRANSLATE(B155,""zh_cn"",""vi"")"),"bạn gái")</f>
        <v>bạn gái</v>
      </c>
      <c r="G155" s="10" t="s">
        <v>541</v>
      </c>
      <c r="H155" s="5" t="s">
        <v>539</v>
      </c>
      <c r="I155" s="11" t="b">
        <f t="shared" si="2"/>
        <v>1</v>
      </c>
      <c r="K155" s="11" t="b">
        <f t="shared" si="3"/>
        <v>0</v>
      </c>
    </row>
    <row r="156" ht="22.5" customHeight="1">
      <c r="A156" s="12">
        <f t="shared" si="4"/>
        <v>155</v>
      </c>
      <c r="B156" s="6" t="s">
        <v>542</v>
      </c>
      <c r="C156" s="7" t="str">
        <f t="shared" si="1"/>
        <v>🔊</v>
      </c>
      <c r="D156" s="8" t="s">
        <v>543</v>
      </c>
      <c r="E156" s="6" t="s">
        <v>27</v>
      </c>
      <c r="F156" s="5" t="s">
        <v>544</v>
      </c>
      <c r="G156" s="10" t="s">
        <v>545</v>
      </c>
      <c r="H156" s="5" t="s">
        <v>542</v>
      </c>
      <c r="I156" s="11" t="b">
        <f t="shared" si="2"/>
        <v>1</v>
      </c>
      <c r="K156" s="11" t="b">
        <f t="shared" si="3"/>
        <v>0</v>
      </c>
    </row>
    <row r="157" ht="22.5" customHeight="1">
      <c r="A157" s="12">
        <f t="shared" si="4"/>
        <v>156</v>
      </c>
      <c r="B157" s="6" t="s">
        <v>546</v>
      </c>
      <c r="C157" s="7" t="str">
        <f t="shared" si="1"/>
        <v>🔊</v>
      </c>
      <c r="D157" s="8" t="s">
        <v>547</v>
      </c>
      <c r="E157" s="6" t="s">
        <v>27</v>
      </c>
      <c r="F157" s="13" t="str">
        <f>IFERROR(__xludf.DUMMYFUNCTION("GOOGLETRANSLATE(B157,""zh_cn"",""vi"")"),"bạn bè")</f>
        <v>bạn bè</v>
      </c>
      <c r="G157" s="10" t="s">
        <v>548</v>
      </c>
      <c r="H157" s="5" t="s">
        <v>546</v>
      </c>
      <c r="I157" s="11" t="b">
        <f t="shared" si="2"/>
        <v>1</v>
      </c>
      <c r="K157" s="11" t="b">
        <f t="shared" si="3"/>
        <v>0</v>
      </c>
    </row>
    <row r="158" ht="22.5" customHeight="1">
      <c r="A158" s="12">
        <f t="shared" si="4"/>
        <v>157</v>
      </c>
      <c r="B158" s="6" t="s">
        <v>549</v>
      </c>
      <c r="C158" s="7" t="str">
        <f t="shared" si="1"/>
        <v>🔊</v>
      </c>
      <c r="D158" s="8" t="s">
        <v>550</v>
      </c>
      <c r="E158" s="6" t="s">
        <v>99</v>
      </c>
      <c r="F158" s="13" t="str">
        <f>IFERROR(__xludf.DUMMYFUNCTION("GOOGLETRANSLATE(B158,""zh_cn"",""vi"")"),"Rẻ")</f>
        <v>Rẻ</v>
      </c>
      <c r="G158" s="10" t="s">
        <v>551</v>
      </c>
      <c r="H158" s="5" t="s">
        <v>549</v>
      </c>
      <c r="I158" s="11" t="b">
        <f t="shared" si="2"/>
        <v>1</v>
      </c>
      <c r="K158" s="11" t="b">
        <f t="shared" si="3"/>
        <v>0</v>
      </c>
    </row>
    <row r="159" ht="22.5" customHeight="1">
      <c r="A159" s="12">
        <f t="shared" si="4"/>
        <v>158</v>
      </c>
      <c r="B159" s="6" t="s">
        <v>552</v>
      </c>
      <c r="C159" s="7" t="str">
        <f t="shared" si="1"/>
        <v>🔊</v>
      </c>
      <c r="D159" s="8" t="s">
        <v>553</v>
      </c>
      <c r="E159" s="6" t="s">
        <v>99</v>
      </c>
      <c r="F159" s="13" t="str">
        <f>IFERROR(__xludf.DUMMYFUNCTION("GOOGLETRANSLATE(B159,""zh_cn"",""vi"")"),"đẹp")</f>
        <v>đẹp</v>
      </c>
      <c r="G159" s="10" t="s">
        <v>554</v>
      </c>
      <c r="H159" s="5" t="s">
        <v>552</v>
      </c>
      <c r="I159" s="11" t="b">
        <f t="shared" si="2"/>
        <v>1</v>
      </c>
      <c r="K159" s="11" t="b">
        <f t="shared" si="3"/>
        <v>0</v>
      </c>
    </row>
    <row r="160" ht="22.5" customHeight="1">
      <c r="A160" s="12">
        <f t="shared" si="4"/>
        <v>159</v>
      </c>
      <c r="B160" s="6" t="s">
        <v>555</v>
      </c>
      <c r="C160" s="7" t="str">
        <f t="shared" si="1"/>
        <v>🔊</v>
      </c>
      <c r="D160" s="8" t="s">
        <v>556</v>
      </c>
      <c r="E160" s="6" t="s">
        <v>27</v>
      </c>
      <c r="F160" s="13" t="str">
        <f>IFERROR(__xludf.DUMMYFUNCTION("GOOGLETRANSLATE(B160,""zh_cn"",""vi"")"),"quả táo")</f>
        <v>quả táo</v>
      </c>
      <c r="G160" s="10" t="s">
        <v>557</v>
      </c>
      <c r="H160" s="5" t="s">
        <v>555</v>
      </c>
      <c r="I160" s="11" t="b">
        <f t="shared" si="2"/>
        <v>1</v>
      </c>
      <c r="K160" s="11" t="b">
        <f t="shared" si="3"/>
        <v>0</v>
      </c>
    </row>
    <row r="161" ht="22.5" customHeight="1">
      <c r="A161" s="12">
        <f t="shared" si="4"/>
        <v>160</v>
      </c>
      <c r="B161" s="6" t="s">
        <v>558</v>
      </c>
      <c r="C161" s="7" t="str">
        <f t="shared" si="1"/>
        <v>🔊</v>
      </c>
      <c r="D161" s="8" t="s">
        <v>559</v>
      </c>
      <c r="E161" s="6" t="s">
        <v>23</v>
      </c>
      <c r="F161" s="13" t="str">
        <f>IFERROR(__xludf.DUMMYFUNCTION("GOOGLETRANSLATE(B161,""zh_cn"",""vi"")"),"bảy")</f>
        <v>bảy</v>
      </c>
      <c r="G161" s="10" t="s">
        <v>560</v>
      </c>
      <c r="H161" s="5" t="s">
        <v>558</v>
      </c>
      <c r="I161" s="11" t="b">
        <f t="shared" si="2"/>
        <v>1</v>
      </c>
      <c r="K161" s="11" t="b">
        <f t="shared" si="3"/>
        <v>0</v>
      </c>
    </row>
    <row r="162" ht="22.5" customHeight="1">
      <c r="A162" s="12">
        <f t="shared" si="4"/>
        <v>161</v>
      </c>
      <c r="B162" s="6" t="s">
        <v>561</v>
      </c>
      <c r="C162" s="7" t="str">
        <f t="shared" si="1"/>
        <v>🔊</v>
      </c>
      <c r="D162" s="8" t="s">
        <v>562</v>
      </c>
      <c r="E162" s="6" t="s">
        <v>27</v>
      </c>
      <c r="F162" s="13" t="str">
        <f>IFERROR(__xludf.DUMMYFUNCTION("GOOGLETRANSLATE(B162,""zh_cn"",""vi"")"),"phía trước")</f>
        <v>phía trước</v>
      </c>
      <c r="G162" s="10" t="s">
        <v>563</v>
      </c>
      <c r="H162" s="5" t="s">
        <v>561</v>
      </c>
      <c r="I162" s="11" t="b">
        <f t="shared" si="2"/>
        <v>1</v>
      </c>
      <c r="K162" s="11" t="b">
        <f t="shared" si="3"/>
        <v>0</v>
      </c>
    </row>
    <row r="163" ht="22.5" customHeight="1">
      <c r="A163" s="12">
        <f t="shared" si="4"/>
        <v>162</v>
      </c>
      <c r="B163" s="6" t="s">
        <v>564</v>
      </c>
      <c r="C163" s="7" t="str">
        <f t="shared" si="1"/>
        <v>🔊</v>
      </c>
      <c r="D163" s="8" t="s">
        <v>562</v>
      </c>
      <c r="E163" s="6" t="s">
        <v>27</v>
      </c>
      <c r="F163" s="13" t="str">
        <f>IFERROR(__xludf.DUMMYFUNCTION("GOOGLETRANSLATE(B163,""zh_cn"",""vi"")"),"tiền bạc")</f>
        <v>tiền bạc</v>
      </c>
      <c r="G163" s="10" t="s">
        <v>565</v>
      </c>
      <c r="H163" s="5" t="s">
        <v>564</v>
      </c>
      <c r="I163" s="11" t="b">
        <f t="shared" si="2"/>
        <v>1</v>
      </c>
      <c r="K163" s="11" t="b">
        <f t="shared" si="3"/>
        <v>0</v>
      </c>
    </row>
    <row r="164" ht="22.5" customHeight="1">
      <c r="A164" s="12">
        <f t="shared" si="4"/>
        <v>163</v>
      </c>
      <c r="B164" s="6" t="s">
        <v>566</v>
      </c>
      <c r="C164" s="7" t="str">
        <f t="shared" si="1"/>
        <v>🔊</v>
      </c>
      <c r="D164" s="8" t="s">
        <v>567</v>
      </c>
      <c r="E164" s="6" t="s">
        <v>23</v>
      </c>
      <c r="F164" s="13" t="str">
        <f>IFERROR(__xludf.DUMMYFUNCTION("GOOGLETRANSLATE(B164,""zh_cn"",""vi"")"),"nghìn")</f>
        <v>nghìn</v>
      </c>
      <c r="G164" s="10" t="s">
        <v>568</v>
      </c>
      <c r="H164" s="5" t="s">
        <v>566</v>
      </c>
      <c r="I164" s="11" t="b">
        <f t="shared" si="2"/>
        <v>1</v>
      </c>
      <c r="K164" s="11" t="b">
        <f t="shared" si="3"/>
        <v>0</v>
      </c>
    </row>
    <row r="165" ht="22.5" customHeight="1">
      <c r="A165" s="12">
        <f t="shared" si="4"/>
        <v>164</v>
      </c>
      <c r="B165" s="6" t="s">
        <v>569</v>
      </c>
      <c r="C165" s="7" t="str">
        <f t="shared" si="1"/>
        <v>🔊</v>
      </c>
      <c r="D165" s="8" t="s">
        <v>570</v>
      </c>
      <c r="E165" s="6" t="s">
        <v>13</v>
      </c>
      <c r="F165" s="13" t="str">
        <f>IFERROR(__xludf.DUMMYFUNCTION("GOOGLETRANSLATE(B165,""zh_cn"",""vi"")"),"thức dậy")</f>
        <v>thức dậy</v>
      </c>
      <c r="G165" s="10" t="s">
        <v>571</v>
      </c>
      <c r="H165" s="5" t="s">
        <v>569</v>
      </c>
      <c r="I165" s="11" t="b">
        <f t="shared" si="2"/>
        <v>1</v>
      </c>
      <c r="K165" s="11" t="b">
        <f t="shared" si="3"/>
        <v>0</v>
      </c>
    </row>
    <row r="166" ht="22.5" customHeight="1">
      <c r="A166" s="12">
        <f t="shared" si="4"/>
        <v>165</v>
      </c>
      <c r="B166" s="6" t="s">
        <v>572</v>
      </c>
      <c r="C166" s="7" t="str">
        <f t="shared" si="1"/>
        <v>🔊</v>
      </c>
      <c r="D166" s="8" t="s">
        <v>573</v>
      </c>
      <c r="E166" s="6" t="s">
        <v>13</v>
      </c>
      <c r="F166" s="13" t="str">
        <f>IFERROR(__xludf.DUMMYFUNCTION("GOOGLETRANSLATE(B166,""zh_cn"",""vi"")"),"Xin vui lòng")</f>
        <v>Xin vui lòng</v>
      </c>
      <c r="G166" s="10" t="s">
        <v>574</v>
      </c>
      <c r="H166" s="5" t="s">
        <v>572</v>
      </c>
      <c r="I166" s="11" t="b">
        <f t="shared" si="2"/>
        <v>1</v>
      </c>
      <c r="K166" s="11" t="b">
        <f t="shared" si="3"/>
        <v>0</v>
      </c>
    </row>
    <row r="167" ht="22.5" customHeight="1">
      <c r="A167" s="12">
        <f t="shared" si="4"/>
        <v>166</v>
      </c>
      <c r="B167" s="6" t="s">
        <v>575</v>
      </c>
      <c r="C167" s="7" t="str">
        <f t="shared" si="1"/>
        <v>🔊</v>
      </c>
      <c r="D167" s="8" t="s">
        <v>576</v>
      </c>
      <c r="E167" s="6" t="s">
        <v>13</v>
      </c>
      <c r="F167" s="9" t="s">
        <v>577</v>
      </c>
      <c r="G167" s="10" t="s">
        <v>578</v>
      </c>
      <c r="H167" s="5" t="s">
        <v>575</v>
      </c>
      <c r="I167" s="11" t="b">
        <f t="shared" si="2"/>
        <v>1</v>
      </c>
      <c r="K167" s="11" t="b">
        <f t="shared" si="3"/>
        <v>0</v>
      </c>
    </row>
    <row r="168" ht="22.5" customHeight="1">
      <c r="A168" s="12">
        <f t="shared" si="4"/>
        <v>167</v>
      </c>
      <c r="B168" s="6" t="s">
        <v>579</v>
      </c>
      <c r="C168" s="7" t="str">
        <f t="shared" si="1"/>
        <v>🔊</v>
      </c>
      <c r="D168" s="8" t="s">
        <v>580</v>
      </c>
      <c r="E168" s="6" t="s">
        <v>13</v>
      </c>
      <c r="F168" s="13" t="str">
        <f>IFERROR(__xludf.DUMMYFUNCTION("GOOGLETRANSLATE(B168,""zh_cn"",""vi"")"),"đi")</f>
        <v>đi</v>
      </c>
      <c r="G168" s="10" t="s">
        <v>581</v>
      </c>
      <c r="H168" s="5" t="s">
        <v>579</v>
      </c>
      <c r="I168" s="11" t="b">
        <f t="shared" si="2"/>
        <v>1</v>
      </c>
      <c r="K168" s="11" t="b">
        <f t="shared" si="3"/>
        <v>0</v>
      </c>
    </row>
    <row r="169" ht="22.5" customHeight="1">
      <c r="A169" s="12">
        <f t="shared" si="4"/>
        <v>168</v>
      </c>
      <c r="B169" s="6" t="s">
        <v>582</v>
      </c>
      <c r="C169" s="7" t="str">
        <f t="shared" si="1"/>
        <v>🔊</v>
      </c>
      <c r="D169" s="8" t="s">
        <v>583</v>
      </c>
      <c r="E169" s="6" t="s">
        <v>27</v>
      </c>
      <c r="F169" s="13" t="str">
        <f>IFERROR(__xludf.DUMMYFUNCTION("GOOGLETRANSLATE(B169,""zh_cn"",""vi"")"),"năm ngoái")</f>
        <v>năm ngoái</v>
      </c>
      <c r="G169" s="10" t="s">
        <v>584</v>
      </c>
      <c r="H169" s="5" t="s">
        <v>582</v>
      </c>
      <c r="I169" s="11" t="b">
        <f t="shared" si="2"/>
        <v>1</v>
      </c>
      <c r="K169" s="11" t="b">
        <f t="shared" si="3"/>
        <v>0</v>
      </c>
    </row>
    <row r="170" ht="22.5" customHeight="1">
      <c r="A170" s="12">
        <f t="shared" si="4"/>
        <v>169</v>
      </c>
      <c r="B170" s="6" t="s">
        <v>585</v>
      </c>
      <c r="C170" s="7" t="str">
        <f t="shared" si="1"/>
        <v>🔊</v>
      </c>
      <c r="D170" s="8" t="s">
        <v>586</v>
      </c>
      <c r="E170" s="6" t="s">
        <v>99</v>
      </c>
      <c r="F170" s="13" t="str">
        <f>IFERROR(__xludf.DUMMYFUNCTION("GOOGLETRANSLATE(B170,""zh_cn"",""vi"")"),"nóng")</f>
        <v>nóng</v>
      </c>
      <c r="G170" s="10" t="s">
        <v>587</v>
      </c>
      <c r="H170" s="5" t="s">
        <v>585</v>
      </c>
      <c r="I170" s="11" t="b">
        <f t="shared" si="2"/>
        <v>1</v>
      </c>
      <c r="K170" s="11" t="b">
        <f t="shared" si="3"/>
        <v>0</v>
      </c>
    </row>
    <row r="171" ht="22.5" customHeight="1">
      <c r="A171" s="12">
        <f t="shared" si="4"/>
        <v>170</v>
      </c>
      <c r="B171" s="6" t="s">
        <v>588</v>
      </c>
      <c r="C171" s="7" t="str">
        <f t="shared" si="1"/>
        <v>🔊</v>
      </c>
      <c r="D171" s="8" t="s">
        <v>589</v>
      </c>
      <c r="E171" s="6" t="s">
        <v>27</v>
      </c>
      <c r="F171" s="9" t="s">
        <v>590</v>
      </c>
      <c r="G171" s="10" t="s">
        <v>591</v>
      </c>
      <c r="H171" s="5" t="s">
        <v>588</v>
      </c>
      <c r="I171" s="11" t="b">
        <f t="shared" si="2"/>
        <v>1</v>
      </c>
      <c r="K171" s="11" t="b">
        <f t="shared" si="3"/>
        <v>0</v>
      </c>
    </row>
    <row r="172" ht="22.5" customHeight="1">
      <c r="A172" s="12">
        <f t="shared" si="4"/>
        <v>171</v>
      </c>
      <c r="B172" s="6" t="s">
        <v>592</v>
      </c>
      <c r="C172" s="7" t="str">
        <f t="shared" si="1"/>
        <v>🔊</v>
      </c>
      <c r="D172" s="8" t="s">
        <v>593</v>
      </c>
      <c r="E172" s="6" t="s">
        <v>13</v>
      </c>
      <c r="F172" s="9" t="s">
        <v>594</v>
      </c>
      <c r="G172" s="10" t="s">
        <v>595</v>
      </c>
      <c r="H172" s="5" t="s">
        <v>592</v>
      </c>
      <c r="I172" s="11" t="b">
        <f t="shared" si="2"/>
        <v>1</v>
      </c>
      <c r="K172" s="11" t="b">
        <f t="shared" si="3"/>
        <v>0</v>
      </c>
    </row>
    <row r="173" ht="22.5" customHeight="1">
      <c r="A173" s="12">
        <f t="shared" si="4"/>
        <v>172</v>
      </c>
      <c r="B173" s="6" t="s">
        <v>596</v>
      </c>
      <c r="C173" s="7" t="str">
        <f t="shared" si="1"/>
        <v>🔊</v>
      </c>
      <c r="D173" s="8" t="s">
        <v>597</v>
      </c>
      <c r="E173" s="6" t="s">
        <v>130</v>
      </c>
      <c r="F173" s="13" t="str">
        <f>IFERROR(__xludf.DUMMYFUNCTION("GOOGLETRANSLATE(B173,""zh_cn"",""vi"")"),"ngày")</f>
        <v>ngày</v>
      </c>
      <c r="G173" s="10" t="s">
        <v>598</v>
      </c>
      <c r="H173" s="5" t="s">
        <v>596</v>
      </c>
      <c r="I173" s="11" t="b">
        <f t="shared" si="2"/>
        <v>1</v>
      </c>
      <c r="K173" s="11" t="b">
        <f t="shared" si="3"/>
        <v>0</v>
      </c>
    </row>
    <row r="174" ht="22.5" customHeight="1">
      <c r="A174" s="12">
        <f t="shared" si="4"/>
        <v>173</v>
      </c>
      <c r="B174" s="6" t="s">
        <v>599</v>
      </c>
      <c r="C174" s="7" t="str">
        <f t="shared" si="1"/>
        <v>🔊</v>
      </c>
      <c r="D174" s="8" t="s">
        <v>600</v>
      </c>
      <c r="E174" s="6" t="s">
        <v>23</v>
      </c>
      <c r="F174" s="9" t="s">
        <v>601</v>
      </c>
      <c r="G174" s="10" t="s">
        <v>602</v>
      </c>
      <c r="H174" s="5" t="s">
        <v>599</v>
      </c>
      <c r="I174" s="11" t="b">
        <f t="shared" si="2"/>
        <v>1</v>
      </c>
      <c r="K174" s="11" t="b">
        <f t="shared" si="3"/>
        <v>0</v>
      </c>
    </row>
    <row r="175" ht="22.5" customHeight="1">
      <c r="A175" s="12">
        <f t="shared" si="4"/>
        <v>174</v>
      </c>
      <c r="B175" s="6" t="s">
        <v>603</v>
      </c>
      <c r="C175" s="7" t="str">
        <f t="shared" si="1"/>
        <v>🔊</v>
      </c>
      <c r="D175" s="8" t="s">
        <v>604</v>
      </c>
      <c r="E175" s="6" t="s">
        <v>57</v>
      </c>
      <c r="F175" s="13" t="str">
        <f>IFERROR(__xludf.DUMMYFUNCTION("GOOGLETRANSLATE(B175,""zh_cn"",""vi"")"),"thượng đẳng")</f>
        <v>thượng đẳng</v>
      </c>
      <c r="G175" s="10" t="s">
        <v>605</v>
      </c>
      <c r="H175" s="5" t="s">
        <v>603</v>
      </c>
      <c r="I175" s="11" t="b">
        <f t="shared" si="2"/>
        <v>1</v>
      </c>
      <c r="K175" s="11" t="b">
        <f t="shared" si="3"/>
        <v>0</v>
      </c>
    </row>
    <row r="176" ht="22.5" customHeight="1">
      <c r="A176" s="12">
        <f t="shared" si="4"/>
        <v>175</v>
      </c>
      <c r="B176" s="6" t="s">
        <v>606</v>
      </c>
      <c r="C176" s="7" t="str">
        <f t="shared" si="1"/>
        <v>🔊</v>
      </c>
      <c r="D176" s="8" t="s">
        <v>607</v>
      </c>
      <c r="E176" s="6" t="s">
        <v>13</v>
      </c>
      <c r="F176" s="9" t="s">
        <v>608</v>
      </c>
      <c r="G176" s="10" t="s">
        <v>609</v>
      </c>
      <c r="H176" s="5" t="s">
        <v>606</v>
      </c>
      <c r="I176" s="11" t="b">
        <f t="shared" si="2"/>
        <v>1</v>
      </c>
      <c r="K176" s="11" t="b">
        <f t="shared" si="3"/>
        <v>0</v>
      </c>
    </row>
    <row r="177" ht="22.5" customHeight="1">
      <c r="A177" s="12">
        <f t="shared" si="4"/>
        <v>176</v>
      </c>
      <c r="B177" s="6" t="s">
        <v>610</v>
      </c>
      <c r="C177" s="7" t="str">
        <f t="shared" si="1"/>
        <v>🔊</v>
      </c>
      <c r="D177" s="8" t="s">
        <v>611</v>
      </c>
      <c r="E177" s="6" t="s">
        <v>27</v>
      </c>
      <c r="F177" s="13" t="str">
        <f>IFERROR(__xludf.DUMMYFUNCTION("GOOGLETRANSLATE(B177,""zh_cn"",""vi"")"),"cửa hàng")</f>
        <v>cửa hàng</v>
      </c>
      <c r="G177" s="10" t="s">
        <v>612</v>
      </c>
      <c r="H177" s="5" t="s">
        <v>610</v>
      </c>
      <c r="I177" s="11" t="b">
        <f t="shared" si="2"/>
        <v>1</v>
      </c>
      <c r="K177" s="11" t="b">
        <f t="shared" si="3"/>
        <v>0</v>
      </c>
    </row>
    <row r="178" ht="22.5" customHeight="1">
      <c r="A178" s="12">
        <f t="shared" si="4"/>
        <v>177</v>
      </c>
      <c r="B178" s="6" t="s">
        <v>613</v>
      </c>
      <c r="C178" s="7" t="str">
        <f t="shared" si="1"/>
        <v>🔊</v>
      </c>
      <c r="D178" s="8" t="s">
        <v>614</v>
      </c>
      <c r="E178" s="6" t="s">
        <v>13</v>
      </c>
      <c r="F178" s="9" t="s">
        <v>615</v>
      </c>
      <c r="G178" s="10" t="s">
        <v>616</v>
      </c>
      <c r="H178" s="5" t="s">
        <v>613</v>
      </c>
      <c r="I178" s="11" t="b">
        <f t="shared" si="2"/>
        <v>1</v>
      </c>
      <c r="K178" s="11" t="b">
        <f t="shared" si="3"/>
        <v>0</v>
      </c>
    </row>
    <row r="179" ht="22.5" customHeight="1">
      <c r="A179" s="12">
        <f t="shared" si="4"/>
        <v>178</v>
      </c>
      <c r="B179" s="6" t="s">
        <v>617</v>
      </c>
      <c r="C179" s="7" t="str">
        <f t="shared" si="1"/>
        <v>🔊</v>
      </c>
      <c r="D179" s="8" t="s">
        <v>618</v>
      </c>
      <c r="E179" s="6" t="s">
        <v>27</v>
      </c>
      <c r="F179" s="13" t="str">
        <f>IFERROR(__xludf.DUMMYFUNCTION("GOOGLETRANSLATE(B179,""zh_cn"",""vi"")"),"buổi sáng")</f>
        <v>buổi sáng</v>
      </c>
      <c r="G179" s="10" t="s">
        <v>619</v>
      </c>
      <c r="H179" s="5" t="s">
        <v>617</v>
      </c>
      <c r="I179" s="11" t="b">
        <f t="shared" si="2"/>
        <v>1</v>
      </c>
      <c r="K179" s="11" t="b">
        <f t="shared" si="3"/>
        <v>0</v>
      </c>
    </row>
    <row r="180" ht="22.5" customHeight="1">
      <c r="A180" s="12">
        <f t="shared" si="4"/>
        <v>179</v>
      </c>
      <c r="B180" s="6" t="s">
        <v>620</v>
      </c>
      <c r="C180" s="7" t="str">
        <f t="shared" si="1"/>
        <v>🔊</v>
      </c>
      <c r="D180" s="8" t="s">
        <v>621</v>
      </c>
      <c r="E180" s="6" t="s">
        <v>13</v>
      </c>
      <c r="F180" s="13" t="str">
        <f>IFERROR(__xludf.DUMMYFUNCTION("GOOGLETRANSLATE(B180,""zh_cn"",""vi"")"),"đi học")</f>
        <v>đi học</v>
      </c>
      <c r="G180" s="10" t="s">
        <v>622</v>
      </c>
      <c r="H180" s="5" t="s">
        <v>620</v>
      </c>
      <c r="I180" s="11" t="b">
        <f t="shared" si="2"/>
        <v>1</v>
      </c>
      <c r="K180" s="11" t="b">
        <f t="shared" si="3"/>
        <v>0</v>
      </c>
    </row>
    <row r="181" ht="22.5" customHeight="1">
      <c r="A181" s="12">
        <f t="shared" si="4"/>
        <v>180</v>
      </c>
      <c r="B181" s="6" t="s">
        <v>623</v>
      </c>
      <c r="C181" s="7" t="str">
        <f t="shared" si="1"/>
        <v>🔊</v>
      </c>
      <c r="D181" s="8" t="s">
        <v>624</v>
      </c>
      <c r="E181" s="6" t="s">
        <v>416</v>
      </c>
      <c r="F181" s="9" t="s">
        <v>625</v>
      </c>
      <c r="G181" s="10" t="s">
        <v>626</v>
      </c>
      <c r="H181" s="5" t="s">
        <v>623</v>
      </c>
      <c r="I181" s="11" t="b">
        <f t="shared" si="2"/>
        <v>1</v>
      </c>
      <c r="K181" s="11" t="b">
        <f t="shared" si="3"/>
        <v>0</v>
      </c>
    </row>
    <row r="182" ht="22.5" customHeight="1">
      <c r="A182" s="12">
        <f t="shared" si="4"/>
        <v>181</v>
      </c>
      <c r="B182" s="6" t="s">
        <v>627</v>
      </c>
      <c r="C182" s="7" t="str">
        <f t="shared" si="1"/>
        <v>🔊</v>
      </c>
      <c r="D182" s="8" t="s">
        <v>628</v>
      </c>
      <c r="E182" s="6" t="s">
        <v>106</v>
      </c>
      <c r="F182" s="13" t="str">
        <f>IFERROR(__xludf.DUMMYFUNCTION("GOOGLETRANSLATE(B182,""zh_cn"",""vi"")"),"Ai")</f>
        <v>Ai</v>
      </c>
      <c r="G182" s="10" t="s">
        <v>629</v>
      </c>
      <c r="H182" s="5" t="s">
        <v>627</v>
      </c>
      <c r="I182" s="11" t="b">
        <f t="shared" si="2"/>
        <v>1</v>
      </c>
      <c r="K182" s="11" t="b">
        <f t="shared" si="3"/>
        <v>0</v>
      </c>
    </row>
    <row r="183" ht="22.5" customHeight="1">
      <c r="A183" s="12">
        <f t="shared" si="4"/>
        <v>182</v>
      </c>
      <c r="B183" s="6" t="s">
        <v>630</v>
      </c>
      <c r="C183" s="7" t="str">
        <f t="shared" si="1"/>
        <v>🔊</v>
      </c>
      <c r="D183" s="8" t="s">
        <v>631</v>
      </c>
      <c r="E183" s="6" t="s">
        <v>13</v>
      </c>
      <c r="F183" s="13" t="str">
        <f>IFERROR(__xludf.DUMMYFUNCTION("GOOGLETRANSLATE(B183,""zh_cn"",""vi"")"),"Bị ốm")</f>
        <v>Bị ốm</v>
      </c>
      <c r="G183" s="10" t="s">
        <v>632</v>
      </c>
      <c r="H183" s="5" t="s">
        <v>630</v>
      </c>
      <c r="I183" s="11" t="b">
        <f t="shared" si="2"/>
        <v>1</v>
      </c>
      <c r="K183" s="11" t="b">
        <f t="shared" si="3"/>
        <v>0</v>
      </c>
    </row>
    <row r="184" ht="22.5" customHeight="1">
      <c r="A184" s="12">
        <f t="shared" si="4"/>
        <v>183</v>
      </c>
      <c r="B184" s="6" t="s">
        <v>633</v>
      </c>
      <c r="C184" s="7" t="str">
        <f t="shared" si="1"/>
        <v>🔊</v>
      </c>
      <c r="D184" s="8" t="s">
        <v>634</v>
      </c>
      <c r="E184" s="6" t="s">
        <v>106</v>
      </c>
      <c r="F184" s="13" t="str">
        <f>IFERROR(__xludf.DUMMYFUNCTION("GOOGLETRANSLATE(B184,""zh_cn"",""vi"")"),"Cái gì")</f>
        <v>Cái gì</v>
      </c>
      <c r="G184" s="10" t="s">
        <v>635</v>
      </c>
      <c r="H184" s="5" t="s">
        <v>633</v>
      </c>
      <c r="I184" s="11" t="b">
        <f t="shared" si="2"/>
        <v>1</v>
      </c>
      <c r="K184" s="11" t="b">
        <f t="shared" si="3"/>
        <v>0</v>
      </c>
    </row>
    <row r="185" ht="22.5" customHeight="1">
      <c r="A185" s="12">
        <f t="shared" si="4"/>
        <v>184</v>
      </c>
      <c r="B185" s="6" t="s">
        <v>636</v>
      </c>
      <c r="C185" s="7" t="str">
        <f t="shared" si="1"/>
        <v>🔊</v>
      </c>
      <c r="D185" s="8" t="s">
        <v>637</v>
      </c>
      <c r="E185" s="6" t="s">
        <v>23</v>
      </c>
      <c r="F185" s="9" t="s">
        <v>638</v>
      </c>
      <c r="G185" s="10" t="s">
        <v>639</v>
      </c>
      <c r="H185" s="5" t="s">
        <v>636</v>
      </c>
      <c r="I185" s="11" t="b">
        <f t="shared" si="2"/>
        <v>1</v>
      </c>
      <c r="K185" s="11" t="b">
        <f t="shared" si="3"/>
        <v>0</v>
      </c>
    </row>
    <row r="186" ht="22.5" customHeight="1">
      <c r="A186" s="12">
        <f t="shared" si="4"/>
        <v>185</v>
      </c>
      <c r="B186" s="6" t="s">
        <v>640</v>
      </c>
      <c r="C186" s="7" t="str">
        <f t="shared" si="1"/>
        <v>🔊</v>
      </c>
      <c r="D186" s="8" t="s">
        <v>641</v>
      </c>
      <c r="E186" s="6" t="s">
        <v>27</v>
      </c>
      <c r="F186" s="9" t="s">
        <v>642</v>
      </c>
      <c r="G186" s="10" t="s">
        <v>643</v>
      </c>
      <c r="H186" s="5" t="s">
        <v>640</v>
      </c>
      <c r="I186" s="11" t="b">
        <f t="shared" si="2"/>
        <v>1</v>
      </c>
      <c r="K186" s="11" t="b">
        <f t="shared" si="3"/>
        <v>0</v>
      </c>
    </row>
    <row r="187" ht="22.5" customHeight="1">
      <c r="A187" s="12">
        <f t="shared" si="4"/>
        <v>186</v>
      </c>
      <c r="B187" s="6" t="s">
        <v>644</v>
      </c>
      <c r="C187" s="7" t="str">
        <f t="shared" si="1"/>
        <v>🔊</v>
      </c>
      <c r="D187" s="8" t="s">
        <v>641</v>
      </c>
      <c r="E187" s="6" t="s">
        <v>13</v>
      </c>
      <c r="F187" s="13" t="str">
        <f>IFERROR(__xludf.DUMMYFUNCTION("GOOGLETRANSLATE(B187,""zh_cn"",""vi"")"),"Đúng")</f>
        <v>Đúng</v>
      </c>
      <c r="G187" s="10" t="s">
        <v>645</v>
      </c>
      <c r="H187" s="5" t="s">
        <v>644</v>
      </c>
      <c r="I187" s="11" t="b">
        <f t="shared" si="2"/>
        <v>1</v>
      </c>
      <c r="K187" s="11" t="b">
        <f t="shared" si="3"/>
        <v>0</v>
      </c>
    </row>
    <row r="188" ht="22.5" customHeight="1">
      <c r="A188" s="12">
        <f t="shared" si="4"/>
        <v>187</v>
      </c>
      <c r="B188" s="6" t="s">
        <v>646</v>
      </c>
      <c r="C188" s="7" t="str">
        <f t="shared" si="1"/>
        <v>🔊</v>
      </c>
      <c r="D188" s="8" t="s">
        <v>647</v>
      </c>
      <c r="E188" s="6" t="s">
        <v>27</v>
      </c>
      <c r="F188" s="13" t="str">
        <f>IFERROR(__xludf.DUMMYFUNCTION("GOOGLETRANSLATE(B188,""zh_cn"",""vi"")"),"khi")</f>
        <v>khi</v>
      </c>
      <c r="G188" s="10" t="s">
        <v>648</v>
      </c>
      <c r="H188" s="5" t="s">
        <v>646</v>
      </c>
      <c r="I188" s="11" t="b">
        <f t="shared" si="2"/>
        <v>1</v>
      </c>
      <c r="K188" s="11" t="b">
        <f t="shared" si="3"/>
        <v>0</v>
      </c>
    </row>
    <row r="189" ht="22.5" customHeight="1">
      <c r="A189" s="12">
        <f t="shared" si="4"/>
        <v>188</v>
      </c>
      <c r="B189" s="6" t="s">
        <v>649</v>
      </c>
      <c r="C189" s="7" t="str">
        <f t="shared" si="1"/>
        <v>🔊</v>
      </c>
      <c r="D189" s="8" t="s">
        <v>650</v>
      </c>
      <c r="E189" s="6" t="s">
        <v>27</v>
      </c>
      <c r="F189" s="13" t="str">
        <f>IFERROR(__xludf.DUMMYFUNCTION("GOOGLETRANSLATE(B189,""zh_cn"",""vi"")"),"thời gian")</f>
        <v>thời gian</v>
      </c>
      <c r="G189" s="10" t="s">
        <v>651</v>
      </c>
      <c r="H189" s="5" t="s">
        <v>649</v>
      </c>
      <c r="I189" s="11" t="b">
        <f t="shared" si="2"/>
        <v>1</v>
      </c>
      <c r="K189" s="11" t="b">
        <f t="shared" si="3"/>
        <v>0</v>
      </c>
    </row>
    <row r="190" ht="22.5" customHeight="1">
      <c r="A190" s="12">
        <f t="shared" si="4"/>
        <v>189</v>
      </c>
      <c r="B190" s="6" t="s">
        <v>652</v>
      </c>
      <c r="C190" s="7" t="str">
        <f t="shared" si="1"/>
        <v>🔊</v>
      </c>
      <c r="D190" s="8" t="s">
        <v>653</v>
      </c>
      <c r="E190" s="6" t="s">
        <v>27</v>
      </c>
      <c r="F190" s="13" t="str">
        <f>IFERROR(__xludf.DUMMYFUNCTION("GOOGLETRANSLATE(B190,""zh_cn"",""vi"")"),"điện thoại di động")</f>
        <v>điện thoại di động</v>
      </c>
      <c r="G190" s="10" t="s">
        <v>654</v>
      </c>
      <c r="H190" s="5" t="s">
        <v>652</v>
      </c>
      <c r="I190" s="11" t="b">
        <f t="shared" si="2"/>
        <v>1</v>
      </c>
      <c r="K190" s="11" t="b">
        <f t="shared" si="3"/>
        <v>0</v>
      </c>
    </row>
    <row r="191" ht="22.5" customHeight="1">
      <c r="A191" s="12">
        <f t="shared" si="4"/>
        <v>190</v>
      </c>
      <c r="B191" s="6" t="s">
        <v>655</v>
      </c>
      <c r="C191" s="7" t="str">
        <f t="shared" si="1"/>
        <v>🔊</v>
      </c>
      <c r="D191" s="8" t="s">
        <v>656</v>
      </c>
      <c r="E191" s="6" t="s">
        <v>27</v>
      </c>
      <c r="F191" s="13" t="str">
        <f>IFERROR(__xludf.DUMMYFUNCTION("GOOGLETRANSLATE(B191,""zh_cn"",""vi"")"),"Sách")</f>
        <v>Sách</v>
      </c>
      <c r="G191" s="10" t="s">
        <v>657</v>
      </c>
      <c r="H191" s="5" t="s">
        <v>655</v>
      </c>
      <c r="I191" s="11" t="b">
        <f t="shared" si="2"/>
        <v>1</v>
      </c>
      <c r="K191" s="11" t="b">
        <f t="shared" si="3"/>
        <v>0</v>
      </c>
    </row>
    <row r="192" ht="22.5" customHeight="1">
      <c r="A192" s="12">
        <f t="shared" si="4"/>
        <v>191</v>
      </c>
      <c r="B192" s="6" t="s">
        <v>658</v>
      </c>
      <c r="C192" s="7" t="str">
        <f t="shared" si="1"/>
        <v>🔊</v>
      </c>
      <c r="D192" s="8" t="s">
        <v>659</v>
      </c>
      <c r="E192" s="6" t="s">
        <v>27</v>
      </c>
      <c r="F192" s="13" t="str">
        <f>IFERROR(__xludf.DUMMYFUNCTION("GOOGLETRANSLATE(B192,""zh_cn"",""vi"")"),"hiệu sách")</f>
        <v>hiệu sách</v>
      </c>
      <c r="G192" s="10" t="s">
        <v>660</v>
      </c>
      <c r="H192" s="5" t="s">
        <v>658</v>
      </c>
      <c r="I192" s="11" t="b">
        <f t="shared" si="2"/>
        <v>1</v>
      </c>
      <c r="K192" s="11" t="b">
        <f t="shared" si="3"/>
        <v>0</v>
      </c>
    </row>
    <row r="193" ht="22.5" customHeight="1">
      <c r="A193" s="12">
        <f t="shared" si="4"/>
        <v>192</v>
      </c>
      <c r="B193" s="6" t="s">
        <v>661</v>
      </c>
      <c r="C193" s="7" t="str">
        <f t="shared" si="1"/>
        <v>🔊</v>
      </c>
      <c r="D193" s="8" t="s">
        <v>662</v>
      </c>
      <c r="E193" s="6" t="s">
        <v>13</v>
      </c>
      <c r="F193" s="13" t="str">
        <f>IFERROR(__xludf.DUMMYFUNCTION("GOOGLETRANSLATE(B193,""zh_cn"",""vi"")"),"ngủ")</f>
        <v>ngủ</v>
      </c>
      <c r="G193" s="10" t="s">
        <v>663</v>
      </c>
      <c r="H193" s="5" t="s">
        <v>661</v>
      </c>
      <c r="I193" s="11" t="b">
        <f t="shared" si="2"/>
        <v>1</v>
      </c>
      <c r="K193" s="11" t="b">
        <f t="shared" si="3"/>
        <v>0</v>
      </c>
    </row>
    <row r="194" ht="22.5" customHeight="1">
      <c r="A194" s="12">
        <f t="shared" si="4"/>
        <v>193</v>
      </c>
      <c r="B194" s="6" t="s">
        <v>664</v>
      </c>
      <c r="C194" s="7" t="str">
        <f t="shared" si="1"/>
        <v>🔊</v>
      </c>
      <c r="D194" s="8" t="s">
        <v>665</v>
      </c>
      <c r="E194" s="6" t="s">
        <v>27</v>
      </c>
      <c r="F194" s="13" t="str">
        <f>IFERROR(__xludf.DUMMYFUNCTION("GOOGLETRANSLATE(B194,""zh_cn"",""vi"")"),"Nước")</f>
        <v>Nước</v>
      </c>
      <c r="G194" s="10" t="s">
        <v>666</v>
      </c>
      <c r="H194" s="5" t="s">
        <v>664</v>
      </c>
      <c r="I194" s="11" t="b">
        <f t="shared" si="2"/>
        <v>1</v>
      </c>
      <c r="K194" s="11" t="b">
        <f t="shared" si="3"/>
        <v>0</v>
      </c>
    </row>
    <row r="195" ht="22.5" customHeight="1">
      <c r="A195" s="12">
        <f t="shared" si="4"/>
        <v>194</v>
      </c>
      <c r="B195" s="6" t="s">
        <v>667</v>
      </c>
      <c r="C195" s="7" t="str">
        <f t="shared" si="1"/>
        <v>🔊</v>
      </c>
      <c r="D195" s="8" t="s">
        <v>668</v>
      </c>
      <c r="E195" s="6" t="s">
        <v>27</v>
      </c>
      <c r="F195" s="13" t="str">
        <f>IFERROR(__xludf.DUMMYFUNCTION("GOOGLETRANSLATE(B195,""zh_cn"",""vi"")"),"hoa quả")</f>
        <v>hoa quả</v>
      </c>
      <c r="G195" s="10" t="s">
        <v>669</v>
      </c>
      <c r="H195" s="5" t="s">
        <v>667</v>
      </c>
      <c r="I195" s="11" t="b">
        <f t="shared" si="2"/>
        <v>1</v>
      </c>
      <c r="K195" s="11" t="b">
        <f t="shared" si="3"/>
        <v>0</v>
      </c>
    </row>
    <row r="196" ht="22.5" customHeight="1">
      <c r="A196" s="12">
        <f t="shared" si="4"/>
        <v>195</v>
      </c>
      <c r="B196" s="6" t="s">
        <v>670</v>
      </c>
      <c r="C196" s="7" t="str">
        <f t="shared" si="1"/>
        <v>🔊</v>
      </c>
      <c r="D196" s="8" t="s">
        <v>671</v>
      </c>
      <c r="E196" s="6" t="s">
        <v>13</v>
      </c>
      <c r="F196" s="13" t="str">
        <f>IFERROR(__xludf.DUMMYFUNCTION("GOOGLETRANSLATE(B196,""zh_cn"",""vi"")"),"ngủ")</f>
        <v>ngủ</v>
      </c>
      <c r="G196" s="15" t="s">
        <v>672</v>
      </c>
      <c r="H196" s="5" t="s">
        <v>670</v>
      </c>
      <c r="I196" s="11" t="b">
        <f t="shared" si="2"/>
        <v>1</v>
      </c>
      <c r="K196" s="11" t="b">
        <f t="shared" si="3"/>
        <v>0</v>
      </c>
    </row>
    <row r="197" ht="22.5" customHeight="1">
      <c r="A197" s="12">
        <f t="shared" si="4"/>
        <v>196</v>
      </c>
      <c r="B197" s="6" t="s">
        <v>673</v>
      </c>
      <c r="C197" s="7" t="str">
        <f t="shared" si="1"/>
        <v>🔊</v>
      </c>
      <c r="D197" s="8" t="s">
        <v>674</v>
      </c>
      <c r="E197" s="6" t="s">
        <v>13</v>
      </c>
      <c r="F197" s="9" t="s">
        <v>675</v>
      </c>
      <c r="G197" s="15" t="s">
        <v>676</v>
      </c>
      <c r="H197" s="5" t="s">
        <v>673</v>
      </c>
      <c r="I197" s="11" t="b">
        <f t="shared" si="2"/>
        <v>1</v>
      </c>
      <c r="K197" s="11" t="b">
        <f t="shared" si="3"/>
        <v>0</v>
      </c>
    </row>
    <row r="198" ht="22.5" customHeight="1">
      <c r="A198" s="12">
        <f t="shared" si="4"/>
        <v>197</v>
      </c>
      <c r="B198" s="6" t="s">
        <v>677</v>
      </c>
      <c r="C198" s="7" t="str">
        <f t="shared" si="1"/>
        <v>🔊</v>
      </c>
      <c r="D198" s="8" t="s">
        <v>678</v>
      </c>
      <c r="E198" s="6" t="s">
        <v>13</v>
      </c>
      <c r="F198" s="9" t="s">
        <v>679</v>
      </c>
      <c r="G198" s="10" t="s">
        <v>680</v>
      </c>
      <c r="H198" s="5" t="s">
        <v>677</v>
      </c>
      <c r="I198" s="11" t="b">
        <f t="shared" si="2"/>
        <v>1</v>
      </c>
      <c r="K198" s="11" t="b">
        <f t="shared" si="3"/>
        <v>0</v>
      </c>
    </row>
    <row r="199" ht="22.5" customHeight="1">
      <c r="A199" s="12">
        <f t="shared" si="4"/>
        <v>198</v>
      </c>
      <c r="B199" s="6" t="s">
        <v>681</v>
      </c>
      <c r="C199" s="7" t="str">
        <f t="shared" si="1"/>
        <v>🔊</v>
      </c>
      <c r="D199" s="8" t="s">
        <v>682</v>
      </c>
      <c r="E199" s="6" t="s">
        <v>23</v>
      </c>
      <c r="F199" s="13" t="str">
        <f>IFERROR(__xludf.DUMMYFUNCTION("GOOGLETRANSLATE(B199,""zh_cn"",""vi"")"),"Bốn")</f>
        <v>Bốn</v>
      </c>
      <c r="G199" s="10" t="s">
        <v>683</v>
      </c>
      <c r="H199" s="5" t="s">
        <v>681</v>
      </c>
      <c r="I199" s="11" t="b">
        <f t="shared" si="2"/>
        <v>1</v>
      </c>
      <c r="K199" s="11" t="b">
        <f t="shared" si="3"/>
        <v>0</v>
      </c>
    </row>
    <row r="200" ht="22.5" customHeight="1">
      <c r="A200" s="12">
        <f t="shared" si="4"/>
        <v>199</v>
      </c>
      <c r="B200" s="6" t="s">
        <v>684</v>
      </c>
      <c r="C200" s="7" t="str">
        <f t="shared" si="1"/>
        <v>🔊</v>
      </c>
      <c r="D200" s="8" t="s">
        <v>685</v>
      </c>
      <c r="E200" s="6" t="s">
        <v>47</v>
      </c>
      <c r="F200" s="13" t="str">
        <f>IFERROR(__xludf.DUMMYFUNCTION("GOOGLETRANSLATE(B200,""zh_cn"",""vi"")"),"tuổi")</f>
        <v>tuổi</v>
      </c>
      <c r="G200" s="10" t="s">
        <v>686</v>
      </c>
      <c r="H200" s="5" t="s">
        <v>684</v>
      </c>
      <c r="I200" s="11" t="b">
        <f t="shared" si="2"/>
        <v>1</v>
      </c>
      <c r="K200" s="11" t="b">
        <f t="shared" si="3"/>
        <v>0</v>
      </c>
    </row>
    <row r="201" ht="22.5" customHeight="1">
      <c r="A201" s="12">
        <f t="shared" si="4"/>
        <v>200</v>
      </c>
      <c r="B201" s="6" t="s">
        <v>687</v>
      </c>
      <c r="C201" s="7" t="str">
        <f t="shared" si="1"/>
        <v>🔊</v>
      </c>
      <c r="D201" s="8" t="s">
        <v>688</v>
      </c>
      <c r="E201" s="6" t="s">
        <v>106</v>
      </c>
      <c r="F201" s="13" t="str">
        <f>IFERROR(__xludf.DUMMYFUNCTION("GOOGLETRANSLATE(B201,""zh_cn"",""vi"")"),"Anh ta")</f>
        <v>Anh ta</v>
      </c>
      <c r="G201" s="16" t="s">
        <v>689</v>
      </c>
      <c r="H201" s="5" t="s">
        <v>687</v>
      </c>
      <c r="I201" s="11" t="b">
        <f t="shared" si="2"/>
        <v>1</v>
      </c>
      <c r="K201" s="11" t="b">
        <f t="shared" si="3"/>
        <v>0</v>
      </c>
    </row>
    <row r="202" ht="22.5" customHeight="1">
      <c r="A202" s="12">
        <f t="shared" si="4"/>
        <v>201</v>
      </c>
      <c r="B202" s="6" t="s">
        <v>690</v>
      </c>
      <c r="C202" s="7" t="str">
        <f t="shared" si="1"/>
        <v>🔊</v>
      </c>
      <c r="D202" s="8" t="s">
        <v>688</v>
      </c>
      <c r="E202" s="6" t="s">
        <v>106</v>
      </c>
      <c r="F202" s="13" t="str">
        <f>IFERROR(__xludf.DUMMYFUNCTION("GOOGLETRANSLATE(B202,""zh_cn"",""vi"")"),"Nó")</f>
        <v>Nó</v>
      </c>
      <c r="G202" s="10" t="s">
        <v>691</v>
      </c>
      <c r="H202" s="5" t="s">
        <v>690</v>
      </c>
      <c r="I202" s="11" t="b">
        <f t="shared" si="2"/>
        <v>1</v>
      </c>
      <c r="K202" s="11" t="b">
        <f t="shared" si="3"/>
        <v>0</v>
      </c>
    </row>
    <row r="203" ht="22.5" customHeight="1">
      <c r="A203" s="12">
        <f t="shared" si="4"/>
        <v>202</v>
      </c>
      <c r="B203" s="6" t="s">
        <v>692</v>
      </c>
      <c r="C203" s="7" t="str">
        <f t="shared" si="1"/>
        <v>🔊</v>
      </c>
      <c r="D203" s="8" t="s">
        <v>688</v>
      </c>
      <c r="E203" s="6" t="s">
        <v>106</v>
      </c>
      <c r="F203" s="13" t="str">
        <f>IFERROR(__xludf.DUMMYFUNCTION("GOOGLETRANSLATE(B203,""zh_cn"",""vi"")"),"cô ấy")</f>
        <v>cô ấy</v>
      </c>
      <c r="G203" s="10" t="s">
        <v>693</v>
      </c>
      <c r="H203" s="5" t="s">
        <v>692</v>
      </c>
      <c r="I203" s="11" t="b">
        <f t="shared" si="2"/>
        <v>1</v>
      </c>
      <c r="K203" s="11" t="b">
        <f t="shared" si="3"/>
        <v>0</v>
      </c>
    </row>
    <row r="204" ht="22.5" customHeight="1">
      <c r="A204" s="12">
        <f t="shared" si="4"/>
        <v>203</v>
      </c>
      <c r="B204" s="6" t="s">
        <v>694</v>
      </c>
      <c r="C204" s="7" t="str">
        <f t="shared" si="1"/>
        <v>🔊</v>
      </c>
      <c r="D204" s="8" t="s">
        <v>695</v>
      </c>
      <c r="E204" s="6" t="s">
        <v>61</v>
      </c>
      <c r="F204" s="9" t="s">
        <v>696</v>
      </c>
      <c r="G204" s="10" t="s">
        <v>697</v>
      </c>
      <c r="H204" s="5" t="s">
        <v>694</v>
      </c>
      <c r="I204" s="11" t="b">
        <f t="shared" si="2"/>
        <v>1</v>
      </c>
      <c r="K204" s="11" t="b">
        <f t="shared" si="3"/>
        <v>0</v>
      </c>
    </row>
    <row r="205" ht="22.5" customHeight="1">
      <c r="A205" s="12">
        <f t="shared" si="4"/>
        <v>204</v>
      </c>
      <c r="B205" s="6" t="s">
        <v>698</v>
      </c>
      <c r="C205" s="7" t="str">
        <f t="shared" si="1"/>
        <v>🔊</v>
      </c>
      <c r="D205" s="8" t="s">
        <v>699</v>
      </c>
      <c r="E205" s="6" t="s">
        <v>106</v>
      </c>
      <c r="F205" s="9" t="s">
        <v>700</v>
      </c>
      <c r="G205" s="10" t="s">
        <v>701</v>
      </c>
      <c r="H205" s="5" t="s">
        <v>698</v>
      </c>
      <c r="I205" s="11" t="b">
        <f t="shared" si="2"/>
        <v>1</v>
      </c>
      <c r="K205" s="11" t="b">
        <f t="shared" si="3"/>
        <v>0</v>
      </c>
    </row>
    <row r="206" ht="22.5" customHeight="1">
      <c r="A206" s="12">
        <f t="shared" si="4"/>
        <v>205</v>
      </c>
      <c r="B206" s="6" t="s">
        <v>702</v>
      </c>
      <c r="C206" s="7" t="str">
        <f t="shared" si="1"/>
        <v>🔊</v>
      </c>
      <c r="D206" s="8" t="s">
        <v>699</v>
      </c>
      <c r="E206" s="6" t="s">
        <v>106</v>
      </c>
      <c r="F206" s="9" t="s">
        <v>703</v>
      </c>
      <c r="G206" s="10" t="s">
        <v>704</v>
      </c>
      <c r="H206" s="5" t="s">
        <v>702</v>
      </c>
      <c r="I206" s="11" t="b">
        <f t="shared" si="2"/>
        <v>1</v>
      </c>
      <c r="K206" s="11" t="b">
        <f t="shared" si="3"/>
        <v>0</v>
      </c>
    </row>
    <row r="207" ht="22.5" customHeight="1">
      <c r="A207" s="12">
        <f t="shared" si="4"/>
        <v>206</v>
      </c>
      <c r="B207" s="6" t="s">
        <v>705</v>
      </c>
      <c r="C207" s="7" t="str">
        <f t="shared" si="1"/>
        <v>🔊</v>
      </c>
      <c r="D207" s="8" t="s">
        <v>699</v>
      </c>
      <c r="E207" s="6" t="s">
        <v>106</v>
      </c>
      <c r="F207" s="9" t="s">
        <v>706</v>
      </c>
      <c r="G207" s="10" t="s">
        <v>707</v>
      </c>
      <c r="H207" s="5" t="s">
        <v>705</v>
      </c>
      <c r="I207" s="11" t="b">
        <f t="shared" si="2"/>
        <v>1</v>
      </c>
      <c r="K207" s="11" t="b">
        <f t="shared" si="3"/>
        <v>0</v>
      </c>
    </row>
    <row r="208" ht="22.5" customHeight="1">
      <c r="A208" s="12">
        <f t="shared" si="4"/>
        <v>207</v>
      </c>
      <c r="B208" s="6" t="s">
        <v>708</v>
      </c>
      <c r="C208" s="7" t="str">
        <f t="shared" si="1"/>
        <v>🔊</v>
      </c>
      <c r="D208" s="8" t="s">
        <v>709</v>
      </c>
      <c r="E208" s="6" t="s">
        <v>259</v>
      </c>
      <c r="F208" s="13" t="str">
        <f>IFERROR(__xludf.DUMMYFUNCTION("GOOGLETRANSLATE(B208,""zh_cn"",""vi"")"),"bầu trời")</f>
        <v>bầu trời</v>
      </c>
      <c r="G208" s="10" t="s">
        <v>710</v>
      </c>
      <c r="H208" s="5" t="s">
        <v>708</v>
      </c>
      <c r="I208" s="11" t="b">
        <f t="shared" si="2"/>
        <v>1</v>
      </c>
      <c r="K208" s="11" t="b">
        <f t="shared" si="3"/>
        <v>0</v>
      </c>
    </row>
    <row r="209" ht="22.5" customHeight="1">
      <c r="A209" s="12">
        <f t="shared" si="4"/>
        <v>208</v>
      </c>
      <c r="B209" s="6" t="s">
        <v>711</v>
      </c>
      <c r="C209" s="7" t="str">
        <f t="shared" si="1"/>
        <v>🔊</v>
      </c>
      <c r="D209" s="8" t="s">
        <v>712</v>
      </c>
      <c r="E209" s="6" t="s">
        <v>27</v>
      </c>
      <c r="F209" s="13" t="str">
        <f>IFERROR(__xludf.DUMMYFUNCTION("GOOGLETRANSLATE(B209,""zh_cn"",""vi"")"),"thời tiết")</f>
        <v>thời tiết</v>
      </c>
      <c r="G209" s="10" t="s">
        <v>713</v>
      </c>
      <c r="H209" s="5" t="s">
        <v>711</v>
      </c>
      <c r="I209" s="11" t="b">
        <f t="shared" si="2"/>
        <v>1</v>
      </c>
      <c r="K209" s="11" t="b">
        <f t="shared" si="3"/>
        <v>0</v>
      </c>
    </row>
    <row r="210" ht="22.5" customHeight="1">
      <c r="A210" s="12">
        <f t="shared" si="4"/>
        <v>209</v>
      </c>
      <c r="B210" s="6" t="s">
        <v>714</v>
      </c>
      <c r="C210" s="7" t="str">
        <f t="shared" si="1"/>
        <v>🔊</v>
      </c>
      <c r="D210" s="8" t="s">
        <v>715</v>
      </c>
      <c r="E210" s="6" t="s">
        <v>13</v>
      </c>
      <c r="F210" s="13" t="str">
        <f>IFERROR(__xludf.DUMMYFUNCTION("GOOGLETRANSLATE(B210,""zh_cn"",""vi"")"),"Nghe")</f>
        <v>Nghe</v>
      </c>
      <c r="G210" s="10" t="s">
        <v>716</v>
      </c>
      <c r="H210" s="5" t="s">
        <v>714</v>
      </c>
      <c r="I210" s="11" t="b">
        <f t="shared" si="2"/>
        <v>1</v>
      </c>
      <c r="K210" s="11" t="b">
        <f t="shared" si="3"/>
        <v>0</v>
      </c>
    </row>
    <row r="211" ht="22.5" customHeight="1">
      <c r="A211" s="12">
        <f t="shared" si="4"/>
        <v>210</v>
      </c>
      <c r="B211" s="6" t="s">
        <v>717</v>
      </c>
      <c r="C211" s="7" t="str">
        <f t="shared" si="1"/>
        <v>🔊</v>
      </c>
      <c r="D211" s="8" t="s">
        <v>718</v>
      </c>
      <c r="E211" s="6" t="s">
        <v>13</v>
      </c>
      <c r="F211" s="9" t="s">
        <v>719</v>
      </c>
      <c r="G211" s="10" t="s">
        <v>720</v>
      </c>
      <c r="H211" s="5" t="s">
        <v>717</v>
      </c>
      <c r="I211" s="11" t="b">
        <f t="shared" si="2"/>
        <v>1</v>
      </c>
      <c r="K211" s="11" t="b">
        <f t="shared" si="3"/>
        <v>0</v>
      </c>
    </row>
    <row r="212" ht="22.5" customHeight="1">
      <c r="A212" s="12">
        <f t="shared" si="4"/>
        <v>211</v>
      </c>
      <c r="B212" s="6" t="s">
        <v>721</v>
      </c>
      <c r="C212" s="7" t="str">
        <f t="shared" si="1"/>
        <v>🔊</v>
      </c>
      <c r="D212" s="8" t="s">
        <v>722</v>
      </c>
      <c r="E212" s="6" t="s">
        <v>27</v>
      </c>
      <c r="F212" s="13" t="str">
        <f>IFERROR(__xludf.DUMMYFUNCTION("GOOGLETRANSLATE(B212,""zh_cn"",""vi"")"),"bạn cùng lớp")</f>
        <v>bạn cùng lớp</v>
      </c>
      <c r="G212" s="10" t="s">
        <v>723</v>
      </c>
      <c r="H212" s="5" t="s">
        <v>721</v>
      </c>
      <c r="I212" s="11" t="b">
        <f t="shared" si="2"/>
        <v>1</v>
      </c>
      <c r="K212" s="11" t="b">
        <f t="shared" si="3"/>
        <v>0</v>
      </c>
    </row>
    <row r="213" ht="22.5" customHeight="1">
      <c r="A213" s="12">
        <f t="shared" si="4"/>
        <v>212</v>
      </c>
      <c r="B213" s="6" t="s">
        <v>724</v>
      </c>
      <c r="C213" s="7" t="str">
        <f t="shared" si="1"/>
        <v>🔊</v>
      </c>
      <c r="D213" s="8" t="s">
        <v>725</v>
      </c>
      <c r="E213" s="6" t="s">
        <v>27</v>
      </c>
      <c r="F213" s="13" t="str">
        <f>IFERROR(__xludf.DUMMYFUNCTION("GOOGLETRANSLATE(B213,""zh_cn"",""vi"")"),"ngoài")</f>
        <v>ngoài</v>
      </c>
      <c r="G213" s="10" t="s">
        <v>726</v>
      </c>
      <c r="H213" s="5" t="s">
        <v>724</v>
      </c>
      <c r="I213" s="11" t="b">
        <f t="shared" si="2"/>
        <v>1</v>
      </c>
      <c r="K213" s="11" t="b">
        <f t="shared" si="3"/>
        <v>0</v>
      </c>
    </row>
    <row r="214" ht="22.5" customHeight="1">
      <c r="A214" s="12">
        <f t="shared" si="4"/>
        <v>213</v>
      </c>
      <c r="B214" s="6" t="s">
        <v>727</v>
      </c>
      <c r="C214" s="7" t="str">
        <f t="shared" si="1"/>
        <v>🔊</v>
      </c>
      <c r="D214" s="8" t="s">
        <v>728</v>
      </c>
      <c r="E214" s="6" t="s">
        <v>27</v>
      </c>
      <c r="F214" s="9" t="s">
        <v>729</v>
      </c>
      <c r="G214" s="10" t="s">
        <v>730</v>
      </c>
      <c r="H214" s="5" t="s">
        <v>727</v>
      </c>
      <c r="I214" s="11" t="b">
        <f t="shared" si="2"/>
        <v>1</v>
      </c>
      <c r="K214" s="11" t="b">
        <f t="shared" si="3"/>
        <v>0</v>
      </c>
    </row>
    <row r="215" ht="22.5" customHeight="1">
      <c r="A215" s="12">
        <f t="shared" si="4"/>
        <v>214</v>
      </c>
      <c r="B215" s="6" t="s">
        <v>731</v>
      </c>
      <c r="C215" s="7" t="str">
        <f t="shared" si="1"/>
        <v>🔊</v>
      </c>
      <c r="D215" s="8" t="s">
        <v>732</v>
      </c>
      <c r="E215" s="6" t="s">
        <v>13</v>
      </c>
      <c r="F215" s="13" t="str">
        <f>IFERROR(__xludf.DUMMYFUNCTION("GOOGLETRANSLATE(B215,""zh_cn"",""vi"")"),"Chơi")</f>
        <v>Chơi</v>
      </c>
      <c r="G215" s="10" t="s">
        <v>733</v>
      </c>
      <c r="H215" s="5" t="s">
        <v>731</v>
      </c>
      <c r="I215" s="11" t="b">
        <f t="shared" si="2"/>
        <v>1</v>
      </c>
      <c r="K215" s="11" t="b">
        <f t="shared" si="3"/>
        <v>0</v>
      </c>
    </row>
    <row r="216" ht="22.5" customHeight="1">
      <c r="A216" s="12">
        <f t="shared" si="4"/>
        <v>215</v>
      </c>
      <c r="B216" s="6" t="s">
        <v>734</v>
      </c>
      <c r="C216" s="7" t="str">
        <f t="shared" si="1"/>
        <v>🔊</v>
      </c>
      <c r="D216" s="8" t="s">
        <v>735</v>
      </c>
      <c r="E216" s="6" t="s">
        <v>99</v>
      </c>
      <c r="F216" s="9" t="s">
        <v>736</v>
      </c>
      <c r="G216" s="10" t="s">
        <v>737</v>
      </c>
      <c r="H216" s="5" t="s">
        <v>734</v>
      </c>
      <c r="I216" s="11" t="b">
        <f t="shared" si="2"/>
        <v>1</v>
      </c>
      <c r="K216" s="11" t="b">
        <f t="shared" si="3"/>
        <v>0</v>
      </c>
    </row>
    <row r="217" ht="22.5" customHeight="1">
      <c r="A217" s="12">
        <f t="shared" si="4"/>
        <v>216</v>
      </c>
      <c r="B217" s="6" t="s">
        <v>738</v>
      </c>
      <c r="C217" s="7" t="str">
        <f t="shared" si="1"/>
        <v>🔊</v>
      </c>
      <c r="D217" s="8" t="s">
        <v>739</v>
      </c>
      <c r="E217" s="6" t="s">
        <v>27</v>
      </c>
      <c r="F217" s="13" t="str">
        <f>IFERROR(__xludf.DUMMYFUNCTION("GOOGLETRANSLATE(B217,""zh_cn"",""vi"")"),"bữa tối")</f>
        <v>bữa tối</v>
      </c>
      <c r="G217" s="10" t="s">
        <v>740</v>
      </c>
      <c r="H217" s="5" t="s">
        <v>738</v>
      </c>
      <c r="I217" s="11" t="b">
        <f t="shared" si="2"/>
        <v>1</v>
      </c>
      <c r="K217" s="11" t="b">
        <f t="shared" si="3"/>
        <v>0</v>
      </c>
    </row>
    <row r="218" ht="22.5" customHeight="1">
      <c r="A218" s="12">
        <f t="shared" si="4"/>
        <v>217</v>
      </c>
      <c r="B218" s="6" t="s">
        <v>741</v>
      </c>
      <c r="C218" s="7" t="str">
        <f t="shared" si="1"/>
        <v>🔊</v>
      </c>
      <c r="D218" s="8" t="s">
        <v>742</v>
      </c>
      <c r="E218" s="6" t="s">
        <v>27</v>
      </c>
      <c r="F218" s="9" t="s">
        <v>743</v>
      </c>
      <c r="G218" s="10" t="s">
        <v>744</v>
      </c>
      <c r="H218" s="5" t="s">
        <v>741</v>
      </c>
      <c r="I218" s="11" t="b">
        <f t="shared" si="2"/>
        <v>1</v>
      </c>
      <c r="K218" s="11" t="b">
        <f t="shared" si="3"/>
        <v>0</v>
      </c>
    </row>
    <row r="219" ht="22.5" customHeight="1">
      <c r="A219" s="12">
        <f t="shared" si="4"/>
        <v>218</v>
      </c>
      <c r="B219" s="6" t="s">
        <v>745</v>
      </c>
      <c r="C219" s="7" t="str">
        <f t="shared" si="1"/>
        <v>🔊</v>
      </c>
      <c r="D219" s="8" t="s">
        <v>746</v>
      </c>
      <c r="E219" s="6" t="s">
        <v>747</v>
      </c>
      <c r="F219" s="9" t="s">
        <v>748</v>
      </c>
      <c r="G219" s="10" t="s">
        <v>749</v>
      </c>
      <c r="H219" s="5" t="s">
        <v>745</v>
      </c>
      <c r="I219" s="11" t="b">
        <f t="shared" si="2"/>
        <v>1</v>
      </c>
      <c r="K219" s="11" t="b">
        <f t="shared" si="3"/>
        <v>0</v>
      </c>
    </row>
    <row r="220" ht="22.5" customHeight="1">
      <c r="A220" s="12">
        <f t="shared" si="4"/>
        <v>219</v>
      </c>
      <c r="B220" s="6" t="s">
        <v>750</v>
      </c>
      <c r="C220" s="7" t="str">
        <f t="shared" si="1"/>
        <v>🔊</v>
      </c>
      <c r="D220" s="8" t="s">
        <v>751</v>
      </c>
      <c r="E220" s="6" t="s">
        <v>13</v>
      </c>
      <c r="F220" s="13" t="str">
        <f>IFERROR(__xludf.DUMMYFUNCTION("GOOGLETRANSLATE(B220,""zh_cn"",""vi"")"),"hỏi")</f>
        <v>hỏi</v>
      </c>
      <c r="G220" s="10" t="s">
        <v>752</v>
      </c>
      <c r="H220" s="5" t="s">
        <v>750</v>
      </c>
      <c r="I220" s="11" t="b">
        <f t="shared" si="2"/>
        <v>1</v>
      </c>
      <c r="K220" s="11" t="b">
        <f t="shared" si="3"/>
        <v>0</v>
      </c>
    </row>
    <row r="221" ht="22.5" customHeight="1">
      <c r="A221" s="12">
        <f t="shared" si="4"/>
        <v>220</v>
      </c>
      <c r="B221" s="6" t="s">
        <v>753</v>
      </c>
      <c r="C221" s="7" t="str">
        <f t="shared" si="1"/>
        <v>🔊</v>
      </c>
      <c r="D221" s="8" t="s">
        <v>754</v>
      </c>
      <c r="E221" s="6" t="s">
        <v>27</v>
      </c>
      <c r="F221" s="13" t="str">
        <f>IFERROR(__xludf.DUMMYFUNCTION("GOOGLETRANSLATE(B221,""zh_cn"",""vi"")"),"câu hỏi")</f>
        <v>câu hỏi</v>
      </c>
      <c r="G221" s="10" t="s">
        <v>755</v>
      </c>
      <c r="H221" s="5" t="s">
        <v>753</v>
      </c>
      <c r="I221" s="11" t="b">
        <f t="shared" si="2"/>
        <v>1</v>
      </c>
      <c r="K221" s="11" t="b">
        <f t="shared" si="3"/>
        <v>0</v>
      </c>
    </row>
    <row r="222" ht="22.5" customHeight="1">
      <c r="A222" s="12">
        <f t="shared" si="4"/>
        <v>221</v>
      </c>
      <c r="B222" s="6" t="s">
        <v>756</v>
      </c>
      <c r="C222" s="7" t="str">
        <f t="shared" si="1"/>
        <v>🔊</v>
      </c>
      <c r="D222" s="8" t="s">
        <v>757</v>
      </c>
      <c r="E222" s="6" t="s">
        <v>106</v>
      </c>
      <c r="F222" s="13" t="str">
        <f>IFERROR(__xludf.DUMMYFUNCTION("GOOGLETRANSLATE(B222,""zh_cn"",""vi"")"),"TÔI")</f>
        <v>TÔI</v>
      </c>
      <c r="G222" s="10" t="s">
        <v>758</v>
      </c>
      <c r="H222" s="5" t="s">
        <v>756</v>
      </c>
      <c r="I222" s="11" t="b">
        <f t="shared" si="2"/>
        <v>1</v>
      </c>
      <c r="K222" s="11" t="b">
        <f t="shared" si="3"/>
        <v>0</v>
      </c>
    </row>
    <row r="223" ht="22.5" customHeight="1">
      <c r="A223" s="12">
        <f t="shared" si="4"/>
        <v>222</v>
      </c>
      <c r="B223" s="6" t="s">
        <v>759</v>
      </c>
      <c r="C223" s="7" t="str">
        <f t="shared" si="1"/>
        <v>🔊</v>
      </c>
      <c r="D223" s="8" t="s">
        <v>760</v>
      </c>
      <c r="E223" s="6" t="s">
        <v>106</v>
      </c>
      <c r="F223" s="13" t="str">
        <f>IFERROR(__xludf.DUMMYFUNCTION("GOOGLETRANSLATE(B223,""zh_cn"",""vi"")"),"chúng ta")</f>
        <v>chúng ta</v>
      </c>
      <c r="G223" s="10" t="s">
        <v>761</v>
      </c>
      <c r="H223" s="5" t="s">
        <v>759</v>
      </c>
      <c r="I223" s="11" t="b">
        <f t="shared" si="2"/>
        <v>1</v>
      </c>
      <c r="K223" s="11" t="b">
        <f t="shared" si="3"/>
        <v>0</v>
      </c>
    </row>
    <row r="224" ht="22.5" customHeight="1">
      <c r="A224" s="12">
        <f t="shared" si="4"/>
        <v>223</v>
      </c>
      <c r="B224" s="6" t="s">
        <v>762</v>
      </c>
      <c r="C224" s="7" t="str">
        <f t="shared" si="1"/>
        <v>🔊</v>
      </c>
      <c r="D224" s="8" t="s">
        <v>763</v>
      </c>
      <c r="E224" s="6" t="s">
        <v>23</v>
      </c>
      <c r="F224" s="9" t="s">
        <v>764</v>
      </c>
      <c r="G224" s="10" t="s">
        <v>765</v>
      </c>
      <c r="H224" s="5" t="s">
        <v>762</v>
      </c>
      <c r="I224" s="11" t="b">
        <f t="shared" si="2"/>
        <v>1</v>
      </c>
      <c r="K224" s="11" t="b">
        <f t="shared" si="3"/>
        <v>0</v>
      </c>
    </row>
    <row r="225" ht="22.5" customHeight="1">
      <c r="A225" s="12">
        <f t="shared" si="4"/>
        <v>224</v>
      </c>
      <c r="B225" s="6" t="s">
        <v>766</v>
      </c>
      <c r="C225" s="7" t="str">
        <f t="shared" si="1"/>
        <v>🔊</v>
      </c>
      <c r="D225" s="8" t="s">
        <v>767</v>
      </c>
      <c r="E225" s="6" t="s">
        <v>27</v>
      </c>
      <c r="F225" s="13" t="str">
        <f>IFERROR(__xludf.DUMMYFUNCTION("GOOGLETRANSLATE(B225,""zh_cn"",""vi"")"),"bữa trưa")</f>
        <v>bữa trưa</v>
      </c>
      <c r="G225" s="10" t="s">
        <v>768</v>
      </c>
      <c r="H225" s="5" t="s">
        <v>766</v>
      </c>
      <c r="I225" s="11" t="b">
        <f t="shared" si="2"/>
        <v>1</v>
      </c>
      <c r="K225" s="11" t="b">
        <f t="shared" si="3"/>
        <v>0</v>
      </c>
    </row>
    <row r="226" ht="22.5" customHeight="1">
      <c r="A226" s="12">
        <f t="shared" si="4"/>
        <v>225</v>
      </c>
      <c r="B226" s="6" t="s">
        <v>769</v>
      </c>
      <c r="C226" s="7" t="str">
        <f t="shared" si="1"/>
        <v>🔊</v>
      </c>
      <c r="D226" s="8" t="s">
        <v>770</v>
      </c>
      <c r="E226" s="6" t="s">
        <v>771</v>
      </c>
      <c r="F226" s="13" t="str">
        <f>IFERROR(__xludf.DUMMYFUNCTION("GOOGLETRANSLATE(B226,""zh_cn"",""vi"")"),"Xuống")</f>
        <v>Xuống</v>
      </c>
      <c r="G226" s="10" t="s">
        <v>772</v>
      </c>
      <c r="H226" s="5" t="s">
        <v>769</v>
      </c>
      <c r="I226" s="11" t="b">
        <f t="shared" si="2"/>
        <v>1</v>
      </c>
      <c r="K226" s="11" t="b">
        <f t="shared" si="3"/>
        <v>0</v>
      </c>
    </row>
    <row r="227" ht="22.5" customHeight="1">
      <c r="A227" s="12">
        <f t="shared" si="4"/>
        <v>226</v>
      </c>
      <c r="B227" s="6" t="s">
        <v>773</v>
      </c>
      <c r="C227" s="7" t="str">
        <f t="shared" si="1"/>
        <v>🔊</v>
      </c>
      <c r="D227" s="8" t="s">
        <v>774</v>
      </c>
      <c r="E227" s="12"/>
      <c r="F227" s="13" t="str">
        <f>IFERROR(__xludf.DUMMYFUNCTION("GOOGLETRANSLATE(B227,""zh_cn"",""vi"")"),"cơn mưa")</f>
        <v>cơn mưa</v>
      </c>
      <c r="G227" s="10" t="s">
        <v>775</v>
      </c>
      <c r="H227" s="5" t="s">
        <v>773</v>
      </c>
      <c r="I227" s="11" t="b">
        <f t="shared" si="2"/>
        <v>1</v>
      </c>
      <c r="K227" s="11" t="b">
        <f t="shared" si="3"/>
        <v>0</v>
      </c>
    </row>
    <row r="228" ht="22.5" customHeight="1">
      <c r="A228" s="12">
        <f t="shared" si="4"/>
        <v>227</v>
      </c>
      <c r="B228" s="6" t="s">
        <v>776</v>
      </c>
      <c r="C228" s="7" t="str">
        <f t="shared" si="1"/>
        <v>🔊</v>
      </c>
      <c r="D228" s="8" t="s">
        <v>777</v>
      </c>
      <c r="E228" s="6" t="s">
        <v>13</v>
      </c>
      <c r="F228" s="13" t="str">
        <f>IFERROR(__xludf.DUMMYFUNCTION("GOOGLETRANSLATE(B228,""zh_cn"",""vi"")"),"tan ca làm việc")</f>
        <v>tan ca làm việc</v>
      </c>
      <c r="G228" s="10" t="s">
        <v>778</v>
      </c>
      <c r="H228" s="5" t="s">
        <v>776</v>
      </c>
      <c r="I228" s="11" t="b">
        <f t="shared" si="2"/>
        <v>1</v>
      </c>
      <c r="K228" s="11" t="b">
        <f t="shared" si="3"/>
        <v>0</v>
      </c>
    </row>
    <row r="229" ht="22.5" customHeight="1">
      <c r="A229" s="12">
        <f t="shared" si="4"/>
        <v>228</v>
      </c>
      <c r="B229" s="6" t="s">
        <v>779</v>
      </c>
      <c r="C229" s="7" t="str">
        <f t="shared" si="1"/>
        <v>🔊</v>
      </c>
      <c r="D229" s="8" t="s">
        <v>780</v>
      </c>
      <c r="E229" s="6" t="s">
        <v>13</v>
      </c>
      <c r="F229" s="9" t="s">
        <v>781</v>
      </c>
      <c r="G229" s="10" t="s">
        <v>782</v>
      </c>
      <c r="H229" s="5" t="s">
        <v>779</v>
      </c>
      <c r="I229" s="11" t="b">
        <f t="shared" si="2"/>
        <v>1</v>
      </c>
      <c r="K229" s="11" t="b">
        <f t="shared" si="3"/>
        <v>0</v>
      </c>
    </row>
    <row r="230" ht="22.5" customHeight="1">
      <c r="A230" s="12">
        <f t="shared" si="4"/>
        <v>229</v>
      </c>
      <c r="B230" s="6" t="s">
        <v>783</v>
      </c>
      <c r="C230" s="7" t="str">
        <f t="shared" si="1"/>
        <v>🔊</v>
      </c>
      <c r="D230" s="8" t="s">
        <v>784</v>
      </c>
      <c r="E230" s="6" t="s">
        <v>13</v>
      </c>
      <c r="F230" s="13" t="str">
        <f>IFERROR(__xludf.DUMMYFUNCTION("GOOGLETRANSLATE(B230,""zh_cn"",""vi"")"),"nghĩ")</f>
        <v>nghĩ</v>
      </c>
      <c r="G230" s="10" t="s">
        <v>785</v>
      </c>
      <c r="H230" s="5" t="s">
        <v>783</v>
      </c>
      <c r="I230" s="11" t="b">
        <f t="shared" si="2"/>
        <v>1</v>
      </c>
      <c r="K230" s="11" t="b">
        <f t="shared" si="3"/>
        <v>0</v>
      </c>
    </row>
    <row r="231" ht="22.5" customHeight="1">
      <c r="A231" s="12">
        <f t="shared" si="4"/>
        <v>230</v>
      </c>
      <c r="B231" s="6" t="s">
        <v>786</v>
      </c>
      <c r="C231" s="7" t="str">
        <f t="shared" si="1"/>
        <v>🔊</v>
      </c>
      <c r="D231" s="8" t="s">
        <v>787</v>
      </c>
      <c r="E231" s="6" t="s">
        <v>27</v>
      </c>
      <c r="F231" s="9" t="s">
        <v>788</v>
      </c>
      <c r="G231" s="10" t="s">
        <v>789</v>
      </c>
      <c r="H231" s="5" t="s">
        <v>786</v>
      </c>
      <c r="I231" s="11" t="b">
        <f t="shared" si="2"/>
        <v>1</v>
      </c>
      <c r="K231" s="11" t="b">
        <f t="shared" si="3"/>
        <v>0</v>
      </c>
    </row>
    <row r="232" ht="22.5" customHeight="1">
      <c r="A232" s="12">
        <f t="shared" si="4"/>
        <v>231</v>
      </c>
      <c r="B232" s="6" t="s">
        <v>790</v>
      </c>
      <c r="C232" s="7" t="str">
        <f t="shared" si="1"/>
        <v>🔊</v>
      </c>
      <c r="D232" s="8" t="s">
        <v>791</v>
      </c>
      <c r="E232" s="6" t="s">
        <v>27</v>
      </c>
      <c r="F232" s="13" t="str">
        <f>IFERROR(__xludf.DUMMYFUNCTION("GOOGLETRANSLATE(B232,""zh_cn"",""vi"")"),"Hiện nay")</f>
        <v>Hiện nay</v>
      </c>
      <c r="G232" s="10" t="s">
        <v>792</v>
      </c>
      <c r="H232" s="5" t="s">
        <v>790</v>
      </c>
      <c r="I232" s="11" t="b">
        <f t="shared" si="2"/>
        <v>1</v>
      </c>
      <c r="K232" s="11" t="b">
        <f t="shared" si="3"/>
        <v>0</v>
      </c>
    </row>
    <row r="233" ht="22.5" customHeight="1">
      <c r="A233" s="12">
        <f t="shared" si="4"/>
        <v>232</v>
      </c>
      <c r="B233" s="6" t="s">
        <v>793</v>
      </c>
      <c r="C233" s="7" t="str">
        <f t="shared" si="1"/>
        <v>🔊</v>
      </c>
      <c r="D233" s="8" t="s">
        <v>794</v>
      </c>
      <c r="E233" s="6" t="s">
        <v>795</v>
      </c>
      <c r="F233" s="9" t="s">
        <v>796</v>
      </c>
      <c r="G233" s="10" t="s">
        <v>797</v>
      </c>
      <c r="H233" s="5" t="s">
        <v>793</v>
      </c>
      <c r="I233" s="11" t="b">
        <f t="shared" si="2"/>
        <v>1</v>
      </c>
      <c r="K233" s="11" t="b">
        <f t="shared" si="3"/>
        <v>0</v>
      </c>
    </row>
    <row r="234" ht="22.5" customHeight="1">
      <c r="A234" s="12">
        <f t="shared" si="4"/>
        <v>233</v>
      </c>
      <c r="B234" s="6" t="s">
        <v>798</v>
      </c>
      <c r="C234" s="7" t="str">
        <f t="shared" si="1"/>
        <v>🔊</v>
      </c>
      <c r="D234" s="8" t="s">
        <v>799</v>
      </c>
      <c r="E234" s="6" t="s">
        <v>27</v>
      </c>
      <c r="F234" s="5" t="s">
        <v>800</v>
      </c>
      <c r="G234" s="10" t="s">
        <v>801</v>
      </c>
      <c r="H234" s="5" t="s">
        <v>798</v>
      </c>
      <c r="I234" s="11" t="b">
        <f t="shared" si="2"/>
        <v>1</v>
      </c>
      <c r="K234" s="11" t="b">
        <f t="shared" si="3"/>
        <v>0</v>
      </c>
    </row>
    <row r="235" ht="22.5" customHeight="1">
      <c r="A235" s="12">
        <f t="shared" si="4"/>
        <v>234</v>
      </c>
      <c r="B235" s="6" t="s">
        <v>802</v>
      </c>
      <c r="C235" s="7" t="str">
        <f t="shared" si="1"/>
        <v>🔊</v>
      </c>
      <c r="D235" s="8" t="s">
        <v>803</v>
      </c>
      <c r="E235" s="6" t="s">
        <v>27</v>
      </c>
      <c r="F235" s="9" t="s">
        <v>804</v>
      </c>
      <c r="G235" s="10" t="s">
        <v>805</v>
      </c>
      <c r="H235" s="5" t="s">
        <v>802</v>
      </c>
      <c r="I235" s="11" t="b">
        <f t="shared" si="2"/>
        <v>1</v>
      </c>
      <c r="K235" s="11" t="b">
        <f t="shared" si="3"/>
        <v>0</v>
      </c>
    </row>
    <row r="236" ht="22.5" customHeight="1">
      <c r="A236" s="12">
        <f t="shared" si="4"/>
        <v>235</v>
      </c>
      <c r="B236" s="6" t="s">
        <v>806</v>
      </c>
      <c r="C236" s="7" t="str">
        <f t="shared" si="1"/>
        <v>🔊</v>
      </c>
      <c r="D236" s="8" t="s">
        <v>807</v>
      </c>
      <c r="E236" s="6" t="s">
        <v>27</v>
      </c>
      <c r="F236" s="13" t="str">
        <f>IFERROR(__xludf.DUMMYFUNCTION("GOOGLETRANSLATE(B236,""zh_cn"",""vi"")"),"trường tiểu học")</f>
        <v>trường tiểu học</v>
      </c>
      <c r="G236" s="10" t="s">
        <v>808</v>
      </c>
      <c r="H236" s="5" t="s">
        <v>806</v>
      </c>
      <c r="I236" s="11" t="b">
        <f t="shared" si="2"/>
        <v>1</v>
      </c>
      <c r="K236" s="11" t="b">
        <f t="shared" si="3"/>
        <v>0</v>
      </c>
    </row>
    <row r="237" ht="22.5" customHeight="1">
      <c r="A237" s="12">
        <f t="shared" si="4"/>
        <v>236</v>
      </c>
      <c r="B237" s="6" t="s">
        <v>809</v>
      </c>
      <c r="C237" s="7" t="str">
        <f t="shared" si="1"/>
        <v>🔊</v>
      </c>
      <c r="D237" s="8" t="s">
        <v>810</v>
      </c>
      <c r="E237" s="6" t="s">
        <v>27</v>
      </c>
      <c r="F237" s="13" t="str">
        <f>IFERROR(__xludf.DUMMYFUNCTION("GOOGLETRANSLATE(B237,""zh_cn"",""vi"")"),"học sinh tiểu học")</f>
        <v>học sinh tiểu học</v>
      </c>
      <c r="G237" s="10" t="s">
        <v>811</v>
      </c>
      <c r="H237" s="5" t="s">
        <v>809</v>
      </c>
      <c r="I237" s="11" t="b">
        <f t="shared" si="2"/>
        <v>1</v>
      </c>
      <c r="K237" s="11" t="b">
        <f t="shared" si="3"/>
        <v>0</v>
      </c>
    </row>
    <row r="238" ht="22.5" customHeight="1">
      <c r="A238" s="12">
        <f t="shared" si="4"/>
        <v>237</v>
      </c>
      <c r="B238" s="6" t="s">
        <v>812</v>
      </c>
      <c r="C238" s="7" t="str">
        <f t="shared" si="1"/>
        <v>🔊</v>
      </c>
      <c r="D238" s="8" t="s">
        <v>813</v>
      </c>
      <c r="E238" s="6" t="s">
        <v>27</v>
      </c>
      <c r="F238" s="13" t="str">
        <f>IFERROR(__xludf.DUMMYFUNCTION("GOOGLETRANSLATE(B238,""zh_cn"",""vi"")"),"buổi chiều")</f>
        <v>buổi chiều</v>
      </c>
      <c r="G238" s="10" t="s">
        <v>814</v>
      </c>
      <c r="H238" s="5" t="s">
        <v>812</v>
      </c>
      <c r="I238" s="11" t="b">
        <f t="shared" si="2"/>
        <v>1</v>
      </c>
      <c r="K238" s="11" t="b">
        <f t="shared" si="3"/>
        <v>0</v>
      </c>
    </row>
    <row r="239" ht="22.5" customHeight="1">
      <c r="A239" s="12">
        <f t="shared" si="4"/>
        <v>238</v>
      </c>
      <c r="B239" s="6" t="s">
        <v>815</v>
      </c>
      <c r="C239" s="7" t="str">
        <f t="shared" si="1"/>
        <v>🔊</v>
      </c>
      <c r="D239" s="8" t="s">
        <v>816</v>
      </c>
      <c r="E239" s="6" t="s">
        <v>13</v>
      </c>
      <c r="F239" s="13" t="str">
        <f>IFERROR(__xludf.DUMMYFUNCTION("GOOGLETRANSLATE(B239,""zh_cn"",""vi"")"),"Viết")</f>
        <v>Viết</v>
      </c>
      <c r="G239" s="10" t="s">
        <v>817</v>
      </c>
      <c r="H239" s="5" t="s">
        <v>815</v>
      </c>
      <c r="I239" s="11" t="b">
        <f t="shared" si="2"/>
        <v>1</v>
      </c>
      <c r="K239" s="11" t="b">
        <f t="shared" si="3"/>
        <v>0</v>
      </c>
    </row>
    <row r="240" ht="22.5" customHeight="1">
      <c r="A240" s="12">
        <f t="shared" si="4"/>
        <v>239</v>
      </c>
      <c r="B240" s="6" t="s">
        <v>818</v>
      </c>
      <c r="C240" s="7" t="str">
        <f t="shared" si="1"/>
        <v>🔊</v>
      </c>
      <c r="D240" s="8" t="s">
        <v>819</v>
      </c>
      <c r="E240" s="6" t="s">
        <v>47</v>
      </c>
      <c r="F240" s="13" t="str">
        <f>IFERROR(__xludf.DUMMYFUNCTION("GOOGLETRANSLATE(B240,""zh_cn"",""vi"")"),"một số")</f>
        <v>một số</v>
      </c>
      <c r="G240" s="10" t="s">
        <v>820</v>
      </c>
      <c r="H240" s="5" t="s">
        <v>818</v>
      </c>
      <c r="I240" s="11" t="b">
        <f t="shared" si="2"/>
        <v>1</v>
      </c>
      <c r="K240" s="11" t="b">
        <f t="shared" si="3"/>
        <v>0</v>
      </c>
    </row>
    <row r="241" ht="22.5" customHeight="1">
      <c r="A241" s="12">
        <f t="shared" si="4"/>
        <v>240</v>
      </c>
      <c r="B241" s="6" t="s">
        <v>821</v>
      </c>
      <c r="C241" s="7" t="str">
        <f t="shared" si="1"/>
        <v>🔊</v>
      </c>
      <c r="D241" s="8" t="s">
        <v>822</v>
      </c>
      <c r="E241" s="6" t="s">
        <v>13</v>
      </c>
      <c r="F241" s="13" t="str">
        <f>IFERROR(__xludf.DUMMYFUNCTION("GOOGLETRANSLATE(B241,""zh_cn"",""vi"")"),"Cảm ơn")</f>
        <v>Cảm ơn</v>
      </c>
      <c r="G241" s="10" t="s">
        <v>823</v>
      </c>
      <c r="H241" s="5" t="s">
        <v>821</v>
      </c>
      <c r="I241" s="11" t="b">
        <f t="shared" si="2"/>
        <v>1</v>
      </c>
      <c r="K241" s="11" t="b">
        <f t="shared" si="3"/>
        <v>0</v>
      </c>
    </row>
    <row r="242" ht="22.5" customHeight="1">
      <c r="A242" s="12">
        <f t="shared" si="4"/>
        <v>241</v>
      </c>
      <c r="B242" s="6" t="s">
        <v>824</v>
      </c>
      <c r="C242" s="7" t="str">
        <f t="shared" si="1"/>
        <v>🔊</v>
      </c>
      <c r="D242" s="8" t="s">
        <v>825</v>
      </c>
      <c r="E242" s="6" t="s">
        <v>13</v>
      </c>
      <c r="F242" s="9" t="s">
        <v>826</v>
      </c>
      <c r="G242" s="10" t="s">
        <v>827</v>
      </c>
      <c r="H242" s="5" t="s">
        <v>824</v>
      </c>
      <c r="I242" s="11" t="b">
        <f t="shared" si="2"/>
        <v>1</v>
      </c>
      <c r="K242" s="11" t="b">
        <f t="shared" si="3"/>
        <v>0</v>
      </c>
    </row>
    <row r="243" ht="22.5" customHeight="1">
      <c r="A243" s="12">
        <f t="shared" si="4"/>
        <v>242</v>
      </c>
      <c r="B243" s="6" t="s">
        <v>828</v>
      </c>
      <c r="C243" s="7" t="str">
        <f t="shared" si="1"/>
        <v>🔊</v>
      </c>
      <c r="D243" s="8" t="s">
        <v>829</v>
      </c>
      <c r="E243" s="6" t="s">
        <v>99</v>
      </c>
      <c r="F243" s="13" t="str">
        <f>IFERROR(__xludf.DUMMYFUNCTION("GOOGLETRANSLATE(B243,""zh_cn"",""vi"")"),"mới")</f>
        <v>mới</v>
      </c>
      <c r="G243" s="10" t="s">
        <v>830</v>
      </c>
      <c r="H243" s="5" t="s">
        <v>828</v>
      </c>
      <c r="I243" s="11" t="b">
        <f t="shared" si="2"/>
        <v>1</v>
      </c>
      <c r="K243" s="11" t="b">
        <f t="shared" si="3"/>
        <v>0</v>
      </c>
    </row>
    <row r="244" ht="22.5" customHeight="1">
      <c r="A244" s="12">
        <f t="shared" si="4"/>
        <v>243</v>
      </c>
      <c r="B244" s="6" t="s">
        <v>831</v>
      </c>
      <c r="C244" s="7" t="str">
        <f t="shared" si="1"/>
        <v>🔊</v>
      </c>
      <c r="D244" s="8" t="s">
        <v>832</v>
      </c>
      <c r="E244" s="6" t="s">
        <v>27</v>
      </c>
      <c r="F244" s="13" t="str">
        <f>IFERROR(__xludf.DUMMYFUNCTION("GOOGLETRANSLATE(B244,""zh_cn"",""vi"")"),"Tuần")</f>
        <v>Tuần</v>
      </c>
      <c r="G244" s="10" t="s">
        <v>833</v>
      </c>
      <c r="H244" s="5" t="s">
        <v>831</v>
      </c>
      <c r="I244" s="11" t="b">
        <f t="shared" si="2"/>
        <v>1</v>
      </c>
      <c r="K244" s="11" t="b">
        <f t="shared" si="3"/>
        <v>0</v>
      </c>
    </row>
    <row r="245" ht="22.5" customHeight="1">
      <c r="A245" s="12">
        <f t="shared" si="4"/>
        <v>244</v>
      </c>
      <c r="B245" s="6" t="s">
        <v>834</v>
      </c>
      <c r="C245" s="7" t="str">
        <f t="shared" si="1"/>
        <v>🔊</v>
      </c>
      <c r="D245" s="8" t="s">
        <v>835</v>
      </c>
      <c r="E245" s="6" t="s">
        <v>27</v>
      </c>
      <c r="F245" s="13" t="str">
        <f>IFERROR(__xludf.DUMMYFUNCTION("GOOGLETRANSLATE(B245,""zh_cn"",""vi"")"),"Chủ nhật")</f>
        <v>Chủ nhật</v>
      </c>
      <c r="G245" s="10" t="s">
        <v>836</v>
      </c>
      <c r="H245" s="5" t="s">
        <v>834</v>
      </c>
      <c r="I245" s="11" t="b">
        <f t="shared" si="2"/>
        <v>1</v>
      </c>
      <c r="K245" s="11" t="b">
        <f t="shared" si="3"/>
        <v>0</v>
      </c>
    </row>
    <row r="246" ht="22.5" customHeight="1">
      <c r="A246" s="12">
        <f t="shared" si="4"/>
        <v>245</v>
      </c>
      <c r="B246" s="6" t="s">
        <v>837</v>
      </c>
      <c r="C246" s="7" t="str">
        <f t="shared" si="1"/>
        <v>🔊</v>
      </c>
      <c r="D246" s="8" t="s">
        <v>838</v>
      </c>
      <c r="E246" s="6" t="s">
        <v>27</v>
      </c>
      <c r="F246" s="13" t="str">
        <f>IFERROR(__xludf.DUMMYFUNCTION("GOOGLETRANSLATE(B246,""zh_cn"",""vi"")"),"Chủ nhật")</f>
        <v>Chủ nhật</v>
      </c>
      <c r="G246" s="10" t="s">
        <v>839</v>
      </c>
      <c r="H246" s="5" t="s">
        <v>837</v>
      </c>
      <c r="I246" s="11" t="b">
        <f t="shared" si="2"/>
        <v>1</v>
      </c>
      <c r="K246" s="11" t="b">
        <f t="shared" si="3"/>
        <v>0</v>
      </c>
    </row>
    <row r="247" ht="22.5" customHeight="1">
      <c r="A247" s="12">
        <f t="shared" si="4"/>
        <v>246</v>
      </c>
      <c r="B247" s="6" t="s">
        <v>840</v>
      </c>
      <c r="C247" s="7" t="str">
        <f t="shared" si="1"/>
        <v>🔊</v>
      </c>
      <c r="D247" s="8" t="s">
        <v>841</v>
      </c>
      <c r="E247" s="6" t="s">
        <v>13</v>
      </c>
      <c r="F247" s="13" t="str">
        <f>IFERROR(__xludf.DUMMYFUNCTION("GOOGLETRANSLATE(B247,""zh_cn"",""vi"")"),"nghỉ ngơi")</f>
        <v>nghỉ ngơi</v>
      </c>
      <c r="G247" s="10" t="s">
        <v>842</v>
      </c>
      <c r="H247" s="5" t="s">
        <v>840</v>
      </c>
      <c r="I247" s="11" t="b">
        <f t="shared" si="2"/>
        <v>1</v>
      </c>
      <c r="K247" s="11" t="b">
        <f t="shared" si="3"/>
        <v>0</v>
      </c>
    </row>
    <row r="248" ht="22.5" customHeight="1">
      <c r="A248" s="12">
        <f t="shared" si="4"/>
        <v>247</v>
      </c>
      <c r="B248" s="6" t="s">
        <v>843</v>
      </c>
      <c r="C248" s="7" t="str">
        <f t="shared" si="1"/>
        <v>🔊</v>
      </c>
      <c r="D248" s="8" t="s">
        <v>844</v>
      </c>
      <c r="E248" s="6" t="s">
        <v>13</v>
      </c>
      <c r="F248" s="13" t="str">
        <f>IFERROR(__xludf.DUMMYFUNCTION("GOOGLETRANSLATE(B248,""zh_cn"",""vi"")"),"học")</f>
        <v>học</v>
      </c>
      <c r="G248" s="10" t="s">
        <v>845</v>
      </c>
      <c r="H248" s="5" t="s">
        <v>843</v>
      </c>
      <c r="I248" s="11" t="b">
        <f t="shared" si="2"/>
        <v>1</v>
      </c>
      <c r="K248" s="11" t="b">
        <f t="shared" si="3"/>
        <v>0</v>
      </c>
    </row>
    <row r="249" ht="22.5" customHeight="1">
      <c r="A249" s="12">
        <f t="shared" si="4"/>
        <v>248</v>
      </c>
      <c r="B249" s="6" t="s">
        <v>846</v>
      </c>
      <c r="C249" s="7" t="str">
        <f t="shared" si="1"/>
        <v>🔊</v>
      </c>
      <c r="D249" s="8" t="s">
        <v>847</v>
      </c>
      <c r="E249" s="6" t="s">
        <v>27</v>
      </c>
      <c r="F249" s="13" t="str">
        <f>IFERROR(__xludf.DUMMYFUNCTION("GOOGLETRANSLATE(B249,""zh_cn"",""vi"")"),"Tuyết")</f>
        <v>Tuyết</v>
      </c>
      <c r="G249" s="10" t="s">
        <v>848</v>
      </c>
      <c r="H249" s="5" t="s">
        <v>846</v>
      </c>
      <c r="I249" s="11" t="b">
        <f t="shared" si="2"/>
        <v>1</v>
      </c>
      <c r="K249" s="11" t="b">
        <f t="shared" si="3"/>
        <v>0</v>
      </c>
    </row>
    <row r="250" ht="22.5" customHeight="1">
      <c r="A250" s="12">
        <f t="shared" si="4"/>
        <v>249</v>
      </c>
      <c r="B250" s="6" t="s">
        <v>849</v>
      </c>
      <c r="C250" s="7" t="str">
        <f t="shared" si="1"/>
        <v>🔊</v>
      </c>
      <c r="D250" s="8" t="s">
        <v>850</v>
      </c>
      <c r="E250" s="6" t="s">
        <v>27</v>
      </c>
      <c r="F250" s="13" t="str">
        <f>IFERROR(__xludf.DUMMYFUNCTION("GOOGLETRANSLATE(B250,""zh_cn"",""vi"")"),"học sinh")</f>
        <v>học sinh</v>
      </c>
      <c r="G250" s="10" t="s">
        <v>851</v>
      </c>
      <c r="H250" s="5" t="s">
        <v>849</v>
      </c>
      <c r="I250" s="11" t="b">
        <f t="shared" si="2"/>
        <v>1</v>
      </c>
      <c r="K250" s="11" t="b">
        <f t="shared" si="3"/>
        <v>0</v>
      </c>
    </row>
    <row r="251" ht="22.5" customHeight="1">
      <c r="A251" s="12">
        <f t="shared" si="4"/>
        <v>250</v>
      </c>
      <c r="B251" s="6" t="s">
        <v>852</v>
      </c>
      <c r="C251" s="7" t="str">
        <f t="shared" si="1"/>
        <v>🔊</v>
      </c>
      <c r="D251" s="8" t="s">
        <v>853</v>
      </c>
      <c r="E251" s="6" t="s">
        <v>13</v>
      </c>
      <c r="F251" s="9" t="s">
        <v>854</v>
      </c>
      <c r="G251" s="10" t="s">
        <v>855</v>
      </c>
      <c r="H251" s="5" t="s">
        <v>852</v>
      </c>
      <c r="I251" s="11" t="b">
        <f t="shared" si="2"/>
        <v>1</v>
      </c>
      <c r="K251" s="11" t="b">
        <f t="shared" si="3"/>
        <v>0</v>
      </c>
    </row>
    <row r="252" ht="22.5" customHeight="1">
      <c r="A252" s="12">
        <f t="shared" si="4"/>
        <v>251</v>
      </c>
      <c r="B252" s="6" t="s">
        <v>856</v>
      </c>
      <c r="C252" s="7" t="str">
        <f t="shared" si="1"/>
        <v>🔊</v>
      </c>
      <c r="D252" s="8" t="s">
        <v>857</v>
      </c>
      <c r="E252" s="6" t="s">
        <v>27</v>
      </c>
      <c r="F252" s="13" t="str">
        <f>IFERROR(__xludf.DUMMYFUNCTION("GOOGLETRANSLATE(B252,""zh_cn"",""vi"")"),"Trường học")</f>
        <v>Trường học</v>
      </c>
      <c r="G252" s="10" t="s">
        <v>858</v>
      </c>
      <c r="H252" s="5" t="s">
        <v>856</v>
      </c>
      <c r="I252" s="11" t="b">
        <f t="shared" si="2"/>
        <v>1</v>
      </c>
      <c r="K252" s="11" t="b">
        <f t="shared" si="3"/>
        <v>0</v>
      </c>
    </row>
    <row r="253" ht="22.5" customHeight="1">
      <c r="A253" s="12">
        <f t="shared" si="4"/>
        <v>252</v>
      </c>
      <c r="B253" s="6" t="s">
        <v>859</v>
      </c>
      <c r="C253" s="7" t="str">
        <f t="shared" si="1"/>
        <v>🔊</v>
      </c>
      <c r="D253" s="8" t="s">
        <v>860</v>
      </c>
      <c r="E253" s="6" t="s">
        <v>13</v>
      </c>
      <c r="F253" s="13" t="str">
        <f>IFERROR(__xludf.DUMMYFUNCTION("GOOGLETRANSLATE(B253,""zh_cn"",""vi"")"),"muốn")</f>
        <v>muốn</v>
      </c>
      <c r="G253" s="10" t="s">
        <v>861</v>
      </c>
      <c r="H253" s="5" t="s">
        <v>859</v>
      </c>
      <c r="I253" s="11" t="b">
        <f t="shared" si="2"/>
        <v>1</v>
      </c>
      <c r="K253" s="11" t="b">
        <f t="shared" si="3"/>
        <v>0</v>
      </c>
    </row>
    <row r="254" ht="22.5" customHeight="1">
      <c r="A254" s="12">
        <f t="shared" si="4"/>
        <v>253</v>
      </c>
      <c r="B254" s="6" t="s">
        <v>862</v>
      </c>
      <c r="C254" s="7" t="str">
        <f t="shared" si="1"/>
        <v>🔊</v>
      </c>
      <c r="D254" s="8" t="s">
        <v>863</v>
      </c>
      <c r="E254" s="6" t="s">
        <v>61</v>
      </c>
      <c r="F254" s="9" t="s">
        <v>864</v>
      </c>
      <c r="G254" s="10" t="s">
        <v>865</v>
      </c>
      <c r="H254" s="5" t="s">
        <v>862</v>
      </c>
      <c r="I254" s="11" t="b">
        <f t="shared" si="2"/>
        <v>1</v>
      </c>
      <c r="K254" s="11" t="b">
        <f t="shared" si="3"/>
        <v>0</v>
      </c>
    </row>
    <row r="255" ht="22.5" customHeight="1">
      <c r="A255" s="12">
        <f t="shared" si="4"/>
        <v>254</v>
      </c>
      <c r="B255" s="6" t="s">
        <v>866</v>
      </c>
      <c r="C255" s="7" t="str">
        <f t="shared" si="1"/>
        <v>🔊</v>
      </c>
      <c r="D255" s="8" t="s">
        <v>867</v>
      </c>
      <c r="E255" s="6" t="s">
        <v>23</v>
      </c>
      <c r="F255" s="9" t="s">
        <v>868</v>
      </c>
      <c r="G255" s="17"/>
      <c r="H255" s="5" t="s">
        <v>866</v>
      </c>
      <c r="I255" s="11" t="b">
        <f t="shared" si="2"/>
        <v>1</v>
      </c>
      <c r="K255" s="11" t="b">
        <f t="shared" si="3"/>
        <v>0</v>
      </c>
    </row>
    <row r="256" ht="22.5" customHeight="1">
      <c r="A256" s="12">
        <f t="shared" si="4"/>
        <v>255</v>
      </c>
      <c r="B256" s="6" t="s">
        <v>869</v>
      </c>
      <c r="C256" s="7" t="str">
        <f t="shared" si="1"/>
        <v>🔊</v>
      </c>
      <c r="D256" s="8" t="s">
        <v>870</v>
      </c>
      <c r="E256" s="6" t="s">
        <v>23</v>
      </c>
      <c r="F256" s="13" t="str">
        <f>IFERROR(__xludf.DUMMYFUNCTION("GOOGLETRANSLATE(B256,""zh_cn"",""vi"")"),"một nửa")</f>
        <v>một nửa</v>
      </c>
      <c r="G256" s="10" t="s">
        <v>871</v>
      </c>
      <c r="H256" s="5" t="s">
        <v>869</v>
      </c>
      <c r="I256" s="11" t="b">
        <f t="shared" si="2"/>
        <v>1</v>
      </c>
      <c r="K256" s="11" t="b">
        <f t="shared" si="3"/>
        <v>0</v>
      </c>
    </row>
    <row r="257" ht="22.5" customHeight="1">
      <c r="A257" s="12">
        <f t="shared" si="4"/>
        <v>256</v>
      </c>
      <c r="B257" s="6" t="s">
        <v>872</v>
      </c>
      <c r="C257" s="7" t="str">
        <f t="shared" si="1"/>
        <v>🔊</v>
      </c>
      <c r="D257" s="8" t="s">
        <v>873</v>
      </c>
      <c r="E257" s="6" t="s">
        <v>874</v>
      </c>
      <c r="F257" s="13" t="str">
        <f>IFERROR(__xludf.DUMMYFUNCTION("GOOGLETRANSLATE(B257,""zh_cn"",""vi"")"),"một chút")</f>
        <v>một chút</v>
      </c>
      <c r="G257" s="10" t="s">
        <v>875</v>
      </c>
      <c r="H257" s="5" t="s">
        <v>872</v>
      </c>
      <c r="I257" s="11" t="b">
        <f t="shared" si="2"/>
        <v>1</v>
      </c>
      <c r="K257" s="11" t="b">
        <f t="shared" si="3"/>
        <v>0</v>
      </c>
    </row>
    <row r="258" ht="22.5" customHeight="1">
      <c r="A258" s="12">
        <f t="shared" si="4"/>
        <v>257</v>
      </c>
      <c r="B258" s="6" t="s">
        <v>876</v>
      </c>
      <c r="C258" s="7" t="str">
        <f t="shared" si="1"/>
        <v>🔊</v>
      </c>
      <c r="D258" s="8" t="s">
        <v>877</v>
      </c>
      <c r="E258" s="6" t="s">
        <v>27</v>
      </c>
      <c r="F258" s="13" t="str">
        <f>IFERROR(__xludf.DUMMYFUNCTION("GOOGLETRANSLATE(B258,""zh_cn"",""vi"")"),"quần áo")</f>
        <v>quần áo</v>
      </c>
      <c r="G258" s="10" t="s">
        <v>878</v>
      </c>
      <c r="H258" s="5" t="s">
        <v>876</v>
      </c>
      <c r="I258" s="11" t="b">
        <f t="shared" si="2"/>
        <v>1</v>
      </c>
      <c r="K258" s="11" t="b">
        <f t="shared" si="3"/>
        <v>0</v>
      </c>
    </row>
    <row r="259" ht="22.5" customHeight="1">
      <c r="A259" s="12">
        <f t="shared" si="4"/>
        <v>258</v>
      </c>
      <c r="B259" s="6" t="s">
        <v>879</v>
      </c>
      <c r="C259" s="7" t="str">
        <f t="shared" si="1"/>
        <v>🔊</v>
      </c>
      <c r="D259" s="8" t="s">
        <v>880</v>
      </c>
      <c r="E259" s="6" t="s">
        <v>27</v>
      </c>
      <c r="F259" s="13" t="str">
        <f>IFERROR(__xludf.DUMMYFUNCTION("GOOGLETRANSLATE(B259,""zh_cn"",""vi"")"),"bác sĩ")</f>
        <v>bác sĩ</v>
      </c>
      <c r="G259" s="10" t="s">
        <v>881</v>
      </c>
      <c r="H259" s="5" t="s">
        <v>879</v>
      </c>
      <c r="I259" s="11" t="b">
        <f t="shared" si="2"/>
        <v>1</v>
      </c>
      <c r="K259" s="11" t="b">
        <f t="shared" si="3"/>
        <v>0</v>
      </c>
    </row>
    <row r="260" ht="22.5" customHeight="1">
      <c r="A260" s="12">
        <f t="shared" si="4"/>
        <v>259</v>
      </c>
      <c r="B260" s="6" t="s">
        <v>882</v>
      </c>
      <c r="C260" s="7" t="str">
        <f t="shared" si="1"/>
        <v>🔊</v>
      </c>
      <c r="D260" s="8" t="s">
        <v>883</v>
      </c>
      <c r="E260" s="6" t="s">
        <v>884</v>
      </c>
      <c r="F260" s="9" t="s">
        <v>885</v>
      </c>
      <c r="G260" s="10" t="s">
        <v>886</v>
      </c>
      <c r="H260" s="5" t="s">
        <v>882</v>
      </c>
      <c r="I260" s="11" t="b">
        <f t="shared" si="2"/>
        <v>1</v>
      </c>
      <c r="K260" s="11" t="b">
        <f t="shared" si="3"/>
        <v>0</v>
      </c>
    </row>
    <row r="261" ht="22.5" customHeight="1">
      <c r="A261" s="12">
        <f t="shared" si="4"/>
        <v>260</v>
      </c>
      <c r="B261" s="6" t="s">
        <v>887</v>
      </c>
      <c r="C261" s="7" t="str">
        <f t="shared" si="1"/>
        <v>🔊</v>
      </c>
      <c r="D261" s="8" t="s">
        <v>888</v>
      </c>
      <c r="E261" s="6" t="s">
        <v>874</v>
      </c>
      <c r="F261" s="13" t="str">
        <f>IFERROR(__xludf.DUMMYFUNCTION("GOOGLETRANSLATE(B261,""zh_cn"",""vi"")"),"Một số")</f>
        <v>Một số</v>
      </c>
      <c r="G261" s="10" t="s">
        <v>889</v>
      </c>
      <c r="H261" s="5" t="s">
        <v>887</v>
      </c>
      <c r="I261" s="11" t="b">
        <f t="shared" si="2"/>
        <v>1</v>
      </c>
      <c r="K261" s="11" t="b">
        <f t="shared" si="3"/>
        <v>0</v>
      </c>
    </row>
    <row r="262" ht="22.5" customHeight="1">
      <c r="A262" s="12">
        <f t="shared" si="4"/>
        <v>261</v>
      </c>
      <c r="B262" s="6" t="s">
        <v>890</v>
      </c>
      <c r="C262" s="7" t="str">
        <f t="shared" si="1"/>
        <v>🔊</v>
      </c>
      <c r="D262" s="8" t="s">
        <v>891</v>
      </c>
      <c r="E262" s="6" t="s">
        <v>27</v>
      </c>
      <c r="F262" s="13" t="str">
        <f>IFERROR(__xludf.DUMMYFUNCTION("GOOGLETRANSLATE(B262,""zh_cn"",""vi"")"),"Bệnh viện")</f>
        <v>Bệnh viện</v>
      </c>
      <c r="G262" s="10" t="s">
        <v>892</v>
      </c>
      <c r="H262" s="5" t="s">
        <v>890</v>
      </c>
      <c r="I262" s="11" t="b">
        <f t="shared" si="2"/>
        <v>1</v>
      </c>
      <c r="K262" s="11" t="b">
        <f t="shared" si="3"/>
        <v>0</v>
      </c>
    </row>
    <row r="263" ht="22.5" customHeight="1">
      <c r="A263" s="12">
        <f t="shared" si="4"/>
        <v>262</v>
      </c>
      <c r="B263" s="6" t="s">
        <v>893</v>
      </c>
      <c r="C263" s="7" t="str">
        <f t="shared" si="1"/>
        <v>🔊</v>
      </c>
      <c r="D263" s="8" t="s">
        <v>894</v>
      </c>
      <c r="E263" s="6" t="s">
        <v>27</v>
      </c>
      <c r="F263" s="9" t="s">
        <v>895</v>
      </c>
      <c r="G263" s="10" t="s">
        <v>896</v>
      </c>
      <c r="H263" s="5" t="s">
        <v>893</v>
      </c>
      <c r="I263" s="11" t="b">
        <f t="shared" si="2"/>
        <v>1</v>
      </c>
      <c r="K263" s="11" t="b">
        <f t="shared" si="3"/>
        <v>0</v>
      </c>
    </row>
    <row r="264" ht="22.5" customHeight="1">
      <c r="A264" s="12">
        <f t="shared" si="4"/>
        <v>263</v>
      </c>
      <c r="B264" s="6" t="s">
        <v>897</v>
      </c>
      <c r="C264" s="7" t="str">
        <f t="shared" si="1"/>
        <v>🔊</v>
      </c>
      <c r="D264" s="8" t="s">
        <v>898</v>
      </c>
      <c r="E264" s="6" t="s">
        <v>13</v>
      </c>
      <c r="F264" s="13" t="str">
        <f>IFERROR(__xludf.DUMMYFUNCTION("GOOGLETRANSLATE(B264,""zh_cn"",""vi"")"),"có")</f>
        <v>có</v>
      </c>
      <c r="G264" s="10" t="s">
        <v>899</v>
      </c>
      <c r="H264" s="5" t="s">
        <v>897</v>
      </c>
      <c r="I264" s="11" t="b">
        <f t="shared" si="2"/>
        <v>1</v>
      </c>
      <c r="K264" s="11" t="b">
        <f t="shared" si="3"/>
        <v>0</v>
      </c>
    </row>
    <row r="265" ht="22.5" customHeight="1">
      <c r="A265" s="12">
        <f t="shared" si="4"/>
        <v>264</v>
      </c>
      <c r="B265" s="6" t="s">
        <v>900</v>
      </c>
      <c r="C265" s="7" t="str">
        <f t="shared" si="1"/>
        <v>🔊</v>
      </c>
      <c r="D265" s="8" t="s">
        <v>901</v>
      </c>
      <c r="E265" s="6" t="s">
        <v>106</v>
      </c>
      <c r="F265" s="9" t="s">
        <v>902</v>
      </c>
      <c r="G265" s="10" t="s">
        <v>903</v>
      </c>
      <c r="I265" s="11" t="b">
        <f t="shared" si="2"/>
        <v>0</v>
      </c>
      <c r="K265" s="11" t="b">
        <f t="shared" si="3"/>
        <v>0</v>
      </c>
    </row>
    <row r="266" ht="22.5" customHeight="1">
      <c r="A266" s="12">
        <f t="shared" si="4"/>
        <v>265</v>
      </c>
      <c r="B266" s="6" t="s">
        <v>904</v>
      </c>
      <c r="C266" s="7" t="str">
        <f t="shared" si="1"/>
        <v>🔊</v>
      </c>
      <c r="D266" s="8" t="s">
        <v>905</v>
      </c>
      <c r="E266" s="6" t="s">
        <v>906</v>
      </c>
      <c r="F266" s="13" t="str">
        <f>IFERROR(__xludf.DUMMYFUNCTION("GOOGLETRANSLATE(B266,""zh_cn"",""vi"")"),"một số")</f>
        <v>một số</v>
      </c>
      <c r="G266" s="10" t="s">
        <v>907</v>
      </c>
      <c r="I266" s="11" t="b">
        <f t="shared" si="2"/>
        <v>0</v>
      </c>
      <c r="K266" s="11" t="b">
        <f t="shared" si="3"/>
        <v>0</v>
      </c>
    </row>
    <row r="267" ht="22.5" customHeight="1">
      <c r="A267" s="12">
        <f t="shared" si="4"/>
        <v>266</v>
      </c>
      <c r="B267" s="6" t="s">
        <v>908</v>
      </c>
      <c r="C267" s="7" t="str">
        <f t="shared" si="1"/>
        <v>🔊</v>
      </c>
      <c r="D267" s="8" t="s">
        <v>909</v>
      </c>
      <c r="E267" s="6" t="s">
        <v>61</v>
      </c>
      <c r="F267" s="13" t="str">
        <f>IFERROR(__xludf.DUMMYFUNCTION("GOOGLETRANSLATE(B267,""zh_cn"",""vi"")"),"Một chút")</f>
        <v>Một chút</v>
      </c>
      <c r="G267" s="10" t="s">
        <v>910</v>
      </c>
      <c r="I267" s="11" t="b">
        <f t="shared" si="2"/>
        <v>0</v>
      </c>
      <c r="K267" s="11" t="b">
        <f t="shared" si="3"/>
        <v>0</v>
      </c>
    </row>
    <row r="268" ht="22.5" customHeight="1">
      <c r="A268" s="12">
        <f t="shared" si="4"/>
        <v>267</v>
      </c>
      <c r="B268" s="6" t="s">
        <v>911</v>
      </c>
      <c r="C268" s="7" t="str">
        <f t="shared" si="1"/>
        <v>🔊</v>
      </c>
      <c r="D268" s="8" t="s">
        <v>912</v>
      </c>
      <c r="E268" s="6" t="s">
        <v>27</v>
      </c>
      <c r="F268" s="13" t="str">
        <f>IFERROR(__xludf.DUMMYFUNCTION("GOOGLETRANSLATE(B268,""zh_cn"",""vi"")"),"cơn mưa")</f>
        <v>cơn mưa</v>
      </c>
      <c r="G268" s="10" t="s">
        <v>913</v>
      </c>
      <c r="I268" s="11" t="b">
        <f t="shared" si="2"/>
        <v>0</v>
      </c>
      <c r="K268" s="11" t="b">
        <f t="shared" si="3"/>
        <v>0</v>
      </c>
    </row>
    <row r="269" ht="22.5" customHeight="1">
      <c r="A269" s="12">
        <f t="shared" si="4"/>
        <v>268</v>
      </c>
      <c r="B269" s="6" t="s">
        <v>914</v>
      </c>
      <c r="C269" s="7" t="str">
        <f t="shared" si="1"/>
        <v>🔊</v>
      </c>
      <c r="D269" s="8" t="s">
        <v>915</v>
      </c>
      <c r="E269" s="6" t="s">
        <v>47</v>
      </c>
      <c r="F269" s="13" t="str">
        <f>IFERROR(__xludf.DUMMYFUNCTION("GOOGLETRANSLATE(B269,""zh_cn"",""vi"")"),"Nguyên")</f>
        <v>Nguyên</v>
      </c>
      <c r="G269" s="10" t="s">
        <v>916</v>
      </c>
      <c r="I269" s="11" t="b">
        <f t="shared" si="2"/>
        <v>0</v>
      </c>
      <c r="K269" s="11" t="b">
        <f t="shared" si="3"/>
        <v>0</v>
      </c>
    </row>
    <row r="270" ht="22.5" customHeight="1">
      <c r="A270" s="12">
        <f t="shared" si="4"/>
        <v>269</v>
      </c>
      <c r="B270" s="6" t="s">
        <v>917</v>
      </c>
      <c r="C270" s="7" t="str">
        <f t="shared" si="1"/>
        <v>🔊</v>
      </c>
      <c r="D270" s="8" t="s">
        <v>918</v>
      </c>
      <c r="E270" s="6" t="s">
        <v>27</v>
      </c>
      <c r="F270" s="13" t="str">
        <f>IFERROR(__xludf.DUMMYFUNCTION("GOOGLETRANSLATE(B270,""zh_cn"",""vi"")"),"mặt trăng")</f>
        <v>mặt trăng</v>
      </c>
      <c r="G270" s="10" t="s">
        <v>919</v>
      </c>
      <c r="I270" s="11" t="b">
        <f t="shared" si="2"/>
        <v>0</v>
      </c>
      <c r="K270" s="11" t="b">
        <f t="shared" si="3"/>
        <v>0</v>
      </c>
    </row>
    <row r="271" ht="22.5" customHeight="1">
      <c r="A271" s="12">
        <f t="shared" si="4"/>
        <v>270</v>
      </c>
      <c r="B271" s="6" t="s">
        <v>920</v>
      </c>
      <c r="C271" s="7" t="str">
        <f t="shared" si="1"/>
        <v>🔊</v>
      </c>
      <c r="D271" s="8" t="s">
        <v>921</v>
      </c>
      <c r="E271" s="6" t="s">
        <v>61</v>
      </c>
      <c r="F271" s="13" t="str">
        <f>IFERROR(__xludf.DUMMYFUNCTION("GOOGLETRANSLATE(B271,""zh_cn"",""vi"")"),"Lại")</f>
        <v>Lại</v>
      </c>
      <c r="G271" s="10" t="s">
        <v>922</v>
      </c>
      <c r="I271" s="11" t="b">
        <f t="shared" si="2"/>
        <v>0</v>
      </c>
      <c r="K271" s="11" t="b">
        <f t="shared" si="3"/>
        <v>0</v>
      </c>
    </row>
    <row r="272" ht="22.5" customHeight="1">
      <c r="A272" s="12">
        <f t="shared" si="4"/>
        <v>271</v>
      </c>
      <c r="B272" s="6" t="s">
        <v>923</v>
      </c>
      <c r="C272" s="7" t="str">
        <f t="shared" si="1"/>
        <v>🔊</v>
      </c>
      <c r="D272" s="8" t="s">
        <v>921</v>
      </c>
      <c r="E272" s="6" t="s">
        <v>924</v>
      </c>
      <c r="F272" s="13" t="str">
        <f>IFERROR(__xludf.DUMMYFUNCTION("GOOGLETRANSLATE(B272,""zh_cn"",""vi"")"),"hiện hữu")</f>
        <v>hiện hữu</v>
      </c>
      <c r="G272" s="10" t="s">
        <v>925</v>
      </c>
      <c r="I272" s="11" t="b">
        <f t="shared" si="2"/>
        <v>0</v>
      </c>
      <c r="K272" s="11" t="b">
        <f t="shared" si="3"/>
        <v>0</v>
      </c>
    </row>
    <row r="273" ht="22.5" customHeight="1">
      <c r="A273" s="12">
        <f t="shared" si="4"/>
        <v>272</v>
      </c>
      <c r="B273" s="6" t="s">
        <v>926</v>
      </c>
      <c r="C273" s="7" t="str">
        <f t="shared" si="1"/>
        <v>🔊</v>
      </c>
      <c r="D273" s="8" t="s">
        <v>927</v>
      </c>
      <c r="E273" s="6" t="s">
        <v>13</v>
      </c>
      <c r="F273" s="13" t="str">
        <f>IFERROR(__xludf.DUMMYFUNCTION("GOOGLETRANSLATE(B273,""zh_cn"",""vi"")"),"tạm biệt")</f>
        <v>tạm biệt</v>
      </c>
      <c r="G273" s="10" t="s">
        <v>928</v>
      </c>
      <c r="I273" s="11" t="b">
        <f t="shared" si="2"/>
        <v>0</v>
      </c>
      <c r="K273" s="11" t="b">
        <f t="shared" si="3"/>
        <v>0</v>
      </c>
    </row>
    <row r="274" ht="22.5" customHeight="1">
      <c r="A274" s="12">
        <f t="shared" si="4"/>
        <v>273</v>
      </c>
      <c r="B274" s="6" t="s">
        <v>929</v>
      </c>
      <c r="C274" s="7" t="str">
        <f t="shared" si="1"/>
        <v>🔊</v>
      </c>
      <c r="D274" s="8" t="s">
        <v>930</v>
      </c>
      <c r="E274" s="6" t="s">
        <v>99</v>
      </c>
      <c r="F274" s="9" t="s">
        <v>931</v>
      </c>
      <c r="G274" s="10" t="s">
        <v>932</v>
      </c>
      <c r="I274" s="11" t="b">
        <f t="shared" si="2"/>
        <v>0</v>
      </c>
      <c r="K274" s="11" t="b">
        <f t="shared" si="3"/>
        <v>0</v>
      </c>
    </row>
    <row r="275" ht="22.5" customHeight="1">
      <c r="A275" s="12">
        <f t="shared" si="4"/>
        <v>274</v>
      </c>
      <c r="B275" s="6" t="s">
        <v>933</v>
      </c>
      <c r="C275" s="7" t="str">
        <f t="shared" si="1"/>
        <v>🔊</v>
      </c>
      <c r="D275" s="8" t="s">
        <v>934</v>
      </c>
      <c r="E275" s="6" t="s">
        <v>27</v>
      </c>
      <c r="F275" s="13" t="str">
        <f>IFERROR(__xludf.DUMMYFUNCTION("GOOGLETRANSLATE(B275,""zh_cn"",""vi"")"),"bữa sáng")</f>
        <v>bữa sáng</v>
      </c>
      <c r="G275" s="10" t="s">
        <v>935</v>
      </c>
      <c r="I275" s="11" t="b">
        <f t="shared" si="2"/>
        <v>0</v>
      </c>
      <c r="K275" s="11" t="b">
        <f t="shared" si="3"/>
        <v>0</v>
      </c>
    </row>
    <row r="276" ht="22.5" customHeight="1">
      <c r="A276" s="12">
        <f t="shared" si="4"/>
        <v>275</v>
      </c>
      <c r="B276" s="6" t="s">
        <v>936</v>
      </c>
      <c r="C276" s="7" t="str">
        <f t="shared" si="1"/>
        <v>🔊</v>
      </c>
      <c r="D276" s="8" t="s">
        <v>937</v>
      </c>
      <c r="E276" s="6" t="s">
        <v>27</v>
      </c>
      <c r="F276" s="13" t="str">
        <f>IFERROR(__xludf.DUMMYFUNCTION("GOOGLETRANSLATE(B276,""zh_cn"",""vi"")"),"Buổi sáng")</f>
        <v>Buổi sáng</v>
      </c>
      <c r="G276" s="10" t="s">
        <v>938</v>
      </c>
      <c r="I276" s="11" t="b">
        <f t="shared" si="2"/>
        <v>0</v>
      </c>
      <c r="K276" s="11" t="b">
        <f t="shared" si="3"/>
        <v>0</v>
      </c>
    </row>
    <row r="277" ht="22.5" customHeight="1">
      <c r="A277" s="12">
        <f t="shared" si="4"/>
        <v>276</v>
      </c>
      <c r="B277" s="6" t="s">
        <v>939</v>
      </c>
      <c r="C277" s="7" t="str">
        <f t="shared" si="1"/>
        <v>🔊</v>
      </c>
      <c r="D277" s="8" t="s">
        <v>940</v>
      </c>
      <c r="E277" s="6" t="s">
        <v>106</v>
      </c>
      <c r="F277" s="13" t="str">
        <f>IFERROR(__xludf.DUMMYFUNCTION("GOOGLETRANSLATE(B277,""zh_cn"",""vi"")"),"Làm sao")</f>
        <v>Làm sao</v>
      </c>
      <c r="G277" s="10" t="s">
        <v>941</v>
      </c>
      <c r="I277" s="11" t="b">
        <f t="shared" si="2"/>
        <v>0</v>
      </c>
      <c r="K277" s="11" t="b">
        <f t="shared" si="3"/>
        <v>0</v>
      </c>
    </row>
    <row r="278" ht="22.5" customHeight="1">
      <c r="A278" s="12">
        <f t="shared" si="4"/>
        <v>277</v>
      </c>
      <c r="B278" s="6" t="s">
        <v>942</v>
      </c>
      <c r="C278" s="7" t="str">
        <f t="shared" si="1"/>
        <v>🔊</v>
      </c>
      <c r="D278" s="8" t="s">
        <v>943</v>
      </c>
      <c r="E278" s="6" t="s">
        <v>106</v>
      </c>
      <c r="F278" s="13" t="str">
        <f>IFERROR(__xludf.DUMMYFUNCTION("GOOGLETRANSLATE(B278,""zh_cn"",""vi"")"),"Thế nào?")</f>
        <v>Thế nào?</v>
      </c>
      <c r="G278" s="10" t="s">
        <v>944</v>
      </c>
      <c r="I278" s="11" t="b">
        <f t="shared" si="2"/>
        <v>0</v>
      </c>
      <c r="K278" s="11" t="b">
        <f t="shared" si="3"/>
        <v>0</v>
      </c>
    </row>
    <row r="279" ht="22.5" customHeight="1">
      <c r="A279" s="12">
        <f t="shared" si="4"/>
        <v>278</v>
      </c>
      <c r="B279" s="6" t="s">
        <v>945</v>
      </c>
      <c r="C279" s="7" t="str">
        <f t="shared" si="1"/>
        <v>🔊</v>
      </c>
      <c r="D279" s="8" t="s">
        <v>946</v>
      </c>
      <c r="E279" s="6" t="s">
        <v>13</v>
      </c>
      <c r="F279" s="9" t="s">
        <v>947</v>
      </c>
      <c r="G279" s="10" t="s">
        <v>948</v>
      </c>
      <c r="I279" s="11" t="b">
        <f t="shared" si="2"/>
        <v>0</v>
      </c>
      <c r="K279" s="11" t="b">
        <f t="shared" si="3"/>
        <v>0</v>
      </c>
    </row>
    <row r="280" ht="22.5" customHeight="1">
      <c r="A280" s="12">
        <f t="shared" si="4"/>
        <v>279</v>
      </c>
      <c r="B280" s="6" t="s">
        <v>949</v>
      </c>
      <c r="C280" s="7" t="str">
        <f t="shared" si="1"/>
        <v>🔊</v>
      </c>
      <c r="D280" s="8" t="s">
        <v>950</v>
      </c>
      <c r="E280" s="6" t="s">
        <v>106</v>
      </c>
      <c r="F280" s="13" t="str">
        <f>IFERROR(__xludf.DUMMYFUNCTION("GOOGLETRANSLATE(B280,""zh_cn"",""vi"")"),"cái này")</f>
        <v>cái này</v>
      </c>
      <c r="G280" s="10" t="s">
        <v>951</v>
      </c>
      <c r="I280" s="11" t="b">
        <f t="shared" si="2"/>
        <v>0</v>
      </c>
      <c r="K280" s="11" t="b">
        <f t="shared" si="3"/>
        <v>0</v>
      </c>
    </row>
    <row r="281" ht="22.5" customHeight="1">
      <c r="A281" s="12">
        <f t="shared" si="4"/>
        <v>280</v>
      </c>
      <c r="B281" s="6" t="s">
        <v>952</v>
      </c>
      <c r="C281" s="7" t="str">
        <f t="shared" si="1"/>
        <v>🔊</v>
      </c>
      <c r="D281" s="8" t="s">
        <v>953</v>
      </c>
      <c r="E281" s="6" t="s">
        <v>106</v>
      </c>
      <c r="F281" s="9" t="s">
        <v>954</v>
      </c>
      <c r="G281" s="10" t="s">
        <v>955</v>
      </c>
      <c r="I281" s="11" t="b">
        <f t="shared" si="2"/>
        <v>0</v>
      </c>
      <c r="K281" s="11" t="b">
        <f t="shared" si="3"/>
        <v>0</v>
      </c>
    </row>
    <row r="282" ht="22.5" customHeight="1">
      <c r="A282" s="12">
        <f t="shared" si="4"/>
        <v>281</v>
      </c>
      <c r="B282" s="6" t="s">
        <v>956</v>
      </c>
      <c r="C282" s="7" t="str">
        <f t="shared" si="1"/>
        <v>🔊</v>
      </c>
      <c r="D282" s="8" t="s">
        <v>957</v>
      </c>
      <c r="E282" s="6" t="s">
        <v>106</v>
      </c>
      <c r="F282" s="13" t="str">
        <f>IFERROR(__xludf.DUMMYFUNCTION("GOOGLETRANSLATE(B282,""zh_cn"",""vi"")"),"cái này")</f>
        <v>cái này</v>
      </c>
      <c r="G282" s="10" t="s">
        <v>958</v>
      </c>
      <c r="I282" s="11" t="b">
        <f t="shared" si="2"/>
        <v>0</v>
      </c>
      <c r="K282" s="11" t="b">
        <f t="shared" si="3"/>
        <v>0</v>
      </c>
    </row>
    <row r="283" ht="22.5" customHeight="1">
      <c r="A283" s="12">
        <f t="shared" si="4"/>
        <v>282</v>
      </c>
      <c r="B283" s="6" t="s">
        <v>959</v>
      </c>
      <c r="C283" s="7" t="str">
        <f t="shared" si="1"/>
        <v>🔊</v>
      </c>
      <c r="D283" s="8" t="s">
        <v>960</v>
      </c>
      <c r="E283" s="6" t="s">
        <v>106</v>
      </c>
      <c r="F283" s="13" t="str">
        <f>IFERROR(__xludf.DUMMYFUNCTION("GOOGLETRANSLATE(B283,""zh_cn"",""vi"")"),"đây")</f>
        <v>đây</v>
      </c>
      <c r="G283" s="10" t="s">
        <v>961</v>
      </c>
      <c r="I283" s="11" t="b">
        <f t="shared" si="2"/>
        <v>0</v>
      </c>
      <c r="K283" s="11" t="b">
        <f t="shared" si="3"/>
        <v>0</v>
      </c>
    </row>
    <row r="284" ht="22.5" customHeight="1">
      <c r="A284" s="12">
        <f t="shared" si="4"/>
        <v>283</v>
      </c>
      <c r="B284" s="6" t="s">
        <v>962</v>
      </c>
      <c r="C284" s="7" t="str">
        <f t="shared" si="1"/>
        <v>🔊</v>
      </c>
      <c r="D284" s="8" t="s">
        <v>963</v>
      </c>
      <c r="E284" s="6" t="s">
        <v>964</v>
      </c>
      <c r="F284" s="9" t="s">
        <v>965</v>
      </c>
      <c r="G284" s="10" t="s">
        <v>966</v>
      </c>
      <c r="I284" s="11" t="b">
        <f t="shared" si="2"/>
        <v>0</v>
      </c>
      <c r="K284" s="11" t="b">
        <f t="shared" si="3"/>
        <v>0</v>
      </c>
    </row>
    <row r="285" ht="22.5" customHeight="1">
      <c r="A285" s="12">
        <f t="shared" si="4"/>
        <v>284</v>
      </c>
      <c r="B285" s="6" t="s">
        <v>967</v>
      </c>
      <c r="C285" s="7" t="str">
        <f t="shared" si="1"/>
        <v>🔊</v>
      </c>
      <c r="D285" s="8" t="s">
        <v>968</v>
      </c>
      <c r="E285" s="6" t="s">
        <v>61</v>
      </c>
      <c r="F285" s="13" t="str">
        <f>IFERROR(__xludf.DUMMYFUNCTION("GOOGLETRANSLATE(B285,""zh_cn"",""vi"")"),"Đang tiến hành")</f>
        <v>Đang tiến hành</v>
      </c>
      <c r="G285" s="10" t="s">
        <v>969</v>
      </c>
      <c r="I285" s="11" t="b">
        <f t="shared" si="2"/>
        <v>0</v>
      </c>
      <c r="K285" s="11" t="b">
        <f t="shared" si="3"/>
        <v>0</v>
      </c>
    </row>
    <row r="286" ht="22.5" customHeight="1">
      <c r="A286" s="12">
        <f t="shared" si="4"/>
        <v>285</v>
      </c>
      <c r="B286" s="6" t="s">
        <v>970</v>
      </c>
      <c r="C286" s="7" t="str">
        <f t="shared" si="1"/>
        <v>🔊</v>
      </c>
      <c r="D286" s="8" t="s">
        <v>971</v>
      </c>
      <c r="E286" s="6" t="s">
        <v>106</v>
      </c>
      <c r="F286" s="13" t="str">
        <f>IFERROR(__xludf.DUMMYFUNCTION("GOOGLETRANSLATE(B286,""zh_cn"",""vi"")"),"đây")</f>
        <v>đây</v>
      </c>
      <c r="G286" s="10" t="s">
        <v>972</v>
      </c>
      <c r="I286" s="11" t="b">
        <f t="shared" si="2"/>
        <v>0</v>
      </c>
      <c r="K286" s="11" t="b">
        <f t="shared" si="3"/>
        <v>0</v>
      </c>
    </row>
    <row r="287" ht="22.5" customHeight="1">
      <c r="A287" s="12">
        <f t="shared" si="4"/>
        <v>286</v>
      </c>
      <c r="B287" s="6" t="s">
        <v>973</v>
      </c>
      <c r="C287" s="7" t="str">
        <f t="shared" si="1"/>
        <v>🔊</v>
      </c>
      <c r="D287" s="8" t="s">
        <v>974</v>
      </c>
      <c r="E287" s="6" t="s">
        <v>106</v>
      </c>
      <c r="F287" s="13" t="str">
        <f>IFERROR(__xludf.DUMMYFUNCTION("GOOGLETRANSLATE(B287,""zh_cn"",""vi"")"),"Những cái này")</f>
        <v>Những cái này</v>
      </c>
      <c r="G287" s="10" t="s">
        <v>975</v>
      </c>
      <c r="I287" s="11" t="b">
        <f t="shared" si="2"/>
        <v>0</v>
      </c>
      <c r="K287" s="11" t="b">
        <f t="shared" si="3"/>
        <v>0</v>
      </c>
    </row>
    <row r="288" ht="22.5" customHeight="1">
      <c r="A288" s="12">
        <f t="shared" si="4"/>
        <v>287</v>
      </c>
      <c r="B288" s="6" t="s">
        <v>976</v>
      </c>
      <c r="C288" s="7" t="str">
        <f t="shared" si="1"/>
        <v>🔊</v>
      </c>
      <c r="D288" s="8" t="s">
        <v>977</v>
      </c>
      <c r="E288" s="6" t="s">
        <v>47</v>
      </c>
      <c r="F288" s="13" t="str">
        <f>IFERROR(__xludf.DUMMYFUNCTION("GOOGLETRANSLATE(B288,""zh_cn"",""vi"")"),"Chỉ một")</f>
        <v>Chỉ một</v>
      </c>
      <c r="G288" s="10" t="s">
        <v>978</v>
      </c>
      <c r="I288" s="11" t="b">
        <f t="shared" si="2"/>
        <v>0</v>
      </c>
      <c r="K288" s="11" t="b">
        <f t="shared" si="3"/>
        <v>0</v>
      </c>
    </row>
    <row r="289" ht="22.5" customHeight="1">
      <c r="A289" s="12">
        <f t="shared" si="4"/>
        <v>288</v>
      </c>
      <c r="B289" s="6" t="s">
        <v>979</v>
      </c>
      <c r="C289" s="7" t="str">
        <f t="shared" si="1"/>
        <v>🔊</v>
      </c>
      <c r="D289" s="8" t="s">
        <v>980</v>
      </c>
      <c r="E289" s="6" t="s">
        <v>13</v>
      </c>
      <c r="F289" s="13" t="str">
        <f>IFERROR(__xludf.DUMMYFUNCTION("GOOGLETRANSLATE(B289,""zh_cn"",""vi"")"),"Biết")</f>
        <v>Biết</v>
      </c>
      <c r="G289" s="10" t="s">
        <v>981</v>
      </c>
      <c r="I289" s="11" t="b">
        <f t="shared" si="2"/>
        <v>0</v>
      </c>
      <c r="K289" s="11" t="b">
        <f t="shared" si="3"/>
        <v>0</v>
      </c>
    </row>
    <row r="290" ht="22.5" customHeight="1">
      <c r="A290" s="12">
        <f t="shared" si="4"/>
        <v>289</v>
      </c>
      <c r="B290" s="6" t="s">
        <v>982</v>
      </c>
      <c r="C290" s="7" t="str">
        <f t="shared" si="1"/>
        <v>🔊</v>
      </c>
      <c r="D290" s="8" t="s">
        <v>983</v>
      </c>
      <c r="E290" s="6" t="s">
        <v>27</v>
      </c>
      <c r="F290" s="13" t="str">
        <f>IFERROR(__xludf.DUMMYFUNCTION("GOOGLETRANSLATE(B290,""zh_cn"",""vi"")"),"Trung Quốc")</f>
        <v>Trung Quốc</v>
      </c>
      <c r="G290" s="10" t="s">
        <v>984</v>
      </c>
      <c r="I290" s="11" t="b">
        <f t="shared" si="2"/>
        <v>0</v>
      </c>
      <c r="K290" s="11" t="b">
        <f t="shared" si="3"/>
        <v>0</v>
      </c>
    </row>
    <row r="291" ht="22.5" customHeight="1">
      <c r="A291" s="12">
        <f t="shared" si="4"/>
        <v>290</v>
      </c>
      <c r="B291" s="6" t="s">
        <v>985</v>
      </c>
      <c r="C291" s="7" t="str">
        <f t="shared" si="1"/>
        <v>🔊</v>
      </c>
      <c r="D291" s="8" t="s">
        <v>986</v>
      </c>
      <c r="E291" s="6" t="s">
        <v>27</v>
      </c>
      <c r="F291" s="9" t="s">
        <v>987</v>
      </c>
      <c r="G291" s="10" t="s">
        <v>988</v>
      </c>
      <c r="I291" s="11" t="b">
        <f t="shared" si="2"/>
        <v>0</v>
      </c>
      <c r="K291" s="11" t="b">
        <f t="shared" si="3"/>
        <v>0</v>
      </c>
    </row>
    <row r="292" ht="22.5" customHeight="1">
      <c r="A292" s="12">
        <f t="shared" si="4"/>
        <v>291</v>
      </c>
      <c r="B292" s="6" t="s">
        <v>989</v>
      </c>
      <c r="C292" s="7" t="str">
        <f t="shared" si="1"/>
        <v>🔊</v>
      </c>
      <c r="D292" s="8" t="s">
        <v>990</v>
      </c>
      <c r="E292" s="6" t="s">
        <v>27</v>
      </c>
      <c r="F292" s="13" t="str">
        <f>IFERROR(__xludf.DUMMYFUNCTION("GOOGLETRANSLATE(B292,""zh_cn"",""vi"")"),"buổi trưa")</f>
        <v>buổi trưa</v>
      </c>
      <c r="G292" s="10" t="s">
        <v>991</v>
      </c>
      <c r="I292" s="11" t="b">
        <f t="shared" si="2"/>
        <v>0</v>
      </c>
      <c r="K292" s="11" t="b">
        <f t="shared" si="3"/>
        <v>0</v>
      </c>
    </row>
    <row r="293" ht="22.5" customHeight="1">
      <c r="A293" s="12">
        <f t="shared" si="4"/>
        <v>292</v>
      </c>
      <c r="B293" s="6" t="s">
        <v>992</v>
      </c>
      <c r="C293" s="7" t="str">
        <f t="shared" si="1"/>
        <v>🔊</v>
      </c>
      <c r="D293" s="8" t="s">
        <v>993</v>
      </c>
      <c r="E293" s="6" t="s">
        <v>27</v>
      </c>
      <c r="F293" s="13" t="str">
        <f>IFERROR(__xludf.DUMMYFUNCTION("GOOGLETRANSLATE(B293,""zh_cn"",""vi"")"),"Trường trung học cơ sở")</f>
        <v>Trường trung học cơ sở</v>
      </c>
      <c r="G293" s="10" t="s">
        <v>994</v>
      </c>
      <c r="I293" s="11" t="b">
        <f t="shared" si="2"/>
        <v>0</v>
      </c>
      <c r="K293" s="11" t="b">
        <f t="shared" si="3"/>
        <v>0</v>
      </c>
    </row>
    <row r="294" ht="22.5" customHeight="1">
      <c r="A294" s="12">
        <f t="shared" si="4"/>
        <v>293</v>
      </c>
      <c r="B294" s="6" t="s">
        <v>995</v>
      </c>
      <c r="C294" s="7" t="str">
        <f t="shared" si="1"/>
        <v>🔊</v>
      </c>
      <c r="D294" s="8" t="s">
        <v>996</v>
      </c>
      <c r="E294" s="6" t="s">
        <v>27</v>
      </c>
      <c r="F294" s="13" t="str">
        <f>IFERROR(__xludf.DUMMYFUNCTION("GOOGLETRANSLATE(B294,""zh_cn"",""vi"")"),"học sinh trung học")</f>
        <v>học sinh trung học</v>
      </c>
      <c r="G294" s="10" t="s">
        <v>997</v>
      </c>
      <c r="I294" s="11" t="b">
        <f t="shared" si="2"/>
        <v>0</v>
      </c>
      <c r="K294" s="11" t="b">
        <f t="shared" si="3"/>
        <v>0</v>
      </c>
    </row>
    <row r="295" ht="22.5" customHeight="1">
      <c r="A295" s="12">
        <f t="shared" si="4"/>
        <v>294</v>
      </c>
      <c r="B295" s="6" t="s">
        <v>998</v>
      </c>
      <c r="C295" s="7" t="str">
        <f t="shared" si="1"/>
        <v>🔊</v>
      </c>
      <c r="D295" s="8" t="s">
        <v>999</v>
      </c>
      <c r="E295" s="6" t="s">
        <v>13</v>
      </c>
      <c r="F295" s="9" t="s">
        <v>1000</v>
      </c>
      <c r="G295" s="10" t="s">
        <v>1001</v>
      </c>
      <c r="I295" s="11" t="b">
        <f t="shared" si="2"/>
        <v>0</v>
      </c>
      <c r="K295" s="11" t="b">
        <f t="shared" si="3"/>
        <v>0</v>
      </c>
    </row>
    <row r="296" ht="22.5" customHeight="1">
      <c r="A296" s="12">
        <f t="shared" si="4"/>
        <v>295</v>
      </c>
      <c r="B296" s="6" t="s">
        <v>1002</v>
      </c>
      <c r="C296" s="7" t="str">
        <f t="shared" si="1"/>
        <v>🔊</v>
      </c>
      <c r="D296" s="8" t="s">
        <v>1003</v>
      </c>
      <c r="E296" s="6" t="s">
        <v>27</v>
      </c>
      <c r="F296" s="13" t="str">
        <f>IFERROR(__xludf.DUMMYFUNCTION("GOOGLETRANSLATE(B296,""zh_cn"",""vi"")"),"bàn")</f>
        <v>bàn</v>
      </c>
      <c r="G296" s="10" t="s">
        <v>1004</v>
      </c>
      <c r="I296" s="11" t="b">
        <f t="shared" si="2"/>
        <v>0</v>
      </c>
      <c r="K296" s="11" t="b">
        <f t="shared" si="3"/>
        <v>0</v>
      </c>
    </row>
    <row r="297" ht="22.5" customHeight="1">
      <c r="A297" s="12">
        <f t="shared" si="4"/>
        <v>296</v>
      </c>
      <c r="B297" s="6" t="s">
        <v>1005</v>
      </c>
      <c r="C297" s="7" t="str">
        <f t="shared" si="1"/>
        <v>🔊</v>
      </c>
      <c r="D297" s="8" t="s">
        <v>1006</v>
      </c>
      <c r="E297" s="6" t="s">
        <v>27</v>
      </c>
      <c r="F297" s="9" t="s">
        <v>1007</v>
      </c>
      <c r="G297" s="10" t="s">
        <v>1008</v>
      </c>
      <c r="I297" s="11" t="b">
        <f t="shared" si="2"/>
        <v>0</v>
      </c>
      <c r="K297" s="11" t="b">
        <f t="shared" si="3"/>
        <v>0</v>
      </c>
    </row>
    <row r="298" ht="22.5" customHeight="1">
      <c r="A298" s="12">
        <f t="shared" si="4"/>
        <v>297</v>
      </c>
      <c r="B298" s="6" t="s">
        <v>1009</v>
      </c>
      <c r="C298" s="7" t="str">
        <f t="shared" si="1"/>
        <v>🔊</v>
      </c>
      <c r="D298" s="8" t="s">
        <v>1010</v>
      </c>
      <c r="E298" s="6" t="s">
        <v>13</v>
      </c>
      <c r="F298" s="13" t="str">
        <f>IFERROR(__xludf.DUMMYFUNCTION("GOOGLETRANSLATE(B298,""zh_cn"",""vi"")"),"ngồi")</f>
        <v>ngồi</v>
      </c>
      <c r="G298" s="10" t="s">
        <v>1011</v>
      </c>
      <c r="I298" s="11" t="b">
        <f t="shared" si="2"/>
        <v>0</v>
      </c>
      <c r="K298" s="11" t="b">
        <f t="shared" si="3"/>
        <v>0</v>
      </c>
    </row>
    <row r="299" ht="22.5" customHeight="1">
      <c r="A299" s="12">
        <f t="shared" si="4"/>
        <v>298</v>
      </c>
      <c r="B299" s="6" t="s">
        <v>1012</v>
      </c>
      <c r="C299" s="7" t="str">
        <f t="shared" si="1"/>
        <v>🔊</v>
      </c>
      <c r="D299" s="8" t="s">
        <v>1010</v>
      </c>
      <c r="E299" s="6" t="s">
        <v>13</v>
      </c>
      <c r="F299" s="13" t="str">
        <f>IFERROR(__xludf.DUMMYFUNCTION("GOOGLETRANSLATE(B299,""zh_cn"",""vi"")"),"LÀM")</f>
        <v>LÀM</v>
      </c>
      <c r="G299" s="10" t="s">
        <v>1013</v>
      </c>
      <c r="I299" s="11" t="b">
        <f t="shared" si="2"/>
        <v>0</v>
      </c>
      <c r="K299" s="11" t="b">
        <f t="shared" si="3"/>
        <v>0</v>
      </c>
    </row>
    <row r="300" ht="22.5" customHeight="1">
      <c r="A300" s="12">
        <f t="shared" si="4"/>
        <v>299</v>
      </c>
      <c r="B300" s="6" t="s">
        <v>1014</v>
      </c>
      <c r="C300" s="7" t="str">
        <f t="shared" si="1"/>
        <v>🔊</v>
      </c>
      <c r="D300" s="8" t="s">
        <v>1015</v>
      </c>
      <c r="E300" s="12"/>
      <c r="F300" s="9" t="s">
        <v>1016</v>
      </c>
      <c r="G300" s="10" t="s">
        <v>1017</v>
      </c>
      <c r="I300" s="11" t="b">
        <f t="shared" si="2"/>
        <v>0</v>
      </c>
      <c r="K300" s="11" t="b">
        <f t="shared" si="3"/>
        <v>0</v>
      </c>
    </row>
    <row r="301" ht="22.5" customHeight="1">
      <c r="A301" s="12">
        <f t="shared" si="4"/>
        <v>300</v>
      </c>
      <c r="B301" s="6" t="s">
        <v>1018</v>
      </c>
      <c r="C301" s="7" t="str">
        <f t="shared" si="1"/>
        <v>🔊</v>
      </c>
      <c r="D301" s="8" t="s">
        <v>1019</v>
      </c>
      <c r="E301" s="18" t="s">
        <v>27</v>
      </c>
      <c r="F301" s="13" t="str">
        <f>IFERROR(__xludf.DUMMYFUNCTION("GOOGLETRANSLATE(B301,""zh_cn"",""vi"")"),"Hôm qua")</f>
        <v>Hôm qua</v>
      </c>
      <c r="G301" s="10" t="s">
        <v>1020</v>
      </c>
      <c r="I301" s="11" t="b">
        <f t="shared" si="2"/>
        <v>0</v>
      </c>
      <c r="K301" s="11" t="b">
        <f t="shared" si="3"/>
        <v>0</v>
      </c>
    </row>
  </sheetData>
  <conditionalFormatting sqref="I2:I301 K2:K301">
    <cfRule type="expression" dxfId="5" priority="1">
      <formula>I2=TRUE</formula>
    </cfRule>
  </conditionalFormatting>
  <conditionalFormatting sqref="I2:I301 K2:K301">
    <cfRule type="expression" dxfId="6" priority="2">
      <formula>I2=FALSE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0"/>
    <col customWidth="1" min="3" max="3" width="10.38"/>
    <col customWidth="1" min="4" max="4" width="17.75"/>
    <col customWidth="1" min="5" max="5" width="22.0"/>
    <col customWidth="1" min="6" max="6" width="16.13"/>
    <col customWidth="1" min="7" max="7" width="45.5"/>
    <col customWidth="1" min="8" max="8" width="16.75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.5" customHeight="1">
      <c r="A2" s="1"/>
      <c r="B2" s="6" t="s">
        <v>1021</v>
      </c>
      <c r="C2" s="1"/>
      <c r="D2" s="1"/>
      <c r="E2" s="1"/>
      <c r="F2" s="1"/>
      <c r="G2" s="20"/>
      <c r="H2" s="21"/>
      <c r="I2" s="21"/>
      <c r="J2" s="21"/>
      <c r="K2" s="21"/>
    </row>
    <row r="3" ht="22.5" customHeight="1">
      <c r="A3" s="5">
        <v>301.0</v>
      </c>
      <c r="B3" s="6" t="s">
        <v>1022</v>
      </c>
      <c r="C3" s="7" t="str">
        <f t="shared" ref="C3:C202" si="1">HYPERLINK("https://translate.google.com/translate_tts?ie=UTF-8&amp;client=tw-ob&amp;tl=zh-CN&amp;q="&amp;ENCODEURL(B3),"🔊")</f>
        <v>🔊</v>
      </c>
      <c r="D3" s="22" t="s">
        <v>1023</v>
      </c>
      <c r="E3" s="6" t="s">
        <v>18</v>
      </c>
      <c r="F3" s="12" t="str">
        <f>IFERROR(__xludf.DUMMYFUNCTION("GOOGLETRANSLATE(B3,""zh_cn"",""vi"")"),"à")</f>
        <v>à</v>
      </c>
      <c r="G3" s="20" t="s">
        <v>1024</v>
      </c>
      <c r="H3" s="6" t="s">
        <v>1022</v>
      </c>
      <c r="I3" s="11" t="b">
        <f t="shared" ref="I3:I202" si="2">H3=B3</f>
        <v>1</v>
      </c>
      <c r="J3" s="6"/>
      <c r="K3" s="11" t="b">
        <f t="shared" ref="K3:K202" si="3">J3=F3</f>
        <v>0</v>
      </c>
    </row>
    <row r="4" ht="22.5" customHeight="1">
      <c r="A4" s="12">
        <f t="shared" ref="A4:A202" si="4">A3+1</f>
        <v>302</v>
      </c>
      <c r="B4" s="6" t="s">
        <v>1025</v>
      </c>
      <c r="C4" s="7" t="str">
        <f t="shared" si="1"/>
        <v>🔊</v>
      </c>
      <c r="D4" s="22" t="s">
        <v>1026</v>
      </c>
      <c r="E4" s="6" t="s">
        <v>232</v>
      </c>
      <c r="F4" s="12" t="str">
        <f>IFERROR(__xludf.DUMMYFUNCTION("GOOGLETRANSLATE(B4,""zh_cn"",""vi"")"),"Sở thích")</f>
        <v>Sở thích</v>
      </c>
      <c r="G4" s="20" t="s">
        <v>1027</v>
      </c>
      <c r="H4" s="6" t="s">
        <v>1025</v>
      </c>
      <c r="I4" s="11" t="b">
        <f t="shared" si="2"/>
        <v>1</v>
      </c>
      <c r="J4" s="6"/>
      <c r="K4" s="11" t="b">
        <f t="shared" si="3"/>
        <v>0</v>
      </c>
    </row>
    <row r="5" ht="22.5" customHeight="1">
      <c r="A5" s="12">
        <f t="shared" si="4"/>
        <v>303</v>
      </c>
      <c r="B5" s="6" t="s">
        <v>1028</v>
      </c>
      <c r="C5" s="7" t="str">
        <f t="shared" si="1"/>
        <v>🔊</v>
      </c>
      <c r="D5" s="22" t="s">
        <v>1029</v>
      </c>
      <c r="E5" s="6" t="s">
        <v>27</v>
      </c>
      <c r="F5" s="5" t="s">
        <v>1030</v>
      </c>
      <c r="G5" s="20" t="s">
        <v>1031</v>
      </c>
      <c r="H5" s="6" t="s">
        <v>1028</v>
      </c>
      <c r="I5" s="11" t="b">
        <f t="shared" si="2"/>
        <v>1</v>
      </c>
      <c r="J5" s="6"/>
      <c r="K5" s="11" t="b">
        <f t="shared" si="3"/>
        <v>0</v>
      </c>
    </row>
    <row r="6" ht="22.5" customHeight="1">
      <c r="A6" s="12">
        <f t="shared" si="4"/>
        <v>304</v>
      </c>
      <c r="B6" s="6" t="s">
        <v>1032</v>
      </c>
      <c r="C6" s="7" t="str">
        <f t="shared" si="1"/>
        <v>🔊</v>
      </c>
      <c r="D6" s="22" t="s">
        <v>1033</v>
      </c>
      <c r="E6" s="6" t="s">
        <v>1034</v>
      </c>
      <c r="F6" s="5" t="s">
        <v>1035</v>
      </c>
      <c r="G6" s="20" t="s">
        <v>1036</v>
      </c>
      <c r="H6" s="6" t="s">
        <v>1032</v>
      </c>
      <c r="I6" s="11" t="b">
        <f t="shared" si="2"/>
        <v>1</v>
      </c>
      <c r="K6" s="11" t="b">
        <f t="shared" si="3"/>
        <v>0</v>
      </c>
    </row>
    <row r="7" ht="22.5" customHeight="1">
      <c r="A7" s="12">
        <f t="shared" si="4"/>
        <v>305</v>
      </c>
      <c r="B7" s="6" t="s">
        <v>1037</v>
      </c>
      <c r="C7" s="7" t="str">
        <f t="shared" si="1"/>
        <v>🔊</v>
      </c>
      <c r="D7" s="22" t="s">
        <v>1038</v>
      </c>
      <c r="E7" s="6" t="s">
        <v>13</v>
      </c>
      <c r="F7" s="5" t="s">
        <v>1039</v>
      </c>
      <c r="G7" s="20" t="s">
        <v>1040</v>
      </c>
      <c r="H7" s="5" t="s">
        <v>1037</v>
      </c>
      <c r="I7" s="11" t="b">
        <f t="shared" si="2"/>
        <v>1</v>
      </c>
      <c r="K7" s="11" t="b">
        <f t="shared" si="3"/>
        <v>0</v>
      </c>
    </row>
    <row r="8" ht="22.5" customHeight="1">
      <c r="A8" s="12">
        <f t="shared" si="4"/>
        <v>306</v>
      </c>
      <c r="B8" s="6" t="s">
        <v>1041</v>
      </c>
      <c r="C8" s="7" t="str">
        <f t="shared" si="1"/>
        <v>🔊</v>
      </c>
      <c r="D8" s="22" t="s">
        <v>1042</v>
      </c>
      <c r="E8" s="6" t="s">
        <v>13</v>
      </c>
      <c r="F8" s="12" t="str">
        <f>IFERROR(__xludf.DUMMYFUNCTION("GOOGLETRANSLATE(B8,""zh_cn"",""vi"")"),"giúp đỡ")</f>
        <v>giúp đỡ</v>
      </c>
      <c r="G8" s="20" t="s">
        <v>1043</v>
      </c>
      <c r="H8" s="5" t="s">
        <v>1041</v>
      </c>
      <c r="I8" s="11" t="b">
        <f t="shared" si="2"/>
        <v>1</v>
      </c>
      <c r="K8" s="11" t="b">
        <f t="shared" si="3"/>
        <v>0</v>
      </c>
    </row>
    <row r="9" ht="22.5" customHeight="1">
      <c r="A9" s="12">
        <f t="shared" si="4"/>
        <v>307</v>
      </c>
      <c r="B9" s="6" t="s">
        <v>1044</v>
      </c>
      <c r="C9" s="7" t="str">
        <f t="shared" si="1"/>
        <v>🔊</v>
      </c>
      <c r="D9" s="22" t="s">
        <v>1045</v>
      </c>
      <c r="E9" s="6" t="s">
        <v>1046</v>
      </c>
      <c r="F9" s="12" t="str">
        <f>IFERROR(__xludf.DUMMYFUNCTION("GOOGLETRANSLATE(B9,""zh_cn"",""vi"")"),"Cái túi")</f>
        <v>Cái túi</v>
      </c>
      <c r="G9" s="20" t="s">
        <v>1047</v>
      </c>
      <c r="H9" s="5" t="s">
        <v>1044</v>
      </c>
      <c r="I9" s="11" t="b">
        <f t="shared" si="2"/>
        <v>1</v>
      </c>
      <c r="K9" s="11" t="b">
        <f t="shared" si="3"/>
        <v>0</v>
      </c>
    </row>
    <row r="10" ht="22.5" customHeight="1">
      <c r="A10" s="12">
        <f t="shared" si="4"/>
        <v>308</v>
      </c>
      <c r="B10" s="6" t="s">
        <v>1048</v>
      </c>
      <c r="C10" s="7" t="str">
        <f t="shared" si="1"/>
        <v>🔊</v>
      </c>
      <c r="D10" s="22" t="s">
        <v>1049</v>
      </c>
      <c r="E10" s="6" t="s">
        <v>27</v>
      </c>
      <c r="F10" s="5" t="s">
        <v>1050</v>
      </c>
      <c r="G10" s="20" t="s">
        <v>1051</v>
      </c>
      <c r="H10" s="5" t="s">
        <v>1048</v>
      </c>
      <c r="I10" s="11" t="b">
        <f t="shared" si="2"/>
        <v>1</v>
      </c>
      <c r="K10" s="11" t="b">
        <f t="shared" si="3"/>
        <v>0</v>
      </c>
    </row>
    <row r="11" ht="22.5" customHeight="1">
      <c r="A11" s="12">
        <f t="shared" si="4"/>
        <v>309</v>
      </c>
      <c r="B11" s="6" t="s">
        <v>1052</v>
      </c>
      <c r="C11" s="7" t="str">
        <f t="shared" si="1"/>
        <v>🔊</v>
      </c>
      <c r="D11" s="22" t="s">
        <v>1053</v>
      </c>
      <c r="E11" s="6" t="s">
        <v>1054</v>
      </c>
      <c r="F11" s="12" t="str">
        <f>IFERROR(__xludf.DUMMYFUNCTION("GOOGLETRANSLATE(B11,""zh_cn"",""vi"")"),"So sánh")</f>
        <v>So sánh</v>
      </c>
      <c r="G11" s="20" t="s">
        <v>1055</v>
      </c>
      <c r="H11" s="5" t="s">
        <v>1052</v>
      </c>
      <c r="I11" s="11" t="b">
        <f t="shared" si="2"/>
        <v>1</v>
      </c>
      <c r="K11" s="11" t="b">
        <f t="shared" si="3"/>
        <v>0</v>
      </c>
    </row>
    <row r="12" ht="22.5" customHeight="1">
      <c r="A12" s="12">
        <f t="shared" si="4"/>
        <v>310</v>
      </c>
      <c r="B12" s="6" t="s">
        <v>1056</v>
      </c>
      <c r="C12" s="7" t="str">
        <f t="shared" si="1"/>
        <v>🔊</v>
      </c>
      <c r="D12" s="22" t="s">
        <v>1053</v>
      </c>
      <c r="E12" s="6" t="s">
        <v>1034</v>
      </c>
      <c r="F12" s="12" t="str">
        <f>IFERROR(__xludf.DUMMYFUNCTION("GOOGLETRANSLATE(B12,""zh_cn"",""vi"")"),"Cái bút")</f>
        <v>Cái bút</v>
      </c>
      <c r="G12" s="20" t="s">
        <v>1057</v>
      </c>
      <c r="H12" s="5" t="s">
        <v>1056</v>
      </c>
      <c r="I12" s="11" t="b">
        <f t="shared" si="2"/>
        <v>1</v>
      </c>
      <c r="K12" s="11" t="b">
        <f t="shared" si="3"/>
        <v>0</v>
      </c>
    </row>
    <row r="13" ht="22.5" customHeight="1">
      <c r="A13" s="12">
        <f t="shared" si="4"/>
        <v>311</v>
      </c>
      <c r="B13" s="6" t="s">
        <v>1058</v>
      </c>
      <c r="C13" s="7" t="str">
        <f t="shared" si="1"/>
        <v>🔊</v>
      </c>
      <c r="D13" s="22" t="s">
        <v>1059</v>
      </c>
      <c r="E13" s="6" t="s">
        <v>61</v>
      </c>
      <c r="F13" s="12" t="str">
        <f>IFERROR(__xludf.DUMMYFUNCTION("GOOGLETRANSLATE(B13,""zh_cn"",""vi"")"),"Đừng")</f>
        <v>Đừng</v>
      </c>
      <c r="G13" s="20" t="s">
        <v>1060</v>
      </c>
      <c r="H13" s="5" t="s">
        <v>1058</v>
      </c>
      <c r="I13" s="11" t="b">
        <f t="shared" si="2"/>
        <v>1</v>
      </c>
      <c r="K13" s="11" t="b">
        <f t="shared" si="3"/>
        <v>0</v>
      </c>
    </row>
    <row r="14" ht="22.5" customHeight="1">
      <c r="A14" s="12">
        <f t="shared" si="4"/>
        <v>312</v>
      </c>
      <c r="B14" s="6" t="s">
        <v>1061</v>
      </c>
      <c r="C14" s="7" t="str">
        <f t="shared" si="1"/>
        <v>🔊</v>
      </c>
      <c r="D14" s="22" t="s">
        <v>1062</v>
      </c>
      <c r="E14" s="14"/>
      <c r="F14" s="12" t="str">
        <f>IFERROR(__xludf.DUMMYFUNCTION("GOOGLETRANSLATE(B14,""zh_cn"",""vi"")"),"Xin lỗi")</f>
        <v>Xin lỗi</v>
      </c>
      <c r="G14" s="20" t="s">
        <v>1063</v>
      </c>
      <c r="H14" s="5" t="s">
        <v>1061</v>
      </c>
      <c r="I14" s="11" t="b">
        <f t="shared" si="2"/>
        <v>1</v>
      </c>
      <c r="K14" s="11" t="b">
        <f t="shared" si="3"/>
        <v>0</v>
      </c>
    </row>
    <row r="15" ht="22.5" customHeight="1">
      <c r="A15" s="12">
        <f t="shared" si="4"/>
        <v>313</v>
      </c>
      <c r="B15" s="6" t="s">
        <v>1064</v>
      </c>
      <c r="C15" s="7" t="str">
        <f t="shared" si="1"/>
        <v>🔊</v>
      </c>
      <c r="D15" s="22" t="s">
        <v>1065</v>
      </c>
      <c r="E15" s="6" t="s">
        <v>99</v>
      </c>
      <c r="F15" s="12" t="str">
        <f>IFERROR(__xludf.DUMMYFUNCTION("GOOGLETRANSLATE(B15,""zh_cn"",""vi"")"),"Tốt")</f>
        <v>Tốt</v>
      </c>
      <c r="G15" s="20" t="s">
        <v>1066</v>
      </c>
      <c r="H15" s="5" t="s">
        <v>1064</v>
      </c>
      <c r="I15" s="11" t="b">
        <f t="shared" si="2"/>
        <v>1</v>
      </c>
      <c r="K15" s="11" t="b">
        <f t="shared" si="3"/>
        <v>0</v>
      </c>
    </row>
    <row r="16" ht="22.5" customHeight="1">
      <c r="A16" s="12">
        <f t="shared" si="4"/>
        <v>314</v>
      </c>
      <c r="B16" s="6" t="s">
        <v>1067</v>
      </c>
      <c r="C16" s="7" t="str">
        <f t="shared" si="1"/>
        <v>🔊</v>
      </c>
      <c r="D16" s="22" t="s">
        <v>1068</v>
      </c>
      <c r="E16" s="6" t="s">
        <v>99</v>
      </c>
      <c r="F16" s="12" t="str">
        <f>IFERROR(__xludf.DUMMYFUNCTION("GOOGLETRANSLATE(B16,""zh_cn"",""vi"")"),"dài")</f>
        <v>dài</v>
      </c>
      <c r="G16" s="20" t="s">
        <v>1069</v>
      </c>
      <c r="H16" s="5" t="s">
        <v>1067</v>
      </c>
      <c r="I16" s="11" t="b">
        <f t="shared" si="2"/>
        <v>1</v>
      </c>
      <c r="K16" s="11" t="b">
        <f t="shared" si="3"/>
        <v>0</v>
      </c>
    </row>
    <row r="17" ht="22.5" customHeight="1">
      <c r="A17" s="12">
        <f t="shared" si="4"/>
        <v>315</v>
      </c>
      <c r="B17" s="6" t="s">
        <v>1070</v>
      </c>
      <c r="C17" s="7" t="str">
        <f t="shared" si="1"/>
        <v>🔊</v>
      </c>
      <c r="D17" s="22" t="s">
        <v>1071</v>
      </c>
      <c r="E17" s="6" t="s">
        <v>27</v>
      </c>
      <c r="F17" s="5" t="s">
        <v>1072</v>
      </c>
      <c r="G17" s="20" t="s">
        <v>1073</v>
      </c>
      <c r="H17" s="5" t="s">
        <v>1074</v>
      </c>
      <c r="I17" s="11" t="b">
        <f t="shared" si="2"/>
        <v>0</v>
      </c>
      <c r="K17" s="11" t="b">
        <f t="shared" si="3"/>
        <v>0</v>
      </c>
    </row>
    <row r="18" ht="22.5" customHeight="1">
      <c r="A18" s="12">
        <f t="shared" si="4"/>
        <v>316</v>
      </c>
      <c r="B18" s="6" t="s">
        <v>1075</v>
      </c>
      <c r="C18" s="7" t="str">
        <f t="shared" si="1"/>
        <v>🔊</v>
      </c>
      <c r="D18" s="22" t="s">
        <v>1076</v>
      </c>
      <c r="E18" s="6" t="s">
        <v>13</v>
      </c>
      <c r="F18" s="5" t="s">
        <v>1077</v>
      </c>
      <c r="G18" s="20" t="s">
        <v>1078</v>
      </c>
      <c r="I18" s="11" t="b">
        <f t="shared" si="2"/>
        <v>0</v>
      </c>
      <c r="K18" s="11" t="b">
        <f t="shared" si="3"/>
        <v>0</v>
      </c>
    </row>
    <row r="19" ht="22.5" customHeight="1">
      <c r="A19" s="12">
        <f t="shared" si="4"/>
        <v>317</v>
      </c>
      <c r="B19" s="6" t="s">
        <v>1079</v>
      </c>
      <c r="C19" s="7" t="str">
        <f t="shared" si="1"/>
        <v>🔊</v>
      </c>
      <c r="D19" s="22" t="s">
        <v>1080</v>
      </c>
      <c r="E19" s="6" t="s">
        <v>27</v>
      </c>
      <c r="F19" s="12" t="str">
        <f>IFERROR(__xludf.DUMMYFUNCTION("GOOGLETRANSLATE(B19,""zh_cn"",""vi"")"),"giường")</f>
        <v>giường</v>
      </c>
      <c r="G19" s="20" t="s">
        <v>1081</v>
      </c>
      <c r="H19" s="5" t="s">
        <v>1079</v>
      </c>
      <c r="I19" s="11" t="b">
        <f t="shared" si="2"/>
        <v>1</v>
      </c>
      <c r="K19" s="11" t="b">
        <f t="shared" si="3"/>
        <v>0</v>
      </c>
    </row>
    <row r="20" ht="22.5" customHeight="1">
      <c r="A20" s="12">
        <f t="shared" si="4"/>
        <v>318</v>
      </c>
      <c r="B20" s="6" t="s">
        <v>1082</v>
      </c>
      <c r="C20" s="7" t="str">
        <f t="shared" si="1"/>
        <v>🔊</v>
      </c>
      <c r="D20" s="22" t="s">
        <v>1083</v>
      </c>
      <c r="E20" s="6" t="s">
        <v>13</v>
      </c>
      <c r="F20" s="12" t="str">
        <f>IFERROR(__xludf.DUMMYFUNCTION("GOOGLETRANSLATE(B20,""zh_cn"",""vi"")"),"Đi nước ngoài")</f>
        <v>Đi nước ngoài</v>
      </c>
      <c r="G20" s="20" t="s">
        <v>1084</v>
      </c>
      <c r="H20" s="5" t="s">
        <v>1082</v>
      </c>
      <c r="I20" s="11" t="b">
        <f t="shared" si="2"/>
        <v>1</v>
      </c>
      <c r="K20" s="11" t="b">
        <f t="shared" si="3"/>
        <v>0</v>
      </c>
    </row>
    <row r="21" ht="22.5" customHeight="1">
      <c r="A21" s="12">
        <f t="shared" si="4"/>
        <v>319</v>
      </c>
      <c r="B21" s="6" t="s">
        <v>1085</v>
      </c>
      <c r="C21" s="7" t="str">
        <f t="shared" si="1"/>
        <v>🔊</v>
      </c>
      <c r="D21" s="22" t="s">
        <v>1086</v>
      </c>
      <c r="E21" s="6" t="s">
        <v>13</v>
      </c>
      <c r="F21" s="5" t="s">
        <v>1087</v>
      </c>
      <c r="G21" s="20" t="s">
        <v>1088</v>
      </c>
      <c r="H21" s="5" t="s">
        <v>1089</v>
      </c>
      <c r="I21" s="11" t="b">
        <f t="shared" si="2"/>
        <v>0</v>
      </c>
      <c r="K21" s="11" t="b">
        <f t="shared" si="3"/>
        <v>0</v>
      </c>
    </row>
    <row r="22" ht="22.5" customHeight="1">
      <c r="A22" s="12">
        <f t="shared" si="4"/>
        <v>320</v>
      </c>
      <c r="B22" s="6" t="s">
        <v>1090</v>
      </c>
      <c r="C22" s="7" t="str">
        <f t="shared" si="1"/>
        <v>🔊</v>
      </c>
      <c r="D22" s="22" t="s">
        <v>1091</v>
      </c>
      <c r="E22" s="6" t="s">
        <v>13</v>
      </c>
      <c r="F22" s="12" t="str">
        <f>IFERROR(__xludf.DUMMYFUNCTION("GOOGLETRANSLATE(B22,""zh_cn"",""vi"")"),"Đi ra ngoài")</f>
        <v>Đi ra ngoài</v>
      </c>
      <c r="G22" s="20" t="s">
        <v>1092</v>
      </c>
      <c r="I22" s="11" t="b">
        <f t="shared" si="2"/>
        <v>0</v>
      </c>
      <c r="K22" s="11" t="b">
        <f t="shared" si="3"/>
        <v>0</v>
      </c>
    </row>
    <row r="23" ht="22.5" customHeight="1">
      <c r="A23" s="12">
        <f t="shared" si="4"/>
        <v>321</v>
      </c>
      <c r="B23" s="6" t="s">
        <v>1089</v>
      </c>
      <c r="C23" s="7" t="str">
        <f t="shared" si="1"/>
        <v>🔊</v>
      </c>
      <c r="D23" s="22" t="s">
        <v>1093</v>
      </c>
      <c r="E23" s="6" t="s">
        <v>13</v>
      </c>
      <c r="F23" s="5" t="s">
        <v>1094</v>
      </c>
      <c r="G23" s="20" t="s">
        <v>1095</v>
      </c>
      <c r="I23" s="11" t="b">
        <f t="shared" si="2"/>
        <v>0</v>
      </c>
      <c r="K23" s="11" t="b">
        <f t="shared" si="3"/>
        <v>0</v>
      </c>
    </row>
    <row r="24" ht="22.5" customHeight="1">
      <c r="A24" s="12">
        <f t="shared" si="4"/>
        <v>322</v>
      </c>
      <c r="B24" s="6" t="s">
        <v>1096</v>
      </c>
      <c r="C24" s="7" t="str">
        <f t="shared" si="1"/>
        <v>🔊</v>
      </c>
      <c r="D24" s="22" t="s">
        <v>1097</v>
      </c>
      <c r="E24" s="6" t="s">
        <v>27</v>
      </c>
      <c r="F24" s="12" t="str">
        <f>IFERROR(__xludf.DUMMYFUNCTION("GOOGLETRANSLATE(B24,""zh_cn"",""vi"")"),"từ")</f>
        <v>từ</v>
      </c>
      <c r="G24" s="20" t="s">
        <v>1098</v>
      </c>
      <c r="H24" s="5" t="s">
        <v>1096</v>
      </c>
      <c r="I24" s="11" t="b">
        <f t="shared" si="2"/>
        <v>1</v>
      </c>
      <c r="K24" s="11" t="b">
        <f t="shared" si="3"/>
        <v>0</v>
      </c>
    </row>
    <row r="25" ht="22.5" customHeight="1">
      <c r="A25" s="12">
        <f t="shared" si="4"/>
        <v>323</v>
      </c>
      <c r="B25" s="6" t="s">
        <v>1099</v>
      </c>
      <c r="C25" s="7" t="str">
        <f t="shared" si="1"/>
        <v>🔊</v>
      </c>
      <c r="D25" s="22" t="s">
        <v>1100</v>
      </c>
      <c r="E25" s="6" t="s">
        <v>1101</v>
      </c>
      <c r="F25" s="5" t="s">
        <v>1102</v>
      </c>
      <c r="G25" s="20" t="s">
        <v>1103</v>
      </c>
      <c r="I25" s="11" t="b">
        <f t="shared" si="2"/>
        <v>0</v>
      </c>
      <c r="K25" s="11" t="b">
        <f t="shared" si="3"/>
        <v>0</v>
      </c>
    </row>
    <row r="26" ht="22.5" customHeight="1">
      <c r="A26" s="12">
        <f t="shared" si="4"/>
        <v>324</v>
      </c>
      <c r="B26" s="6" t="s">
        <v>1104</v>
      </c>
      <c r="C26" s="7" t="str">
        <f t="shared" si="1"/>
        <v>🔊</v>
      </c>
      <c r="D26" s="22" t="s">
        <v>1105</v>
      </c>
      <c r="E26" s="6" t="s">
        <v>1106</v>
      </c>
      <c r="F26" s="12" t="str">
        <f>IFERROR(__xludf.DUMMYFUNCTION("GOOGLETRANSLATE(B26,""zh_cn"",""vi"")"),"từ")</f>
        <v>từ</v>
      </c>
      <c r="G26" s="20" t="s">
        <v>1107</v>
      </c>
      <c r="H26" s="5" t="s">
        <v>1104</v>
      </c>
      <c r="I26" s="11" t="b">
        <f t="shared" si="2"/>
        <v>1</v>
      </c>
      <c r="K26" s="11" t="b">
        <f t="shared" si="3"/>
        <v>0</v>
      </c>
    </row>
    <row r="27" ht="22.5" customHeight="1">
      <c r="A27" s="12">
        <f t="shared" si="4"/>
        <v>325</v>
      </c>
      <c r="B27" s="6" t="s">
        <v>1108</v>
      </c>
      <c r="C27" s="7" t="str">
        <f t="shared" si="1"/>
        <v>🔊</v>
      </c>
      <c r="D27" s="22" t="s">
        <v>1109</v>
      </c>
      <c r="E27" s="6" t="s">
        <v>61</v>
      </c>
      <c r="F27" s="12" t="str">
        <f>IFERROR(__xludf.DUMMYFUNCTION("GOOGLETRANSLATE(B27,""zh_cn"",""vi"")"),"Từ thời thơ ấu")</f>
        <v>Từ thời thơ ấu</v>
      </c>
      <c r="G27" s="20" t="s">
        <v>1110</v>
      </c>
      <c r="H27" s="5" t="s">
        <v>1108</v>
      </c>
      <c r="I27" s="11" t="b">
        <f t="shared" si="2"/>
        <v>1</v>
      </c>
      <c r="K27" s="11" t="b">
        <f t="shared" si="3"/>
        <v>0</v>
      </c>
    </row>
    <row r="28" ht="22.5" customHeight="1">
      <c r="A28" s="12">
        <f t="shared" si="4"/>
        <v>326</v>
      </c>
      <c r="B28" s="6" t="s">
        <v>1111</v>
      </c>
      <c r="C28" s="7" t="str">
        <f t="shared" si="1"/>
        <v>🔊</v>
      </c>
      <c r="D28" s="22" t="s">
        <v>1112</v>
      </c>
      <c r="E28" s="6" t="s">
        <v>99</v>
      </c>
      <c r="F28" s="12" t="str">
        <f>IFERROR(__xludf.DUMMYFUNCTION("GOOGLETRANSLATE(B28,""zh_cn"",""vi"")"),"sai")</f>
        <v>sai</v>
      </c>
      <c r="G28" s="20" t="s">
        <v>1113</v>
      </c>
      <c r="H28" s="5" t="s">
        <v>1111</v>
      </c>
      <c r="I28" s="11" t="b">
        <f t="shared" si="2"/>
        <v>1</v>
      </c>
      <c r="K28" s="11" t="b">
        <f t="shared" si="3"/>
        <v>0</v>
      </c>
    </row>
    <row r="29" ht="22.5" customHeight="1">
      <c r="A29" s="12">
        <f t="shared" si="4"/>
        <v>327</v>
      </c>
      <c r="B29" s="6" t="s">
        <v>1114</v>
      </c>
      <c r="C29" s="7" t="str">
        <f t="shared" si="1"/>
        <v>🔊</v>
      </c>
      <c r="D29" s="22" t="s">
        <v>1115</v>
      </c>
      <c r="E29" s="6" t="s">
        <v>13</v>
      </c>
      <c r="F29" s="5" t="s">
        <v>1116</v>
      </c>
      <c r="G29" s="20" t="s">
        <v>1117</v>
      </c>
      <c r="H29" s="5" t="s">
        <v>1114</v>
      </c>
      <c r="I29" s="11" t="b">
        <f t="shared" si="2"/>
        <v>1</v>
      </c>
      <c r="K29" s="11" t="b">
        <f t="shared" si="3"/>
        <v>0</v>
      </c>
    </row>
    <row r="30" ht="22.5" customHeight="1">
      <c r="A30" s="12">
        <f t="shared" si="4"/>
        <v>328</v>
      </c>
      <c r="B30" s="6" t="s">
        <v>1118</v>
      </c>
      <c r="C30" s="7" t="str">
        <f t="shared" si="1"/>
        <v>🔊</v>
      </c>
      <c r="D30" s="22" t="s">
        <v>1119</v>
      </c>
      <c r="E30" s="6" t="s">
        <v>13</v>
      </c>
      <c r="F30" s="5" t="s">
        <v>1120</v>
      </c>
      <c r="G30" s="20" t="s">
        <v>1121</v>
      </c>
      <c r="H30" s="5" t="s">
        <v>1118</v>
      </c>
      <c r="I30" s="11" t="b">
        <f t="shared" si="2"/>
        <v>1</v>
      </c>
      <c r="K30" s="11" t="b">
        <f t="shared" si="3"/>
        <v>0</v>
      </c>
    </row>
    <row r="31" ht="22.5" customHeight="1">
      <c r="A31" s="12">
        <f t="shared" si="4"/>
        <v>329</v>
      </c>
      <c r="B31" s="6" t="s">
        <v>1122</v>
      </c>
      <c r="C31" s="7" t="str">
        <f t="shared" si="1"/>
        <v>🔊</v>
      </c>
      <c r="D31" s="22" t="s">
        <v>1123</v>
      </c>
      <c r="E31" s="6" t="s">
        <v>13</v>
      </c>
      <c r="F31" s="5" t="s">
        <v>1124</v>
      </c>
      <c r="G31" s="20" t="s">
        <v>1125</v>
      </c>
      <c r="H31" s="5" t="s">
        <v>1122</v>
      </c>
      <c r="I31" s="11" t="b">
        <f t="shared" si="2"/>
        <v>1</v>
      </c>
      <c r="K31" s="11" t="b">
        <f t="shared" si="3"/>
        <v>0</v>
      </c>
    </row>
    <row r="32" ht="22.5" customHeight="1">
      <c r="A32" s="12">
        <f t="shared" si="4"/>
        <v>330</v>
      </c>
      <c r="B32" s="6" t="s">
        <v>1126</v>
      </c>
      <c r="C32" s="7" t="str">
        <f t="shared" si="1"/>
        <v>🔊</v>
      </c>
      <c r="D32" s="22" t="s">
        <v>1127</v>
      </c>
      <c r="E32" s="6" t="s">
        <v>1128</v>
      </c>
      <c r="F32" s="12" t="str">
        <f>IFERROR(__xludf.DUMMYFUNCTION("GOOGLETRANSLATE(B32,""zh_cn"",""vi"")"),"Nhưng")</f>
        <v>Nhưng</v>
      </c>
      <c r="G32" s="20" t="s">
        <v>1129</v>
      </c>
      <c r="H32" s="5" t="s">
        <v>1126</v>
      </c>
      <c r="I32" s="11" t="b">
        <f t="shared" si="2"/>
        <v>1</v>
      </c>
      <c r="K32" s="11" t="b">
        <f t="shared" si="3"/>
        <v>0</v>
      </c>
    </row>
    <row r="33" ht="22.5" customHeight="1">
      <c r="A33" s="12">
        <f t="shared" si="4"/>
        <v>331</v>
      </c>
      <c r="B33" s="6" t="s">
        <v>1130</v>
      </c>
      <c r="C33" s="7" t="str">
        <f t="shared" si="1"/>
        <v>🔊</v>
      </c>
      <c r="D33" s="22" t="s">
        <v>1131</v>
      </c>
      <c r="E33" s="6" t="s">
        <v>1132</v>
      </c>
      <c r="F33" s="5" t="s">
        <v>1133</v>
      </c>
      <c r="G33" s="20" t="s">
        <v>1134</v>
      </c>
      <c r="H33" s="5" t="s">
        <v>1130</v>
      </c>
      <c r="I33" s="11" t="b">
        <f t="shared" si="2"/>
        <v>1</v>
      </c>
      <c r="K33" s="11" t="b">
        <f t="shared" si="3"/>
        <v>0</v>
      </c>
    </row>
    <row r="34" ht="22.5" customHeight="1">
      <c r="A34" s="12">
        <f t="shared" si="4"/>
        <v>332</v>
      </c>
      <c r="B34" s="6" t="s">
        <v>1135</v>
      </c>
      <c r="C34" s="7" t="str">
        <f t="shared" si="1"/>
        <v>🔊</v>
      </c>
      <c r="D34" s="22" t="s">
        <v>118</v>
      </c>
      <c r="E34" s="6" t="s">
        <v>18</v>
      </c>
      <c r="F34" s="5" t="s">
        <v>1136</v>
      </c>
      <c r="G34" s="20" t="s">
        <v>1137</v>
      </c>
      <c r="I34" s="11" t="b">
        <f t="shared" si="2"/>
        <v>0</v>
      </c>
      <c r="K34" s="11" t="b">
        <f t="shared" si="3"/>
        <v>0</v>
      </c>
    </row>
    <row r="35" ht="22.5" customHeight="1">
      <c r="A35" s="12">
        <f t="shared" si="4"/>
        <v>333</v>
      </c>
      <c r="B35" s="6" t="s">
        <v>1138</v>
      </c>
      <c r="C35" s="7" t="str">
        <f t="shared" si="1"/>
        <v>🔊</v>
      </c>
      <c r="D35" s="22" t="s">
        <v>118</v>
      </c>
      <c r="E35" s="6" t="s">
        <v>18</v>
      </c>
      <c r="F35" s="5" t="s">
        <v>1139</v>
      </c>
      <c r="G35" s="20" t="s">
        <v>1140</v>
      </c>
      <c r="I35" s="11" t="b">
        <f t="shared" si="2"/>
        <v>0</v>
      </c>
      <c r="K35" s="11" t="b">
        <f t="shared" si="3"/>
        <v>0</v>
      </c>
    </row>
    <row r="36" ht="22.5" customHeight="1">
      <c r="A36" s="12">
        <f t="shared" si="4"/>
        <v>334</v>
      </c>
      <c r="B36" s="6" t="s">
        <v>1141</v>
      </c>
      <c r="C36" s="7" t="str">
        <f t="shared" si="1"/>
        <v>🔊</v>
      </c>
      <c r="D36" s="22" t="s">
        <v>1142</v>
      </c>
      <c r="E36" s="6" t="s">
        <v>225</v>
      </c>
      <c r="F36" s="12" t="str">
        <f>IFERROR(__xludf.DUMMYFUNCTION("GOOGLETRANSLATE(B36,""zh_cn"",""vi"")"),"Chờ đợi")</f>
        <v>Chờ đợi</v>
      </c>
      <c r="G36" s="20" t="s">
        <v>1143</v>
      </c>
      <c r="H36" s="5" t="s">
        <v>1141</v>
      </c>
      <c r="I36" s="11" t="b">
        <f t="shared" si="2"/>
        <v>1</v>
      </c>
      <c r="K36" s="11" t="b">
        <f t="shared" si="3"/>
        <v>0</v>
      </c>
    </row>
    <row r="37" ht="22.5" customHeight="1">
      <c r="A37" s="12">
        <f t="shared" si="4"/>
        <v>335</v>
      </c>
      <c r="B37" s="6" t="s">
        <v>128</v>
      </c>
      <c r="C37" s="7" t="str">
        <f t="shared" si="1"/>
        <v>🔊</v>
      </c>
      <c r="D37" s="22" t="s">
        <v>129</v>
      </c>
      <c r="E37" s="6" t="s">
        <v>1144</v>
      </c>
      <c r="F37" s="12" t="str">
        <f>IFERROR(__xludf.DUMMYFUNCTION("GOOGLETRANSLATE(B37,""zh_cn"",""vi"")"),"điểm")</f>
        <v>điểm</v>
      </c>
      <c r="G37" s="20" t="s">
        <v>1145</v>
      </c>
      <c r="H37" s="5" t="s">
        <v>128</v>
      </c>
      <c r="I37" s="11" t="b">
        <f t="shared" si="2"/>
        <v>1</v>
      </c>
      <c r="K37" s="11" t="b">
        <f t="shared" si="3"/>
        <v>0</v>
      </c>
    </row>
    <row r="38" ht="22.5" customHeight="1">
      <c r="A38" s="12">
        <f t="shared" si="4"/>
        <v>336</v>
      </c>
      <c r="B38" s="6" t="s">
        <v>1146</v>
      </c>
      <c r="C38" s="7" t="str">
        <f t="shared" si="1"/>
        <v>🔊</v>
      </c>
      <c r="D38" s="22" t="s">
        <v>1147</v>
      </c>
      <c r="E38" s="6" t="s">
        <v>27</v>
      </c>
      <c r="F38" s="12" t="str">
        <f>IFERROR(__xludf.DUMMYFUNCTION("GOOGLETRANSLATE(B38,""zh_cn"",""vi"")"),"tàu điện ngầm")</f>
        <v>tàu điện ngầm</v>
      </c>
      <c r="G38" s="20" t="s">
        <v>1148</v>
      </c>
      <c r="H38" s="5" t="s">
        <v>1146</v>
      </c>
      <c r="I38" s="11" t="b">
        <f t="shared" si="2"/>
        <v>1</v>
      </c>
      <c r="K38" s="11" t="b">
        <f t="shared" si="3"/>
        <v>0</v>
      </c>
    </row>
    <row r="39" ht="22.5" customHeight="1">
      <c r="A39" s="12">
        <f t="shared" si="4"/>
        <v>337</v>
      </c>
      <c r="B39" s="6" t="s">
        <v>13</v>
      </c>
      <c r="C39" s="7" t="str">
        <f t="shared" si="1"/>
        <v>🔊</v>
      </c>
      <c r="D39" s="22" t="s">
        <v>1149</v>
      </c>
      <c r="E39" s="6" t="s">
        <v>13</v>
      </c>
      <c r="F39" s="5" t="s">
        <v>1150</v>
      </c>
      <c r="G39" s="20" t="s">
        <v>1151</v>
      </c>
      <c r="H39" s="5" t="s">
        <v>13</v>
      </c>
      <c r="I39" s="11" t="b">
        <f t="shared" si="2"/>
        <v>1</v>
      </c>
      <c r="K39" s="11" t="b">
        <f t="shared" si="3"/>
        <v>0</v>
      </c>
    </row>
    <row r="40" ht="22.5" customHeight="1">
      <c r="A40" s="12">
        <f t="shared" si="4"/>
        <v>338</v>
      </c>
      <c r="B40" s="6" t="s">
        <v>1152</v>
      </c>
      <c r="C40" s="7" t="str">
        <f t="shared" si="1"/>
        <v>🔊</v>
      </c>
      <c r="D40" s="22" t="s">
        <v>1153</v>
      </c>
      <c r="E40" s="6" t="s">
        <v>13</v>
      </c>
      <c r="F40" s="12" t="str">
        <f>IFERROR(__xludf.DUMMYFUNCTION("GOOGLETRANSLATE(B40,""zh_cn"",""vi"")"),"Hiểu")</f>
        <v>Hiểu</v>
      </c>
      <c r="G40" s="20" t="s">
        <v>1154</v>
      </c>
      <c r="H40" s="5" t="s">
        <v>1152</v>
      </c>
      <c r="I40" s="11" t="b">
        <f t="shared" si="2"/>
        <v>1</v>
      </c>
      <c r="K40" s="11" t="b">
        <f t="shared" si="3"/>
        <v>0</v>
      </c>
    </row>
    <row r="41" ht="22.5" customHeight="1">
      <c r="A41" s="12">
        <f t="shared" si="4"/>
        <v>339</v>
      </c>
      <c r="B41" s="6" t="s">
        <v>1155</v>
      </c>
      <c r="C41" s="7" t="str">
        <f t="shared" si="1"/>
        <v>🔊</v>
      </c>
      <c r="D41" s="22" t="s">
        <v>1156</v>
      </c>
      <c r="E41" s="6" t="s">
        <v>27</v>
      </c>
      <c r="F41" s="5" t="s">
        <v>1157</v>
      </c>
      <c r="G41" s="20" t="s">
        <v>1158</v>
      </c>
      <c r="H41" s="5" t="s">
        <v>190</v>
      </c>
      <c r="I41" s="11" t="b">
        <f t="shared" si="2"/>
        <v>0</v>
      </c>
      <c r="K41" s="11" t="b">
        <f t="shared" si="3"/>
        <v>0</v>
      </c>
    </row>
    <row r="42" ht="22.5" customHeight="1">
      <c r="A42" s="12">
        <f t="shared" si="4"/>
        <v>340</v>
      </c>
      <c r="B42" s="6" t="s">
        <v>1159</v>
      </c>
      <c r="C42" s="7" t="str">
        <f t="shared" si="1"/>
        <v>🔊</v>
      </c>
      <c r="D42" s="22" t="s">
        <v>1160</v>
      </c>
      <c r="E42" s="6" t="s">
        <v>13</v>
      </c>
      <c r="F42" s="12" t="str">
        <f>IFERROR(__xludf.DUMMYFUNCTION("GOOGLETRANSLATE(B42,""zh_cn"",""vi"")"),"bay")</f>
        <v>bay</v>
      </c>
      <c r="G42" s="20" t="s">
        <v>1161</v>
      </c>
      <c r="H42" s="5" t="s">
        <v>1159</v>
      </c>
      <c r="I42" s="11" t="b">
        <f t="shared" si="2"/>
        <v>1</v>
      </c>
      <c r="K42" s="11" t="b">
        <f t="shared" si="3"/>
        <v>0</v>
      </c>
    </row>
    <row r="43" ht="22.5" customHeight="1">
      <c r="A43" s="12">
        <f t="shared" si="4"/>
        <v>341</v>
      </c>
      <c r="B43" s="6" t="s">
        <v>1162</v>
      </c>
      <c r="C43" s="7" t="str">
        <f t="shared" si="1"/>
        <v>🔊</v>
      </c>
      <c r="D43" s="22" t="s">
        <v>1163</v>
      </c>
      <c r="E43" s="6" t="s">
        <v>1164</v>
      </c>
      <c r="F43" s="12" t="str">
        <f>IFERROR(__xludf.DUMMYFUNCTION("GOOGLETRANSLATE(B43,""zh_cn"",""vi"")"),"cao")</f>
        <v>cao</v>
      </c>
      <c r="G43" s="20" t="s">
        <v>1165</v>
      </c>
      <c r="H43" s="5" t="s">
        <v>1162</v>
      </c>
      <c r="I43" s="11" t="b">
        <f t="shared" si="2"/>
        <v>1</v>
      </c>
      <c r="K43" s="11" t="b">
        <f t="shared" si="3"/>
        <v>0</v>
      </c>
    </row>
    <row r="44" ht="22.5" customHeight="1">
      <c r="A44" s="12">
        <f t="shared" si="4"/>
        <v>342</v>
      </c>
      <c r="B44" s="6" t="s">
        <v>1166</v>
      </c>
      <c r="C44" s="7" t="str">
        <f t="shared" si="1"/>
        <v>🔊</v>
      </c>
      <c r="D44" s="22" t="s">
        <v>1167</v>
      </c>
      <c r="E44" s="6" t="s">
        <v>13</v>
      </c>
      <c r="F44" s="5" t="s">
        <v>1168</v>
      </c>
      <c r="G44" s="20" t="s">
        <v>1169</v>
      </c>
      <c r="I44" s="11" t="b">
        <f t="shared" si="2"/>
        <v>0</v>
      </c>
      <c r="K44" s="11" t="b">
        <f t="shared" si="3"/>
        <v>0</v>
      </c>
    </row>
    <row r="45" ht="22.5" customHeight="1">
      <c r="A45" s="12">
        <f t="shared" si="4"/>
        <v>343</v>
      </c>
      <c r="B45" s="6" t="s">
        <v>1170</v>
      </c>
      <c r="C45" s="7" t="str">
        <f t="shared" si="1"/>
        <v>🔊</v>
      </c>
      <c r="D45" s="22" t="s">
        <v>1171</v>
      </c>
      <c r="E45" s="6" t="s">
        <v>27</v>
      </c>
      <c r="F45" s="5" t="s">
        <v>1172</v>
      </c>
      <c r="G45" s="20" t="s">
        <v>1173</v>
      </c>
      <c r="H45" s="5" t="s">
        <v>1170</v>
      </c>
      <c r="I45" s="11" t="b">
        <f t="shared" si="2"/>
        <v>1</v>
      </c>
      <c r="K45" s="11" t="b">
        <f t="shared" si="3"/>
        <v>0</v>
      </c>
    </row>
    <row r="46" ht="22.5" customHeight="1">
      <c r="A46" s="12">
        <f t="shared" si="4"/>
        <v>344</v>
      </c>
      <c r="B46" s="6" t="s">
        <v>1174</v>
      </c>
      <c r="C46" s="7" t="str">
        <f t="shared" si="1"/>
        <v>🔊</v>
      </c>
      <c r="D46" s="22" t="s">
        <v>1175</v>
      </c>
      <c r="E46" s="6" t="s">
        <v>1176</v>
      </c>
      <c r="F46" s="5" t="s">
        <v>1177</v>
      </c>
      <c r="G46" s="20" t="s">
        <v>1178</v>
      </c>
      <c r="H46" s="5" t="s">
        <v>1174</v>
      </c>
      <c r="I46" s="11" t="b">
        <f t="shared" si="2"/>
        <v>1</v>
      </c>
      <c r="K46" s="11" t="b">
        <f t="shared" si="3"/>
        <v>0</v>
      </c>
    </row>
    <row r="47" ht="22.5" customHeight="1">
      <c r="A47" s="12">
        <f t="shared" si="4"/>
        <v>345</v>
      </c>
      <c r="B47" s="6" t="s">
        <v>1179</v>
      </c>
      <c r="C47" s="7" t="str">
        <f t="shared" si="1"/>
        <v>🔊</v>
      </c>
      <c r="D47" s="22" t="s">
        <v>1180</v>
      </c>
      <c r="E47" s="6" t="s">
        <v>27</v>
      </c>
      <c r="F47" s="12" t="str">
        <f>IFERROR(__xludf.DUMMYFUNCTION("GOOGLETRANSLATE(B47,""zh_cn"",""vi"")"),"Chiều cao")</f>
        <v>Chiều cao</v>
      </c>
      <c r="G47" s="20" t="s">
        <v>1181</v>
      </c>
      <c r="H47" s="5" t="s">
        <v>1179</v>
      </c>
      <c r="I47" s="11" t="b">
        <f t="shared" si="2"/>
        <v>1</v>
      </c>
      <c r="K47" s="11" t="b">
        <f t="shared" si="3"/>
        <v>0</v>
      </c>
    </row>
    <row r="48" ht="22.5" customHeight="1">
      <c r="A48" s="12">
        <f t="shared" si="4"/>
        <v>346</v>
      </c>
      <c r="B48" s="6" t="s">
        <v>1182</v>
      </c>
      <c r="C48" s="7" t="str">
        <f t="shared" si="1"/>
        <v>🔊</v>
      </c>
      <c r="D48" s="22" t="s">
        <v>1183</v>
      </c>
      <c r="E48" s="6" t="s">
        <v>27</v>
      </c>
      <c r="F48" s="12" t="str">
        <f>IFERROR(__xludf.DUMMYFUNCTION("GOOGLETRANSLATE(B48,""zh_cn"",""vi"")"),"xe buýt")</f>
        <v>xe buýt</v>
      </c>
      <c r="G48" s="20" t="s">
        <v>1184</v>
      </c>
      <c r="H48" s="5" t="s">
        <v>1185</v>
      </c>
      <c r="I48" s="11" t="b">
        <f t="shared" si="2"/>
        <v>0</v>
      </c>
      <c r="K48" s="11" t="b">
        <f t="shared" si="3"/>
        <v>0</v>
      </c>
    </row>
    <row r="49" ht="22.5" customHeight="1">
      <c r="A49" s="12">
        <f t="shared" si="4"/>
        <v>347</v>
      </c>
      <c r="B49" s="6" t="s">
        <v>1186</v>
      </c>
      <c r="C49" s="7" t="str">
        <f t="shared" si="1"/>
        <v>🔊</v>
      </c>
      <c r="D49" s="22" t="s">
        <v>1187</v>
      </c>
      <c r="E49" s="6" t="s">
        <v>18</v>
      </c>
      <c r="F49" s="5" t="s">
        <v>1188</v>
      </c>
      <c r="G49" s="20" t="s">
        <v>1189</v>
      </c>
      <c r="H49" s="5" t="s">
        <v>1186</v>
      </c>
      <c r="I49" s="11" t="b">
        <f t="shared" si="2"/>
        <v>1</v>
      </c>
      <c r="K49" s="11" t="b">
        <f t="shared" si="3"/>
        <v>0</v>
      </c>
    </row>
    <row r="50" ht="22.5" customHeight="1">
      <c r="A50" s="12">
        <f t="shared" si="4"/>
        <v>348</v>
      </c>
      <c r="B50" s="6" t="s">
        <v>1186</v>
      </c>
      <c r="C50" s="7" t="str">
        <f t="shared" si="1"/>
        <v>🔊</v>
      </c>
      <c r="D50" s="22" t="s">
        <v>1190</v>
      </c>
      <c r="E50" s="6" t="s">
        <v>13</v>
      </c>
      <c r="F50" s="5" t="s">
        <v>1191</v>
      </c>
      <c r="G50" s="20" t="s">
        <v>1189</v>
      </c>
      <c r="H50" s="5" t="s">
        <v>1186</v>
      </c>
      <c r="I50" s="11" t="b">
        <f t="shared" si="2"/>
        <v>1</v>
      </c>
      <c r="K50" s="11" t="b">
        <f t="shared" si="3"/>
        <v>0</v>
      </c>
    </row>
    <row r="51" ht="22.5" customHeight="1">
      <c r="A51" s="12">
        <f t="shared" si="4"/>
        <v>349</v>
      </c>
      <c r="B51" s="6" t="s">
        <v>1192</v>
      </c>
      <c r="C51" s="7" t="str">
        <f t="shared" si="1"/>
        <v>🔊</v>
      </c>
      <c r="D51" s="22" t="s">
        <v>1193</v>
      </c>
      <c r="E51" s="6" t="s">
        <v>13</v>
      </c>
      <c r="F51" s="12" t="str">
        <f>IFERROR(__xludf.DUMMYFUNCTION("GOOGLETRANSLATE(B51,""zh_cn"",""vi"")"),"đến đây")</f>
        <v>đến đây</v>
      </c>
      <c r="G51" s="20" t="s">
        <v>1194</v>
      </c>
      <c r="H51" s="5" t="s">
        <v>1192</v>
      </c>
      <c r="I51" s="11" t="b">
        <f t="shared" si="2"/>
        <v>1</v>
      </c>
      <c r="K51" s="11" t="b">
        <f t="shared" si="3"/>
        <v>0</v>
      </c>
    </row>
    <row r="52" ht="22.5" customHeight="1">
      <c r="A52" s="12">
        <f t="shared" si="4"/>
        <v>350</v>
      </c>
      <c r="B52" s="6" t="s">
        <v>1195</v>
      </c>
      <c r="C52" s="7" t="str">
        <f t="shared" si="1"/>
        <v>🔊</v>
      </c>
      <c r="D52" s="22" t="s">
        <v>1196</v>
      </c>
      <c r="E52" s="6" t="s">
        <v>13</v>
      </c>
      <c r="F52" s="12" t="str">
        <f>IFERROR(__xludf.DUMMYFUNCTION("GOOGLETRANSLATE(B52,""zh_cn"",""vi"")"),"Tết Nguyên Đán Trung Quốc")</f>
        <v>Tết Nguyên Đán Trung Quốc</v>
      </c>
      <c r="G52" s="20" t="s">
        <v>1197</v>
      </c>
      <c r="H52" s="5" t="s">
        <v>1195</v>
      </c>
      <c r="I52" s="11" t="b">
        <f t="shared" si="2"/>
        <v>1</v>
      </c>
      <c r="K52" s="11" t="b">
        <f t="shared" si="3"/>
        <v>0</v>
      </c>
    </row>
    <row r="53" ht="22.5" customHeight="1">
      <c r="A53" s="12">
        <f t="shared" si="4"/>
        <v>351</v>
      </c>
      <c r="B53" s="6" t="s">
        <v>1198</v>
      </c>
      <c r="C53" s="7" t="str">
        <f t="shared" si="1"/>
        <v>🔊</v>
      </c>
      <c r="D53" s="22" t="s">
        <v>1199</v>
      </c>
      <c r="E53" s="6" t="s">
        <v>13</v>
      </c>
      <c r="F53" s="12" t="str">
        <f>IFERROR(__xludf.DUMMYFUNCTION("GOOGLETRANSLATE(B53,""zh_cn"",""vi"")"),"quá khứ")</f>
        <v>quá khứ</v>
      </c>
      <c r="G53" s="20" t="s">
        <v>1200</v>
      </c>
      <c r="H53" s="5" t="s">
        <v>1198</v>
      </c>
      <c r="I53" s="11" t="b">
        <f t="shared" si="2"/>
        <v>1</v>
      </c>
      <c r="K53" s="11" t="b">
        <f t="shared" si="3"/>
        <v>0</v>
      </c>
    </row>
    <row r="54" ht="22.5" customHeight="1">
      <c r="A54" s="12">
        <f t="shared" si="4"/>
        <v>352</v>
      </c>
      <c r="B54" s="6" t="s">
        <v>1201</v>
      </c>
      <c r="C54" s="7" t="str">
        <f t="shared" si="1"/>
        <v>🔊</v>
      </c>
      <c r="D54" s="22" t="s">
        <v>1202</v>
      </c>
      <c r="E54" s="6" t="s">
        <v>1203</v>
      </c>
      <c r="F54" s="5" t="s">
        <v>1204</v>
      </c>
      <c r="G54" s="20" t="s">
        <v>1205</v>
      </c>
      <c r="H54" s="5" t="s">
        <v>1201</v>
      </c>
      <c r="I54" s="11" t="b">
        <f t="shared" si="2"/>
        <v>1</v>
      </c>
      <c r="K54" s="11" t="b">
        <f t="shared" si="3"/>
        <v>0</v>
      </c>
    </row>
    <row r="55" ht="22.5" customHeight="1">
      <c r="A55" s="12">
        <f t="shared" si="4"/>
        <v>353</v>
      </c>
      <c r="B55" s="6" t="s">
        <v>1206</v>
      </c>
      <c r="C55" s="7" t="str">
        <f t="shared" si="1"/>
        <v>🔊</v>
      </c>
      <c r="D55" s="22" t="s">
        <v>1207</v>
      </c>
      <c r="E55" s="6" t="s">
        <v>27</v>
      </c>
      <c r="F55" s="5" t="s">
        <v>1208</v>
      </c>
      <c r="G55" s="20" t="s">
        <v>1209</v>
      </c>
      <c r="H55" s="5" t="s">
        <v>1206</v>
      </c>
      <c r="I55" s="11" t="b">
        <f t="shared" si="2"/>
        <v>1</v>
      </c>
      <c r="K55" s="11" t="b">
        <f t="shared" si="3"/>
        <v>0</v>
      </c>
    </row>
    <row r="56" ht="22.5" customHeight="1">
      <c r="A56" s="12">
        <f t="shared" si="4"/>
        <v>354</v>
      </c>
      <c r="B56" s="6" t="s">
        <v>1210</v>
      </c>
      <c r="C56" s="7" t="str">
        <f t="shared" si="1"/>
        <v>🔊</v>
      </c>
      <c r="D56" s="22" t="s">
        <v>1211</v>
      </c>
      <c r="E56" s="6" t="s">
        <v>27</v>
      </c>
      <c r="F56" s="5" t="s">
        <v>1212</v>
      </c>
      <c r="G56" s="20" t="s">
        <v>1213</v>
      </c>
      <c r="H56" s="5"/>
      <c r="I56" s="11" t="b">
        <f t="shared" si="2"/>
        <v>0</v>
      </c>
      <c r="K56" s="11" t="b">
        <f t="shared" si="3"/>
        <v>0</v>
      </c>
    </row>
    <row r="57" ht="22.5" customHeight="1">
      <c r="A57" s="12">
        <f t="shared" si="4"/>
        <v>355</v>
      </c>
      <c r="B57" s="6" t="s">
        <v>1214</v>
      </c>
      <c r="C57" s="7" t="str">
        <f t="shared" si="1"/>
        <v>🔊</v>
      </c>
      <c r="D57" s="22" t="s">
        <v>1215</v>
      </c>
      <c r="E57" s="6" t="s">
        <v>27</v>
      </c>
      <c r="F57" s="12" t="str">
        <f>IFERROR(__xludf.DUMMYFUNCTION("GOOGLETRANSLATE(B57,""zh_cn"",""vi"")"),"màu đỏ")</f>
        <v>màu đỏ</v>
      </c>
      <c r="G57" s="20" t="s">
        <v>1216</v>
      </c>
      <c r="H57" s="5" t="s">
        <v>1214</v>
      </c>
      <c r="I57" s="11" t="b">
        <f t="shared" si="2"/>
        <v>1</v>
      </c>
      <c r="K57" s="11" t="b">
        <f t="shared" si="3"/>
        <v>0</v>
      </c>
    </row>
    <row r="58" ht="22.5" customHeight="1">
      <c r="A58" s="12">
        <f t="shared" si="4"/>
        <v>356</v>
      </c>
      <c r="B58" s="6" t="s">
        <v>1217</v>
      </c>
      <c r="C58" s="7" t="str">
        <f t="shared" si="1"/>
        <v>🔊</v>
      </c>
      <c r="D58" s="22" t="s">
        <v>1218</v>
      </c>
      <c r="E58" s="6" t="s">
        <v>27</v>
      </c>
      <c r="F58" s="5" t="s">
        <v>1219</v>
      </c>
      <c r="G58" s="20" t="s">
        <v>1220</v>
      </c>
      <c r="H58" s="5" t="s">
        <v>1217</v>
      </c>
      <c r="I58" s="11" t="b">
        <f t="shared" si="2"/>
        <v>1</v>
      </c>
      <c r="K58" s="11" t="b">
        <f t="shared" si="3"/>
        <v>0</v>
      </c>
    </row>
    <row r="59" ht="22.5" customHeight="1">
      <c r="A59" s="12">
        <f t="shared" si="4"/>
        <v>357</v>
      </c>
      <c r="B59" s="6" t="s">
        <v>1221</v>
      </c>
      <c r="C59" s="7" t="str">
        <f t="shared" si="1"/>
        <v>🔊</v>
      </c>
      <c r="D59" s="22" t="s">
        <v>1222</v>
      </c>
      <c r="E59" s="6" t="s">
        <v>232</v>
      </c>
      <c r="F59" s="12" t="str">
        <f>IFERROR(__xludf.DUMMYFUNCTION("GOOGLETRANSLATE(B59,""zh_cn"",""vi"")"),"bức vẽ")</f>
        <v>bức vẽ</v>
      </c>
      <c r="G59" s="20" t="s">
        <v>1223</v>
      </c>
      <c r="H59" s="5" t="s">
        <v>1221</v>
      </c>
      <c r="I59" s="11" t="b">
        <f t="shared" si="2"/>
        <v>1</v>
      </c>
      <c r="K59" s="11" t="b">
        <f t="shared" si="3"/>
        <v>0</v>
      </c>
    </row>
    <row r="60" ht="22.5" customHeight="1">
      <c r="A60" s="12">
        <f t="shared" si="4"/>
        <v>358</v>
      </c>
      <c r="B60" s="6" t="s">
        <v>1224</v>
      </c>
      <c r="C60" s="7" t="str">
        <f t="shared" si="1"/>
        <v>🔊</v>
      </c>
      <c r="D60" s="22" t="s">
        <v>1225</v>
      </c>
      <c r="E60" s="6" t="s">
        <v>13</v>
      </c>
      <c r="F60" s="5" t="s">
        <v>1226</v>
      </c>
      <c r="G60" s="20" t="s">
        <v>1227</v>
      </c>
      <c r="H60" s="5" t="s">
        <v>1224</v>
      </c>
      <c r="I60" s="11" t="b">
        <f t="shared" si="2"/>
        <v>1</v>
      </c>
      <c r="K60" s="11" t="b">
        <f t="shared" si="3"/>
        <v>0</v>
      </c>
    </row>
    <row r="61" ht="22.5" customHeight="1">
      <c r="A61" s="12">
        <f t="shared" si="4"/>
        <v>359</v>
      </c>
      <c r="B61" s="6" t="s">
        <v>1224</v>
      </c>
      <c r="C61" s="7" t="str">
        <f t="shared" si="1"/>
        <v>🔊</v>
      </c>
      <c r="D61" s="22" t="s">
        <v>1225</v>
      </c>
      <c r="E61" s="6" t="s">
        <v>1228</v>
      </c>
      <c r="F61" s="5" t="s">
        <v>1229</v>
      </c>
      <c r="G61" s="20" t="s">
        <v>1227</v>
      </c>
      <c r="H61" s="5" t="s">
        <v>1224</v>
      </c>
      <c r="I61" s="11" t="b">
        <f t="shared" si="2"/>
        <v>1</v>
      </c>
      <c r="K61" s="11" t="b">
        <f t="shared" si="3"/>
        <v>0</v>
      </c>
    </row>
    <row r="62" ht="22.5" customHeight="1">
      <c r="A62" s="12">
        <f t="shared" si="4"/>
        <v>360</v>
      </c>
      <c r="B62" s="6" t="s">
        <v>1230</v>
      </c>
      <c r="C62" s="7" t="str">
        <f t="shared" si="1"/>
        <v>🔊</v>
      </c>
      <c r="D62" s="22" t="s">
        <v>1231</v>
      </c>
      <c r="E62" s="6" t="s">
        <v>99</v>
      </c>
      <c r="F62" s="12" t="str">
        <f>IFERROR(__xludf.DUMMYFUNCTION("GOOGLETRANSLATE(B62,""zh_cn"",""vi"")"),"xấu")</f>
        <v>xấu</v>
      </c>
      <c r="G62" s="20" t="s">
        <v>1232</v>
      </c>
      <c r="H62" s="5" t="s">
        <v>1230</v>
      </c>
      <c r="I62" s="11" t="b">
        <f t="shared" si="2"/>
        <v>1</v>
      </c>
      <c r="K62" s="11" t="b">
        <f t="shared" si="3"/>
        <v>0</v>
      </c>
    </row>
    <row r="63" ht="22.5" customHeight="1">
      <c r="A63" s="12">
        <f t="shared" si="4"/>
        <v>361</v>
      </c>
      <c r="B63" s="6" t="s">
        <v>1233</v>
      </c>
      <c r="C63" s="7" t="str">
        <f t="shared" si="1"/>
        <v>🔊</v>
      </c>
      <c r="D63" s="22" t="s">
        <v>1234</v>
      </c>
      <c r="E63" s="6" t="s">
        <v>13</v>
      </c>
      <c r="F63" s="5" t="s">
        <v>1235</v>
      </c>
      <c r="G63" s="20" t="s">
        <v>1236</v>
      </c>
      <c r="H63" s="5" t="s">
        <v>1233</v>
      </c>
      <c r="I63" s="11" t="b">
        <f t="shared" si="2"/>
        <v>1</v>
      </c>
      <c r="K63" s="11" t="b">
        <f t="shared" si="3"/>
        <v>0</v>
      </c>
    </row>
    <row r="64" ht="22.5" customHeight="1">
      <c r="A64" s="12">
        <f t="shared" si="4"/>
        <v>362</v>
      </c>
      <c r="B64" s="6" t="s">
        <v>1237</v>
      </c>
      <c r="C64" s="7" t="str">
        <f t="shared" si="1"/>
        <v>🔊</v>
      </c>
      <c r="D64" s="22" t="s">
        <v>1238</v>
      </c>
      <c r="E64" s="6" t="s">
        <v>13</v>
      </c>
      <c r="F64" s="5" t="s">
        <v>1239</v>
      </c>
      <c r="G64" s="20" t="s">
        <v>1240</v>
      </c>
      <c r="H64" s="5" t="s">
        <v>1237</v>
      </c>
      <c r="I64" s="11" t="b">
        <f t="shared" si="2"/>
        <v>1</v>
      </c>
      <c r="K64" s="11" t="b">
        <f t="shared" si="3"/>
        <v>0</v>
      </c>
    </row>
    <row r="65" ht="22.5" customHeight="1">
      <c r="A65" s="12">
        <f t="shared" si="4"/>
        <v>363</v>
      </c>
      <c r="B65" s="6" t="s">
        <v>1241</v>
      </c>
      <c r="C65" s="7" t="str">
        <f t="shared" si="1"/>
        <v>🔊</v>
      </c>
      <c r="D65" s="22" t="s">
        <v>1242</v>
      </c>
      <c r="E65" s="6" t="s">
        <v>130</v>
      </c>
      <c r="F65" s="5" t="s">
        <v>1243</v>
      </c>
      <c r="G65" s="20" t="s">
        <v>1244</v>
      </c>
      <c r="H65" s="5" t="s">
        <v>1241</v>
      </c>
      <c r="I65" s="11" t="b">
        <f t="shared" si="2"/>
        <v>1</v>
      </c>
      <c r="K65" s="11" t="b">
        <f t="shared" si="3"/>
        <v>0</v>
      </c>
    </row>
    <row r="66" ht="22.5" customHeight="1">
      <c r="A66" s="12">
        <f t="shared" si="4"/>
        <v>364</v>
      </c>
      <c r="B66" s="6" t="s">
        <v>1245</v>
      </c>
      <c r="C66" s="7" t="str">
        <f t="shared" si="1"/>
        <v>🔊</v>
      </c>
      <c r="D66" s="22" t="s">
        <v>1246</v>
      </c>
      <c r="E66" s="6" t="s">
        <v>13</v>
      </c>
      <c r="F66" s="12" t="str">
        <f>IFERROR(__xludf.DUMMYFUNCTION("GOOGLETRANSLATE(B66,""zh_cn"",""vi"")"),"dạy bảo")</f>
        <v>dạy bảo</v>
      </c>
      <c r="G66" s="20" t="s">
        <v>1247</v>
      </c>
      <c r="H66" s="5" t="s">
        <v>1245</v>
      </c>
      <c r="I66" s="11" t="b">
        <f t="shared" si="2"/>
        <v>1</v>
      </c>
      <c r="K66" s="11" t="b">
        <f t="shared" si="3"/>
        <v>0</v>
      </c>
    </row>
    <row r="67" ht="22.5" customHeight="1">
      <c r="A67" s="12">
        <f t="shared" si="4"/>
        <v>365</v>
      </c>
      <c r="B67" s="6" t="s">
        <v>1248</v>
      </c>
      <c r="C67" s="7" t="str">
        <f t="shared" si="1"/>
        <v>🔊</v>
      </c>
      <c r="D67" s="22" t="s">
        <v>1249</v>
      </c>
      <c r="E67" s="6" t="s">
        <v>27</v>
      </c>
      <c r="F67" s="12" t="str">
        <f>IFERROR(__xludf.DUMMYFUNCTION("GOOGLETRANSLATE(B67,""zh_cn"",""vi"")"),"lớp học")</f>
        <v>lớp học</v>
      </c>
      <c r="G67" s="20" t="s">
        <v>1250</v>
      </c>
      <c r="H67" s="5" t="s">
        <v>1248</v>
      </c>
      <c r="I67" s="11" t="b">
        <f t="shared" si="2"/>
        <v>1</v>
      </c>
      <c r="K67" s="11" t="b">
        <f t="shared" si="3"/>
        <v>0</v>
      </c>
    </row>
    <row r="68" ht="22.5" customHeight="1">
      <c r="A68" s="12">
        <f t="shared" si="4"/>
        <v>366</v>
      </c>
      <c r="B68" s="6" t="s">
        <v>1251</v>
      </c>
      <c r="C68" s="7" t="str">
        <f t="shared" si="1"/>
        <v>🔊</v>
      </c>
      <c r="D68" s="22" t="s">
        <v>1252</v>
      </c>
      <c r="E68" s="6" t="s">
        <v>27</v>
      </c>
      <c r="F68" s="12" t="str">
        <f>IFERROR(__xludf.DUMMYFUNCTION("GOOGLETRANSLATE(B68,""zh_cn"",""vi"")"),"Sân bay")</f>
        <v>Sân bay</v>
      </c>
      <c r="G68" s="20" t="s">
        <v>1253</v>
      </c>
      <c r="H68" s="5" t="s">
        <v>1251</v>
      </c>
      <c r="I68" s="11" t="b">
        <f t="shared" si="2"/>
        <v>1</v>
      </c>
      <c r="K68" s="11" t="b">
        <f t="shared" si="3"/>
        <v>0</v>
      </c>
    </row>
    <row r="69" ht="22.5" customHeight="1">
      <c r="A69" s="12">
        <f t="shared" si="4"/>
        <v>367</v>
      </c>
      <c r="B69" s="6" t="s">
        <v>1254</v>
      </c>
      <c r="C69" s="7" t="str">
        <f t="shared" si="1"/>
        <v>🔊</v>
      </c>
      <c r="D69" s="22" t="s">
        <v>1255</v>
      </c>
      <c r="E69" s="6" t="s">
        <v>13</v>
      </c>
      <c r="F69" s="12" t="str">
        <f>IFERROR(__xludf.DUMMYFUNCTION("GOOGLETRANSLATE(B69,""zh_cn"",""vi"")"),"Nhớ")</f>
        <v>Nhớ</v>
      </c>
      <c r="G69" s="20" t="s">
        <v>1256</v>
      </c>
      <c r="H69" s="5" t="s">
        <v>1254</v>
      </c>
      <c r="I69" s="11" t="b">
        <f t="shared" si="2"/>
        <v>1</v>
      </c>
      <c r="K69" s="11" t="b">
        <f t="shared" si="3"/>
        <v>0</v>
      </c>
    </row>
    <row r="70" ht="22.5" customHeight="1">
      <c r="A70" s="12">
        <f t="shared" si="4"/>
        <v>368</v>
      </c>
      <c r="B70" s="6" t="s">
        <v>1257</v>
      </c>
      <c r="C70" s="7" t="str">
        <f t="shared" si="1"/>
        <v>🔊</v>
      </c>
      <c r="D70" s="22" t="s">
        <v>1258</v>
      </c>
      <c r="E70" s="6" t="s">
        <v>13</v>
      </c>
      <c r="F70" s="12" t="str">
        <f>IFERROR(__xludf.DUMMYFUNCTION("GOOGLETRANSLATE(B70,""zh_cn"",""vi"")"),"giới thiệu")</f>
        <v>giới thiệu</v>
      </c>
      <c r="G70" s="20" t="s">
        <v>1259</v>
      </c>
      <c r="H70" s="5" t="s">
        <v>1257</v>
      </c>
      <c r="I70" s="11" t="b">
        <f t="shared" si="2"/>
        <v>1</v>
      </c>
      <c r="K70" s="11" t="b">
        <f t="shared" si="3"/>
        <v>0</v>
      </c>
    </row>
    <row r="71" ht="22.5" customHeight="1">
      <c r="A71" s="12">
        <f t="shared" si="4"/>
        <v>369</v>
      </c>
      <c r="B71" s="6" t="s">
        <v>1260</v>
      </c>
      <c r="C71" s="7" t="str">
        <f t="shared" si="1"/>
        <v>🔊</v>
      </c>
      <c r="D71" s="22" t="s">
        <v>1261</v>
      </c>
      <c r="E71" s="6" t="s">
        <v>13</v>
      </c>
      <c r="F71" s="12" t="str">
        <f>IFERROR(__xludf.DUMMYFUNCTION("GOOGLETRANSLATE(B71,""zh_cn"",""vi"")"),"Đi vào")</f>
        <v>Đi vào</v>
      </c>
      <c r="G71" s="20" t="s">
        <v>1262</v>
      </c>
      <c r="H71" s="5" t="s">
        <v>1260</v>
      </c>
      <c r="I71" s="11" t="b">
        <f t="shared" si="2"/>
        <v>1</v>
      </c>
      <c r="K71" s="11" t="b">
        <f t="shared" si="3"/>
        <v>0</v>
      </c>
    </row>
    <row r="72" ht="22.5" customHeight="1">
      <c r="A72" s="12">
        <f t="shared" si="4"/>
        <v>370</v>
      </c>
      <c r="B72" s="6" t="s">
        <v>1263</v>
      </c>
      <c r="C72" s="7" t="str">
        <f t="shared" si="1"/>
        <v>🔊</v>
      </c>
      <c r="D72" s="22" t="s">
        <v>1261</v>
      </c>
      <c r="E72" s="6" t="s">
        <v>99</v>
      </c>
      <c r="F72" s="5" t="s">
        <v>1264</v>
      </c>
      <c r="G72" s="20" t="s">
        <v>1265</v>
      </c>
      <c r="H72" s="5" t="s">
        <v>1263</v>
      </c>
      <c r="I72" s="11" t="b">
        <f t="shared" si="2"/>
        <v>1</v>
      </c>
      <c r="K72" s="11" t="b">
        <f t="shared" si="3"/>
        <v>0</v>
      </c>
    </row>
    <row r="73" ht="22.5" customHeight="1">
      <c r="A73" s="12">
        <f t="shared" si="4"/>
        <v>371</v>
      </c>
      <c r="B73" s="6" t="s">
        <v>1266</v>
      </c>
      <c r="C73" s="7" t="str">
        <f t="shared" si="1"/>
        <v>🔊</v>
      </c>
      <c r="D73" s="22" t="s">
        <v>1267</v>
      </c>
      <c r="E73" s="6" t="s">
        <v>61</v>
      </c>
      <c r="F73" s="12" t="str">
        <f>IFERROR(__xludf.DUMMYFUNCTION("GOOGLETRANSLATE(B73,""zh_cn"",""vi"")"),"thường")</f>
        <v>thường</v>
      </c>
      <c r="G73" s="20" t="s">
        <v>1268</v>
      </c>
      <c r="H73" s="5" t="s">
        <v>1266</v>
      </c>
      <c r="I73" s="11" t="b">
        <f t="shared" si="2"/>
        <v>1</v>
      </c>
      <c r="K73" s="11" t="b">
        <f t="shared" si="3"/>
        <v>0</v>
      </c>
    </row>
    <row r="74" ht="22.5" customHeight="1">
      <c r="A74" s="12">
        <f t="shared" si="4"/>
        <v>372</v>
      </c>
      <c r="B74" s="6" t="s">
        <v>1269</v>
      </c>
      <c r="C74" s="7" t="str">
        <f t="shared" si="1"/>
        <v>🔊</v>
      </c>
      <c r="D74" s="22" t="s">
        <v>1270</v>
      </c>
      <c r="E74" s="6" t="s">
        <v>13</v>
      </c>
      <c r="F74" s="5" t="s">
        <v>1271</v>
      </c>
      <c r="G74" s="20" t="s">
        <v>1272</v>
      </c>
      <c r="H74" s="5" t="s">
        <v>1269</v>
      </c>
      <c r="I74" s="11" t="b">
        <f t="shared" si="2"/>
        <v>1</v>
      </c>
      <c r="K74" s="11" t="b">
        <f t="shared" si="3"/>
        <v>0</v>
      </c>
    </row>
    <row r="75" ht="22.5" customHeight="1">
      <c r="A75" s="12">
        <f t="shared" si="4"/>
        <v>373</v>
      </c>
      <c r="B75" s="6" t="s">
        <v>1273</v>
      </c>
      <c r="C75" s="7" t="str">
        <f t="shared" si="1"/>
        <v>🔊</v>
      </c>
      <c r="D75" s="22" t="s">
        <v>1274</v>
      </c>
      <c r="E75" s="6" t="s">
        <v>13</v>
      </c>
      <c r="F75" s="5" t="s">
        <v>1275</v>
      </c>
      <c r="G75" s="20" t="s">
        <v>1272</v>
      </c>
      <c r="H75" s="5" t="s">
        <v>1273</v>
      </c>
      <c r="I75" s="11" t="b">
        <f t="shared" si="2"/>
        <v>1</v>
      </c>
      <c r="K75" s="11" t="b">
        <f t="shared" si="3"/>
        <v>0</v>
      </c>
    </row>
    <row r="76" ht="22.5" customHeight="1">
      <c r="A76" s="12">
        <f t="shared" si="4"/>
        <v>374</v>
      </c>
      <c r="B76" s="6" t="s">
        <v>1276</v>
      </c>
      <c r="C76" s="7" t="str">
        <f t="shared" si="1"/>
        <v>🔊</v>
      </c>
      <c r="D76" s="22" t="s">
        <v>1277</v>
      </c>
      <c r="E76" s="6" t="s">
        <v>27</v>
      </c>
      <c r="F76" s="12" t="str">
        <f>IFERROR(__xludf.DUMMYFUNCTION("GOOGLETRANSLATE(B76,""zh_cn"",""vi"")"),"Vé máy bay")</f>
        <v>Vé máy bay</v>
      </c>
      <c r="G76" s="20" t="s">
        <v>1278</v>
      </c>
      <c r="H76" s="5" t="s">
        <v>1276</v>
      </c>
      <c r="I76" s="11" t="b">
        <f t="shared" si="2"/>
        <v>1</v>
      </c>
      <c r="K76" s="11" t="b">
        <f t="shared" si="3"/>
        <v>0</v>
      </c>
    </row>
    <row r="77" ht="22.5" customHeight="1">
      <c r="A77" s="12">
        <f t="shared" si="4"/>
        <v>375</v>
      </c>
      <c r="B77" s="6" t="s">
        <v>1279</v>
      </c>
      <c r="C77" s="7" t="str">
        <f t="shared" si="1"/>
        <v>🔊</v>
      </c>
      <c r="D77" s="22" t="s">
        <v>1280</v>
      </c>
      <c r="E77" s="6" t="s">
        <v>1281</v>
      </c>
      <c r="F77" s="5" t="s">
        <v>1282</v>
      </c>
      <c r="G77" s="20" t="s">
        <v>1283</v>
      </c>
      <c r="H77" s="5" t="s">
        <v>1279</v>
      </c>
      <c r="I77" s="11" t="b">
        <f t="shared" si="2"/>
        <v>1</v>
      </c>
      <c r="K77" s="11" t="b">
        <f t="shared" si="3"/>
        <v>0</v>
      </c>
    </row>
    <row r="78" ht="22.5" customHeight="1">
      <c r="A78" s="12">
        <f t="shared" si="4"/>
        <v>376</v>
      </c>
      <c r="B78" s="6" t="s">
        <v>1284</v>
      </c>
      <c r="C78" s="7" t="str">
        <f t="shared" si="1"/>
        <v>🔊</v>
      </c>
      <c r="D78" s="22" t="s">
        <v>1285</v>
      </c>
      <c r="E78" s="6" t="s">
        <v>27</v>
      </c>
      <c r="F78" s="12" t="str">
        <f>IFERROR(__xludf.DUMMYFUNCTION("GOOGLETRANSLATE(B78,""zh_cn"",""vi"")"),"khách sạn")</f>
        <v>khách sạn</v>
      </c>
      <c r="G78" s="20" t="s">
        <v>1286</v>
      </c>
      <c r="H78" s="5" t="s">
        <v>1284</v>
      </c>
      <c r="I78" s="11" t="b">
        <f t="shared" si="2"/>
        <v>1</v>
      </c>
      <c r="K78" s="11" t="b">
        <f t="shared" si="3"/>
        <v>0</v>
      </c>
    </row>
    <row r="79" ht="22.5" customHeight="1">
      <c r="A79" s="12">
        <f t="shared" si="4"/>
        <v>377</v>
      </c>
      <c r="B79" s="6" t="s">
        <v>1287</v>
      </c>
      <c r="C79" s="7" t="str">
        <f t="shared" si="1"/>
        <v>🔊</v>
      </c>
      <c r="D79" s="22" t="s">
        <v>1288</v>
      </c>
      <c r="E79" s="6" t="s">
        <v>27</v>
      </c>
      <c r="F79" s="12" t="str">
        <f>IFERROR(__xludf.DUMMYFUNCTION("GOOGLETRANSLATE(B79,""zh_cn"",""vi"")"),"cà phê")</f>
        <v>cà phê</v>
      </c>
      <c r="G79" s="20" t="s">
        <v>1289</v>
      </c>
      <c r="H79" s="5" t="s">
        <v>1287</v>
      </c>
      <c r="I79" s="11" t="b">
        <f t="shared" si="2"/>
        <v>1</v>
      </c>
      <c r="K79" s="11" t="b">
        <f t="shared" si="3"/>
        <v>0</v>
      </c>
    </row>
    <row r="80" ht="22.5" customHeight="1">
      <c r="A80" s="12">
        <f t="shared" si="4"/>
        <v>378</v>
      </c>
      <c r="B80" s="6" t="s">
        <v>1290</v>
      </c>
      <c r="C80" s="7" t="str">
        <f t="shared" si="1"/>
        <v>🔊</v>
      </c>
      <c r="D80" s="22" t="s">
        <v>1291</v>
      </c>
      <c r="E80" s="6" t="s">
        <v>232</v>
      </c>
      <c r="F80" s="12" t="str">
        <f>IFERROR(__xludf.DUMMYFUNCTION("GOOGLETRANSLATE(B80,""zh_cn"",""vi"")"),"bắt đầu")</f>
        <v>bắt đầu</v>
      </c>
      <c r="G80" s="20" t="s">
        <v>1292</v>
      </c>
      <c r="H80" s="5" t="s">
        <v>1290</v>
      </c>
      <c r="I80" s="11" t="b">
        <f t="shared" si="2"/>
        <v>1</v>
      </c>
      <c r="K80" s="11" t="b">
        <f t="shared" si="3"/>
        <v>0</v>
      </c>
    </row>
    <row r="81" ht="22.5" customHeight="1">
      <c r="A81" s="12">
        <f t="shared" si="4"/>
        <v>379</v>
      </c>
      <c r="B81" s="6" t="s">
        <v>1293</v>
      </c>
      <c r="C81" s="7" t="str">
        <f t="shared" si="1"/>
        <v>🔊</v>
      </c>
      <c r="D81" s="22" t="s">
        <v>1294</v>
      </c>
      <c r="E81" s="6" t="s">
        <v>13</v>
      </c>
      <c r="F81" s="12" t="str">
        <f>IFERROR(__xludf.DUMMYFUNCTION("GOOGLETRANSLATE(B81,""zh_cn"",""vi"")"),"Trường học bắt đầu")</f>
        <v>Trường học bắt đầu</v>
      </c>
      <c r="G81" s="20" t="s">
        <v>1295</v>
      </c>
      <c r="H81" s="5" t="s">
        <v>1293</v>
      </c>
      <c r="I81" s="11" t="b">
        <f t="shared" si="2"/>
        <v>1</v>
      </c>
      <c r="K81" s="11" t="b">
        <f t="shared" si="3"/>
        <v>0</v>
      </c>
    </row>
    <row r="82" ht="22.5" customHeight="1">
      <c r="A82" s="12">
        <f t="shared" si="4"/>
        <v>380</v>
      </c>
      <c r="B82" s="6" t="s">
        <v>1296</v>
      </c>
      <c r="C82" s="7" t="str">
        <f t="shared" si="1"/>
        <v>🔊</v>
      </c>
      <c r="D82" s="22" t="s">
        <v>1297</v>
      </c>
      <c r="E82" s="6" t="s">
        <v>13</v>
      </c>
      <c r="F82" s="12" t="str">
        <f>IFERROR(__xludf.DUMMYFUNCTION("GOOGLETRANSLATE(B82,""zh_cn"",""vi"")"),"Bài kiểm tra")</f>
        <v>Bài kiểm tra</v>
      </c>
      <c r="G82" s="20" t="s">
        <v>1298</v>
      </c>
      <c r="H82" s="5" t="s">
        <v>1296</v>
      </c>
      <c r="I82" s="11" t="b">
        <f t="shared" si="2"/>
        <v>1</v>
      </c>
      <c r="K82" s="11" t="b">
        <f t="shared" si="3"/>
        <v>0</v>
      </c>
    </row>
    <row r="83" ht="22.5" customHeight="1">
      <c r="A83" s="12">
        <f t="shared" si="4"/>
        <v>381</v>
      </c>
      <c r="B83" s="6" t="s">
        <v>1299</v>
      </c>
      <c r="C83" s="7" t="str">
        <f t="shared" si="1"/>
        <v>🔊</v>
      </c>
      <c r="D83" s="22" t="s">
        <v>1300</v>
      </c>
      <c r="E83" s="6" t="s">
        <v>232</v>
      </c>
      <c r="F83" s="12" t="str">
        <f>IFERROR(__xludf.DUMMYFUNCTION("GOOGLETRANSLATE(B83,""zh_cn"",""vi"")"),"làm bài kiểm tra")</f>
        <v>làm bài kiểm tra</v>
      </c>
      <c r="G83" s="5" t="s">
        <v>1301</v>
      </c>
      <c r="H83" s="5" t="s">
        <v>1299</v>
      </c>
      <c r="I83" s="11" t="b">
        <f t="shared" si="2"/>
        <v>1</v>
      </c>
      <c r="K83" s="11" t="b">
        <f t="shared" si="3"/>
        <v>0</v>
      </c>
    </row>
    <row r="84" ht="22.5" customHeight="1">
      <c r="A84" s="12">
        <f t="shared" si="4"/>
        <v>382</v>
      </c>
      <c r="B84" s="6" t="s">
        <v>1302</v>
      </c>
      <c r="C84" s="7" t="str">
        <f t="shared" si="1"/>
        <v>🔊</v>
      </c>
      <c r="D84" s="22" t="s">
        <v>1303</v>
      </c>
      <c r="E84" s="6" t="s">
        <v>1304</v>
      </c>
      <c r="F84" s="5" t="s">
        <v>1305</v>
      </c>
      <c r="G84" s="20" t="s">
        <v>1306</v>
      </c>
      <c r="H84" s="5" t="s">
        <v>1302</v>
      </c>
      <c r="I84" s="11" t="b">
        <f t="shared" si="2"/>
        <v>1</v>
      </c>
      <c r="K84" s="11" t="b">
        <f t="shared" si="3"/>
        <v>0</v>
      </c>
    </row>
    <row r="85" ht="22.5" customHeight="1">
      <c r="A85" s="12">
        <f t="shared" si="4"/>
        <v>383</v>
      </c>
      <c r="B85" s="6" t="s">
        <v>1307</v>
      </c>
      <c r="C85" s="7" t="str">
        <f t="shared" si="1"/>
        <v>🔊</v>
      </c>
      <c r="D85" s="22" t="s">
        <v>374</v>
      </c>
      <c r="E85" s="6" t="s">
        <v>1308</v>
      </c>
      <c r="F85" s="12" t="str">
        <f>IFERROR(__xludf.DUMMYFUNCTION("GOOGLETRANSLATE(B85,""zh_cn"",""vi"")"),"nhanh")</f>
        <v>nhanh</v>
      </c>
      <c r="G85" s="20" t="s">
        <v>1309</v>
      </c>
      <c r="H85" s="5" t="s">
        <v>1307</v>
      </c>
      <c r="I85" s="11" t="b">
        <f t="shared" si="2"/>
        <v>1</v>
      </c>
      <c r="K85" s="11" t="b">
        <f t="shared" si="3"/>
        <v>0</v>
      </c>
    </row>
    <row r="86" ht="22.5" customHeight="1">
      <c r="A86" s="12">
        <f t="shared" si="4"/>
        <v>384</v>
      </c>
      <c r="B86" s="6" t="s">
        <v>1310</v>
      </c>
      <c r="C86" s="7" t="str">
        <f t="shared" si="1"/>
        <v>🔊</v>
      </c>
      <c r="D86" s="22" t="s">
        <v>1311</v>
      </c>
      <c r="E86" s="6" t="s">
        <v>99</v>
      </c>
      <c r="F86" s="5" t="s">
        <v>1312</v>
      </c>
      <c r="G86" s="20" t="s">
        <v>1313</v>
      </c>
      <c r="H86" s="5" t="s">
        <v>1310</v>
      </c>
      <c r="I86" s="11" t="b">
        <f t="shared" si="2"/>
        <v>1</v>
      </c>
      <c r="K86" s="11" t="b">
        <f t="shared" si="3"/>
        <v>0</v>
      </c>
    </row>
    <row r="87" ht="22.5" customHeight="1">
      <c r="A87" s="12">
        <f t="shared" si="4"/>
        <v>385</v>
      </c>
      <c r="B87" s="6" t="s">
        <v>1314</v>
      </c>
      <c r="C87" s="7" t="str">
        <f t="shared" si="1"/>
        <v>🔊</v>
      </c>
      <c r="D87" s="22" t="s">
        <v>1315</v>
      </c>
      <c r="E87" s="6" t="s">
        <v>61</v>
      </c>
      <c r="F87" s="5" t="s">
        <v>1316</v>
      </c>
      <c r="G87" s="20" t="s">
        <v>1317</v>
      </c>
      <c r="H87" s="5" t="s">
        <v>1314</v>
      </c>
      <c r="I87" s="11" t="b">
        <f t="shared" si="2"/>
        <v>1</v>
      </c>
      <c r="K87" s="11" t="b">
        <f t="shared" si="3"/>
        <v>0</v>
      </c>
    </row>
    <row r="88" ht="22.5" customHeight="1">
      <c r="A88" s="12">
        <f t="shared" si="4"/>
        <v>386</v>
      </c>
      <c r="B88" s="6" t="s">
        <v>1318</v>
      </c>
      <c r="C88" s="7" t="str">
        <f t="shared" si="1"/>
        <v>🔊</v>
      </c>
      <c r="D88" s="22" t="s">
        <v>1319</v>
      </c>
      <c r="E88" s="6" t="s">
        <v>27</v>
      </c>
      <c r="F88" s="12" t="str">
        <f>IFERROR(__xludf.DUMMYFUNCTION("GOOGLETRANSLATE(B88,""zh_cn"",""vi"")"),"Quần dài")</f>
        <v>Quần dài</v>
      </c>
      <c r="G88" s="20" t="s">
        <v>1320</v>
      </c>
      <c r="H88" s="5" t="s">
        <v>1318</v>
      </c>
      <c r="I88" s="11" t="b">
        <f t="shared" si="2"/>
        <v>1</v>
      </c>
      <c r="K88" s="11" t="b">
        <f t="shared" si="3"/>
        <v>0</v>
      </c>
    </row>
    <row r="89" ht="22.5" customHeight="1">
      <c r="A89" s="12">
        <f t="shared" si="4"/>
        <v>387</v>
      </c>
      <c r="B89" s="6" t="s">
        <v>1321</v>
      </c>
      <c r="C89" s="7" t="str">
        <f t="shared" si="1"/>
        <v>🔊</v>
      </c>
      <c r="D89" s="22" t="s">
        <v>1322</v>
      </c>
      <c r="E89" s="6" t="s">
        <v>27</v>
      </c>
      <c r="F89" s="12" t="str">
        <f>IFERROR(__xludf.DUMMYFUNCTION("GOOGLETRANSLATE(B89,""zh_cn"",""vi"")"),"bóng rổ")</f>
        <v>bóng rổ</v>
      </c>
      <c r="G89" s="20" t="s">
        <v>1323</v>
      </c>
      <c r="H89" s="5" t="s">
        <v>1321</v>
      </c>
      <c r="I89" s="11" t="b">
        <f t="shared" si="2"/>
        <v>1</v>
      </c>
      <c r="K89" s="11" t="b">
        <f t="shared" si="3"/>
        <v>0</v>
      </c>
    </row>
    <row r="90" ht="22.5" customHeight="1">
      <c r="A90" s="12">
        <f t="shared" si="4"/>
        <v>388</v>
      </c>
      <c r="B90" s="6" t="s">
        <v>1324</v>
      </c>
      <c r="C90" s="7" t="str">
        <f t="shared" si="1"/>
        <v>🔊</v>
      </c>
      <c r="D90" s="22" t="s">
        <v>1325</v>
      </c>
      <c r="E90" s="6" t="s">
        <v>416</v>
      </c>
      <c r="F90" s="12" t="str">
        <f>IFERROR(__xludf.DUMMYFUNCTION("GOOGLETRANSLATE(B90,""zh_cn"",""vi"")"),"mệt")</f>
        <v>mệt</v>
      </c>
      <c r="G90" s="20" t="s">
        <v>1326</v>
      </c>
      <c r="H90" s="5" t="s">
        <v>1324</v>
      </c>
      <c r="I90" s="11" t="b">
        <f t="shared" si="2"/>
        <v>1</v>
      </c>
      <c r="K90" s="11" t="b">
        <f t="shared" si="3"/>
        <v>0</v>
      </c>
    </row>
    <row r="91" ht="22.5" customHeight="1">
      <c r="A91" s="12">
        <f t="shared" si="4"/>
        <v>389</v>
      </c>
      <c r="B91" s="6" t="s">
        <v>1327</v>
      </c>
      <c r="C91" s="7" t="str">
        <f t="shared" si="1"/>
        <v>🔊</v>
      </c>
      <c r="D91" s="22" t="s">
        <v>1328</v>
      </c>
      <c r="E91" s="6" t="s">
        <v>13</v>
      </c>
      <c r="F91" s="12" t="str">
        <f>IFERROR(__xludf.DUMMYFUNCTION("GOOGLETRANSLATE(B91,""zh_cn"",""vi"")"),"Rời khỏi")</f>
        <v>Rời khỏi</v>
      </c>
      <c r="G91" s="20" t="s">
        <v>1329</v>
      </c>
      <c r="H91" s="5" t="s">
        <v>1327</v>
      </c>
      <c r="I91" s="11" t="b">
        <f t="shared" si="2"/>
        <v>1</v>
      </c>
      <c r="K91" s="11" t="b">
        <f t="shared" si="3"/>
        <v>0</v>
      </c>
    </row>
    <row r="92" ht="22.5" customHeight="1">
      <c r="A92" s="12">
        <f t="shared" si="4"/>
        <v>390</v>
      </c>
      <c r="B92" s="6" t="s">
        <v>1330</v>
      </c>
      <c r="C92" s="7" t="str">
        <f t="shared" si="1"/>
        <v>🔊</v>
      </c>
      <c r="D92" s="22" t="s">
        <v>1331</v>
      </c>
      <c r="E92" s="6" t="s">
        <v>27</v>
      </c>
      <c r="F92" s="5" t="s">
        <v>1332</v>
      </c>
      <c r="G92" s="20" t="s">
        <v>1333</v>
      </c>
      <c r="H92" s="5" t="s">
        <v>389</v>
      </c>
      <c r="I92" s="11" t="b">
        <f t="shared" si="2"/>
        <v>0</v>
      </c>
      <c r="K92" s="11" t="b">
        <f t="shared" si="3"/>
        <v>0</v>
      </c>
    </row>
    <row r="93" ht="22.5" customHeight="1">
      <c r="A93" s="12">
        <f t="shared" si="4"/>
        <v>391</v>
      </c>
      <c r="B93" s="6" t="s">
        <v>1334</v>
      </c>
      <c r="C93" s="7" t="str">
        <f t="shared" si="1"/>
        <v>🔊</v>
      </c>
      <c r="D93" s="22" t="s">
        <v>1335</v>
      </c>
      <c r="E93" s="6" t="s">
        <v>27</v>
      </c>
      <c r="F93" s="5" t="s">
        <v>1336</v>
      </c>
      <c r="G93" s="20" t="s">
        <v>1337</v>
      </c>
      <c r="H93" s="5" t="s">
        <v>1334</v>
      </c>
      <c r="I93" s="11" t="b">
        <f t="shared" si="2"/>
        <v>1</v>
      </c>
      <c r="K93" s="11" t="b">
        <f t="shared" si="3"/>
        <v>0</v>
      </c>
    </row>
    <row r="94" ht="22.5" customHeight="1">
      <c r="A94" s="12">
        <f t="shared" si="4"/>
        <v>392</v>
      </c>
      <c r="B94" s="6" t="s">
        <v>1338</v>
      </c>
      <c r="C94" s="7" t="str">
        <f t="shared" si="1"/>
        <v>🔊</v>
      </c>
      <c r="D94" s="22" t="s">
        <v>1339</v>
      </c>
      <c r="E94" s="6" t="s">
        <v>27</v>
      </c>
      <c r="F94" s="12" t="str">
        <f>IFERROR(__xludf.DUMMYFUNCTION("GOOGLETRANSLATE(B94,""zh_cn"",""vi"")"),"đường")</f>
        <v>đường</v>
      </c>
      <c r="G94" s="20" t="s">
        <v>1340</v>
      </c>
      <c r="H94" s="5" t="s">
        <v>1338</v>
      </c>
      <c r="I94" s="11" t="b">
        <f t="shared" si="2"/>
        <v>1</v>
      </c>
      <c r="K94" s="11" t="b">
        <f t="shared" si="3"/>
        <v>0</v>
      </c>
    </row>
    <row r="95" ht="22.5" customHeight="1">
      <c r="A95" s="12">
        <f t="shared" si="4"/>
        <v>393</v>
      </c>
      <c r="B95" s="6" t="s">
        <v>1341</v>
      </c>
      <c r="C95" s="7" t="str">
        <f t="shared" si="1"/>
        <v>🔊</v>
      </c>
      <c r="D95" s="22" t="s">
        <v>1342</v>
      </c>
      <c r="E95" s="6" t="s">
        <v>27</v>
      </c>
      <c r="F95" s="12" t="str">
        <f>IFERROR(__xludf.DUMMYFUNCTION("GOOGLETRANSLATE(B95,""zh_cn"",""vi"")"),"trà xanh")</f>
        <v>trà xanh</v>
      </c>
      <c r="G95" s="20" t="s">
        <v>1343</v>
      </c>
      <c r="H95" s="5" t="s">
        <v>1341</v>
      </c>
      <c r="I95" s="11" t="b">
        <f t="shared" si="2"/>
        <v>1</v>
      </c>
      <c r="K95" s="11" t="b">
        <f t="shared" si="3"/>
        <v>0</v>
      </c>
    </row>
    <row r="96" ht="22.5" customHeight="1">
      <c r="A96" s="12">
        <f t="shared" si="4"/>
        <v>394</v>
      </c>
      <c r="B96" s="6" t="s">
        <v>1344</v>
      </c>
      <c r="C96" s="7" t="str">
        <f t="shared" si="1"/>
        <v>🔊</v>
      </c>
      <c r="D96" s="22" t="s">
        <v>1345</v>
      </c>
      <c r="E96" s="6" t="s">
        <v>1228</v>
      </c>
      <c r="F96" s="12" t="str">
        <f>IFERROR(__xludf.DUMMYFUNCTION("GOOGLETRANSLATE(B96,""zh_cn"",""vi"")"),"màu xanh lá")</f>
        <v>màu xanh lá</v>
      </c>
      <c r="G96" s="20" t="s">
        <v>1346</v>
      </c>
      <c r="H96" s="5" t="s">
        <v>1344</v>
      </c>
      <c r="I96" s="11" t="b">
        <f t="shared" si="2"/>
        <v>1</v>
      </c>
      <c r="K96" s="11" t="b">
        <f t="shared" si="3"/>
        <v>0</v>
      </c>
    </row>
    <row r="97" ht="22.5" customHeight="1">
      <c r="A97" s="12">
        <f t="shared" si="4"/>
        <v>395</v>
      </c>
      <c r="B97" s="6" t="s">
        <v>1347</v>
      </c>
      <c r="C97" s="7" t="str">
        <f t="shared" si="1"/>
        <v>🔊</v>
      </c>
      <c r="D97" s="22" t="s">
        <v>1348</v>
      </c>
      <c r="E97" s="6" t="s">
        <v>27</v>
      </c>
      <c r="F97" s="12" t="str">
        <f>IFERROR(__xludf.DUMMYFUNCTION("GOOGLETRANSLATE(B97,""zh_cn"",""vi"")"),"Trên đường")</f>
        <v>Trên đường</v>
      </c>
      <c r="G97" s="20" t="s">
        <v>1349</v>
      </c>
      <c r="H97" s="5" t="s">
        <v>1347</v>
      </c>
      <c r="I97" s="11" t="b">
        <f t="shared" si="2"/>
        <v>1</v>
      </c>
      <c r="K97" s="11" t="b">
        <f t="shared" si="3"/>
        <v>0</v>
      </c>
    </row>
    <row r="98" ht="22.5" customHeight="1">
      <c r="A98" s="12">
        <f t="shared" si="4"/>
        <v>396</v>
      </c>
      <c r="B98" s="6" t="s">
        <v>1350</v>
      </c>
      <c r="C98" s="7" t="str">
        <f t="shared" si="1"/>
        <v>🔊</v>
      </c>
      <c r="D98" s="22" t="s">
        <v>1351</v>
      </c>
      <c r="E98" s="6" t="s">
        <v>13</v>
      </c>
      <c r="F98" s="12" t="str">
        <f>IFERROR(__xludf.DUMMYFUNCTION("GOOGLETRANSLATE(B98,""zh_cn"",""vi"")"),"du lịch")</f>
        <v>du lịch</v>
      </c>
      <c r="G98" s="20" t="s">
        <v>1352</v>
      </c>
      <c r="H98" s="5" t="s">
        <v>1350</v>
      </c>
      <c r="I98" s="11" t="b">
        <f t="shared" si="2"/>
        <v>1</v>
      </c>
      <c r="K98" s="11" t="b">
        <f t="shared" si="3"/>
        <v>0</v>
      </c>
    </row>
    <row r="99" ht="22.5" customHeight="1">
      <c r="A99" s="12">
        <f t="shared" si="4"/>
        <v>397</v>
      </c>
      <c r="B99" s="6" t="s">
        <v>1353</v>
      </c>
      <c r="C99" s="7" t="str">
        <f t="shared" si="1"/>
        <v>🔊</v>
      </c>
      <c r="D99" s="22" t="s">
        <v>1354</v>
      </c>
      <c r="E99" s="6" t="s">
        <v>99</v>
      </c>
      <c r="F99" s="12" t="str">
        <f>IFERROR(__xludf.DUMMYFUNCTION("GOOGLETRANSLATE(B99,""zh_cn"",""vi"")"),"chậm")</f>
        <v>chậm</v>
      </c>
      <c r="G99" s="20" t="s">
        <v>1355</v>
      </c>
      <c r="H99" s="5" t="s">
        <v>1353</v>
      </c>
      <c r="I99" s="11" t="b">
        <f t="shared" si="2"/>
        <v>1</v>
      </c>
      <c r="K99" s="11" t="b">
        <f t="shared" si="3"/>
        <v>0</v>
      </c>
    </row>
    <row r="100" ht="22.5" customHeight="1">
      <c r="A100" s="12">
        <f t="shared" si="4"/>
        <v>398</v>
      </c>
      <c r="B100" s="6" t="s">
        <v>1356</v>
      </c>
      <c r="C100" s="7" t="str">
        <f t="shared" si="1"/>
        <v>🔊</v>
      </c>
      <c r="D100" s="22" t="s">
        <v>1357</v>
      </c>
      <c r="E100" s="6" t="s">
        <v>906</v>
      </c>
      <c r="F100" s="12" t="str">
        <f>IFERROR(__xludf.DUMMYFUNCTION("GOOGLETRANSLATE(B100,""zh_cn"",""vi"")"),"Mọi")</f>
        <v>Mọi</v>
      </c>
      <c r="G100" s="20" t="s">
        <v>1358</v>
      </c>
      <c r="H100" s="5" t="s">
        <v>1356</v>
      </c>
      <c r="I100" s="11" t="b">
        <f t="shared" si="2"/>
        <v>1</v>
      </c>
      <c r="K100" s="11" t="b">
        <f t="shared" si="3"/>
        <v>0</v>
      </c>
    </row>
    <row r="101" ht="22.5" customHeight="1">
      <c r="A101" s="12">
        <f t="shared" si="4"/>
        <v>399</v>
      </c>
      <c r="B101" s="6" t="s">
        <v>1359</v>
      </c>
      <c r="C101" s="7" t="str">
        <f t="shared" si="1"/>
        <v>🔊</v>
      </c>
      <c r="D101" s="22" t="s">
        <v>1360</v>
      </c>
      <c r="E101" s="14"/>
      <c r="F101" s="5" t="s">
        <v>1361</v>
      </c>
      <c r="G101" s="20" t="s">
        <v>1362</v>
      </c>
      <c r="I101" s="11" t="b">
        <f t="shared" si="2"/>
        <v>0</v>
      </c>
      <c r="K101" s="11" t="b">
        <f t="shared" si="3"/>
        <v>0</v>
      </c>
    </row>
    <row r="102" ht="22.5" customHeight="1">
      <c r="A102" s="12">
        <f t="shared" si="4"/>
        <v>400</v>
      </c>
      <c r="B102" s="6" t="s">
        <v>1363</v>
      </c>
      <c r="C102" s="7" t="str">
        <f t="shared" si="1"/>
        <v>🔊</v>
      </c>
      <c r="D102" s="22" t="s">
        <v>1364</v>
      </c>
      <c r="E102" s="6" t="s">
        <v>27</v>
      </c>
      <c r="F102" s="12" t="str">
        <f>IFERROR(__xludf.DUMMYFUNCTION("GOOGLETRANSLATE(B102,""zh_cn"",""vi"")"),"Cửa")</f>
        <v>Cửa</v>
      </c>
      <c r="G102" s="20" t="s">
        <v>1365</v>
      </c>
      <c r="H102" s="5" t="s">
        <v>1363</v>
      </c>
      <c r="I102" s="11" t="b">
        <f t="shared" si="2"/>
        <v>1</v>
      </c>
      <c r="K102" s="11" t="b">
        <f t="shared" si="3"/>
        <v>0</v>
      </c>
    </row>
    <row r="103" ht="22.5" customHeight="1">
      <c r="A103" s="12">
        <f t="shared" si="4"/>
        <v>401</v>
      </c>
      <c r="B103" s="6" t="s">
        <v>1366</v>
      </c>
      <c r="C103" s="7" t="str">
        <f t="shared" si="1"/>
        <v>🔊</v>
      </c>
      <c r="D103" s="22" t="s">
        <v>1367</v>
      </c>
      <c r="E103" s="6" t="s">
        <v>27</v>
      </c>
      <c r="F103" s="12" t="str">
        <f>IFERROR(__xludf.DUMMYFUNCTION("GOOGLETRANSLATE(B103,""zh_cn"",""vi"")"),"Lối vào")</f>
        <v>Lối vào</v>
      </c>
      <c r="G103" s="20" t="s">
        <v>1368</v>
      </c>
      <c r="H103" s="5" t="s">
        <v>1366</v>
      </c>
      <c r="I103" s="11" t="b">
        <f t="shared" si="2"/>
        <v>1</v>
      </c>
      <c r="K103" s="11" t="b">
        <f t="shared" si="3"/>
        <v>0</v>
      </c>
    </row>
    <row r="104" ht="22.5" customHeight="1">
      <c r="A104" s="12">
        <f t="shared" si="4"/>
        <v>402</v>
      </c>
      <c r="B104" s="6" t="s">
        <v>1369</v>
      </c>
      <c r="C104" s="7" t="str">
        <f t="shared" si="1"/>
        <v>🔊</v>
      </c>
      <c r="D104" s="22" t="s">
        <v>1370</v>
      </c>
      <c r="E104" s="6" t="s">
        <v>27</v>
      </c>
      <c r="F104" s="5" t="s">
        <v>1371</v>
      </c>
      <c r="G104" s="20" t="s">
        <v>1372</v>
      </c>
      <c r="H104" s="5" t="s">
        <v>1369</v>
      </c>
      <c r="I104" s="11" t="b">
        <f t="shared" si="2"/>
        <v>1</v>
      </c>
      <c r="K104" s="11" t="b">
        <f t="shared" si="3"/>
        <v>0</v>
      </c>
    </row>
    <row r="105" ht="22.5" customHeight="1">
      <c r="A105" s="12">
        <f t="shared" si="4"/>
        <v>403</v>
      </c>
      <c r="B105" s="6" t="s">
        <v>1373</v>
      </c>
      <c r="C105" s="7" t="str">
        <f t="shared" si="1"/>
        <v>🔊</v>
      </c>
      <c r="D105" s="22" t="s">
        <v>1374</v>
      </c>
      <c r="E105" s="6" t="s">
        <v>1375</v>
      </c>
      <c r="F105" s="5" t="s">
        <v>1376</v>
      </c>
      <c r="G105" s="20" t="s">
        <v>1377</v>
      </c>
      <c r="H105" s="5" t="s">
        <v>1373</v>
      </c>
      <c r="I105" s="11" t="b">
        <f t="shared" si="2"/>
        <v>1</v>
      </c>
      <c r="K105" s="11" t="b">
        <f t="shared" si="3"/>
        <v>0</v>
      </c>
    </row>
    <row r="106" ht="22.5" customHeight="1">
      <c r="A106" s="12">
        <f t="shared" si="4"/>
        <v>404</v>
      </c>
      <c r="B106" s="6" t="s">
        <v>27</v>
      </c>
      <c r="C106" s="7" t="str">
        <f t="shared" si="1"/>
        <v>🔊</v>
      </c>
      <c r="D106" s="22" t="s">
        <v>1378</v>
      </c>
      <c r="E106" s="6" t="s">
        <v>259</v>
      </c>
      <c r="F106" s="12" t="str">
        <f>IFERROR(__xludf.DUMMYFUNCTION("GOOGLETRANSLATE(B106,""zh_cn"",""vi"")"),"tên")</f>
        <v>tên</v>
      </c>
      <c r="G106" s="20" t="s">
        <v>1379</v>
      </c>
      <c r="H106" s="5" t="s">
        <v>27</v>
      </c>
      <c r="I106" s="11" t="b">
        <f t="shared" si="2"/>
        <v>1</v>
      </c>
      <c r="K106" s="11" t="b">
        <f t="shared" si="3"/>
        <v>0</v>
      </c>
    </row>
    <row r="107" ht="22.5" customHeight="1">
      <c r="A107" s="12">
        <f t="shared" si="4"/>
        <v>405</v>
      </c>
      <c r="B107" s="6" t="s">
        <v>1380</v>
      </c>
      <c r="C107" s="7" t="str">
        <f t="shared" si="1"/>
        <v>🔊</v>
      </c>
      <c r="D107" s="22" t="s">
        <v>1381</v>
      </c>
      <c r="E107" s="6" t="s">
        <v>13</v>
      </c>
      <c r="F107" s="5" t="s">
        <v>1382</v>
      </c>
      <c r="G107" s="20" t="s">
        <v>1383</v>
      </c>
      <c r="H107" s="5" t="s">
        <v>1380</v>
      </c>
      <c r="I107" s="11" t="b">
        <f t="shared" si="2"/>
        <v>1</v>
      </c>
      <c r="K107" s="11" t="b">
        <f t="shared" si="3"/>
        <v>0</v>
      </c>
    </row>
    <row r="108" ht="22.5" customHeight="1">
      <c r="A108" s="12">
        <f t="shared" si="4"/>
        <v>406</v>
      </c>
      <c r="B108" s="6" t="s">
        <v>1384</v>
      </c>
      <c r="C108" s="7" t="str">
        <f t="shared" si="1"/>
        <v>🔊</v>
      </c>
      <c r="D108" s="22" t="s">
        <v>1385</v>
      </c>
      <c r="E108" s="6" t="s">
        <v>27</v>
      </c>
      <c r="F108" s="12" t="str">
        <f>IFERROR(__xludf.DUMMYFUNCTION("GOOGLETRANSLATE(B108,""zh_cn"",""vi"")"),"trà sữa")</f>
        <v>trà sữa</v>
      </c>
      <c r="G108" s="20" t="s">
        <v>1386</v>
      </c>
      <c r="H108" s="5" t="s">
        <v>1384</v>
      </c>
      <c r="I108" s="11" t="b">
        <f t="shared" si="2"/>
        <v>1</v>
      </c>
      <c r="K108" s="11" t="b">
        <f t="shared" si="3"/>
        <v>0</v>
      </c>
    </row>
    <row r="109" ht="22.5" customHeight="1">
      <c r="A109" s="12">
        <f t="shared" si="4"/>
        <v>407</v>
      </c>
      <c r="B109" s="6" t="s">
        <v>1387</v>
      </c>
      <c r="C109" s="7" t="str">
        <f t="shared" si="1"/>
        <v>🔊</v>
      </c>
      <c r="D109" s="22" t="s">
        <v>1388</v>
      </c>
      <c r="E109" s="6" t="s">
        <v>27</v>
      </c>
      <c r="F109" s="12" t="str">
        <f>IFERROR(__xludf.DUMMYFUNCTION("GOOGLETRANSLATE(B109,""zh_cn"",""vi"")"),"bà")</f>
        <v>bà</v>
      </c>
      <c r="G109" s="20" t="s">
        <v>1389</v>
      </c>
      <c r="H109" s="5" t="s">
        <v>1387</v>
      </c>
      <c r="I109" s="11" t="b">
        <f t="shared" si="2"/>
        <v>1</v>
      </c>
      <c r="K109" s="11" t="b">
        <f t="shared" si="3"/>
        <v>0</v>
      </c>
    </row>
    <row r="110" ht="22.5" customHeight="1">
      <c r="A110" s="12">
        <f t="shared" si="4"/>
        <v>408</v>
      </c>
      <c r="B110" s="6" t="s">
        <v>1390</v>
      </c>
      <c r="C110" s="7" t="str">
        <f t="shared" si="1"/>
        <v>🔊</v>
      </c>
      <c r="D110" s="22" t="s">
        <v>1391</v>
      </c>
      <c r="E110" s="6" t="s">
        <v>1392</v>
      </c>
      <c r="F110" s="5" t="s">
        <v>1393</v>
      </c>
      <c r="G110" s="20" t="s">
        <v>1394</v>
      </c>
      <c r="H110" s="5" t="s">
        <v>1390</v>
      </c>
      <c r="I110" s="11" t="b">
        <f t="shared" si="2"/>
        <v>1</v>
      </c>
      <c r="K110" s="11" t="b">
        <f t="shared" si="3"/>
        <v>0</v>
      </c>
    </row>
    <row r="111" ht="22.5" customHeight="1">
      <c r="A111" s="12">
        <f t="shared" si="4"/>
        <v>409</v>
      </c>
      <c r="B111" s="6" t="s">
        <v>1395</v>
      </c>
      <c r="C111" s="7" t="str">
        <f t="shared" si="1"/>
        <v>🔊</v>
      </c>
      <c r="D111" s="22" t="s">
        <v>1396</v>
      </c>
      <c r="E111" s="6" t="s">
        <v>27</v>
      </c>
      <c r="F111" s="5" t="s">
        <v>1397</v>
      </c>
      <c r="G111" s="20" t="s">
        <v>1398</v>
      </c>
      <c r="H111" s="5"/>
      <c r="I111" s="11" t="b">
        <f t="shared" si="2"/>
        <v>0</v>
      </c>
      <c r="K111" s="11" t="b">
        <f t="shared" si="3"/>
        <v>0</v>
      </c>
    </row>
    <row r="112" ht="22.5" customHeight="1">
      <c r="A112" s="12">
        <f t="shared" si="4"/>
        <v>410</v>
      </c>
      <c r="B112" s="6" t="s">
        <v>1399</v>
      </c>
      <c r="C112" s="7" t="str">
        <f t="shared" si="1"/>
        <v>🔊</v>
      </c>
      <c r="D112" s="22" t="s">
        <v>1400</v>
      </c>
      <c r="E112" s="6" t="s">
        <v>106</v>
      </c>
      <c r="F112" s="5" t="s">
        <v>1401</v>
      </c>
      <c r="G112" s="20" t="s">
        <v>1402</v>
      </c>
      <c r="H112" s="5" t="s">
        <v>471</v>
      </c>
      <c r="I112" s="11" t="b">
        <f t="shared" si="2"/>
        <v>0</v>
      </c>
      <c r="K112" s="11" t="b">
        <f t="shared" si="3"/>
        <v>0</v>
      </c>
    </row>
    <row r="113" ht="22.5" customHeight="1">
      <c r="A113" s="12">
        <f t="shared" si="4"/>
        <v>411</v>
      </c>
      <c r="B113" s="6" t="s">
        <v>1403</v>
      </c>
      <c r="C113" s="7" t="str">
        <f t="shared" si="1"/>
        <v>🔊</v>
      </c>
      <c r="D113" s="22" t="s">
        <v>1404</v>
      </c>
      <c r="E113" s="6" t="s">
        <v>27</v>
      </c>
      <c r="F113" s="12" t="str">
        <f>IFERROR(__xludf.DUMMYFUNCTION("GOOGLETRANSLATE(B113,""zh_cn"",""vi"")"),"chim")</f>
        <v>chim</v>
      </c>
      <c r="G113" s="20" t="s">
        <v>1405</v>
      </c>
      <c r="H113" s="5" t="s">
        <v>1403</v>
      </c>
      <c r="I113" s="11" t="b">
        <f t="shared" si="2"/>
        <v>1</v>
      </c>
      <c r="K113" s="11" t="b">
        <f t="shared" si="3"/>
        <v>0</v>
      </c>
    </row>
    <row r="114" ht="22.5" customHeight="1">
      <c r="A114" s="12">
        <f t="shared" si="4"/>
        <v>412</v>
      </c>
      <c r="B114" s="6" t="s">
        <v>1406</v>
      </c>
      <c r="C114" s="7" t="str">
        <f t="shared" si="1"/>
        <v>🔊</v>
      </c>
      <c r="D114" s="22" t="s">
        <v>1407</v>
      </c>
      <c r="E114" s="6" t="s">
        <v>27</v>
      </c>
      <c r="F114" s="12" t="str">
        <f>IFERROR(__xludf.DUMMYFUNCTION("GOOGLETRANSLATE(B114,""zh_cn"",""vi"")"),"Con gái")</f>
        <v>Con gái</v>
      </c>
      <c r="G114" s="20" t="s">
        <v>1408</v>
      </c>
      <c r="H114" s="5" t="s">
        <v>1409</v>
      </c>
      <c r="I114" s="11" t="b">
        <f t="shared" si="2"/>
        <v>0</v>
      </c>
      <c r="K114" s="11" t="b">
        <f t="shared" si="3"/>
        <v>0</v>
      </c>
    </row>
    <row r="115" ht="22.5" customHeight="1">
      <c r="A115" s="12">
        <f t="shared" si="4"/>
        <v>413</v>
      </c>
      <c r="B115" s="6" t="s">
        <v>1410</v>
      </c>
      <c r="C115" s="7" t="str">
        <f t="shared" si="1"/>
        <v>🔊</v>
      </c>
      <c r="D115" s="22" t="s">
        <v>1411</v>
      </c>
      <c r="E115" s="6" t="s">
        <v>27</v>
      </c>
      <c r="F115" s="12" t="str">
        <f>IFERROR(__xludf.DUMMYFUNCTION("GOOGLETRANSLATE(B115,""zh_cn"",""vi"")"),"bên cạnh")</f>
        <v>bên cạnh</v>
      </c>
      <c r="G115" s="20" t="s">
        <v>1412</v>
      </c>
      <c r="H115" s="5" t="s">
        <v>1410</v>
      </c>
      <c r="I115" s="11" t="b">
        <f t="shared" si="2"/>
        <v>1</v>
      </c>
      <c r="K115" s="11" t="b">
        <f t="shared" si="3"/>
        <v>0</v>
      </c>
    </row>
    <row r="116" ht="22.5" customHeight="1">
      <c r="A116" s="12">
        <f t="shared" si="4"/>
        <v>414</v>
      </c>
      <c r="B116" s="6" t="s">
        <v>1413</v>
      </c>
      <c r="C116" s="7" t="str">
        <f t="shared" si="1"/>
        <v>🔊</v>
      </c>
      <c r="D116" s="22" t="s">
        <v>1414</v>
      </c>
      <c r="E116" s="6" t="s">
        <v>13</v>
      </c>
      <c r="F116" s="12" t="str">
        <f>IFERROR(__xludf.DUMMYFUNCTION("GOOGLETRANSLATE(B116,""zh_cn"",""vi"")"),"chạy")</f>
        <v>chạy</v>
      </c>
      <c r="G116" s="20" t="s">
        <v>1415</v>
      </c>
      <c r="H116" s="5" t="s">
        <v>1413</v>
      </c>
      <c r="I116" s="11" t="b">
        <f t="shared" si="2"/>
        <v>1</v>
      </c>
      <c r="K116" s="11" t="b">
        <f t="shared" si="3"/>
        <v>0</v>
      </c>
    </row>
    <row r="117" ht="22.5" customHeight="1">
      <c r="A117" s="12">
        <f t="shared" si="4"/>
        <v>415</v>
      </c>
      <c r="B117" s="6" t="s">
        <v>1416</v>
      </c>
      <c r="C117" s="7" t="str">
        <f t="shared" si="1"/>
        <v>🔊</v>
      </c>
      <c r="D117" s="22" t="s">
        <v>1417</v>
      </c>
      <c r="E117" s="6" t="s">
        <v>13</v>
      </c>
      <c r="F117" s="12" t="str">
        <f>IFERROR(__xludf.DUMMYFUNCTION("GOOGLETRANSLATE(B117,""zh_cn"",""vi"")"),"đang chạy")</f>
        <v>đang chạy</v>
      </c>
      <c r="G117" s="20" t="s">
        <v>1418</v>
      </c>
      <c r="H117" s="5" t="s">
        <v>1416</v>
      </c>
      <c r="I117" s="11" t="b">
        <f t="shared" si="2"/>
        <v>1</v>
      </c>
      <c r="K117" s="11" t="b">
        <f t="shared" si="3"/>
        <v>0</v>
      </c>
    </row>
    <row r="118" ht="22.5" customHeight="1">
      <c r="A118" s="12">
        <f t="shared" si="4"/>
        <v>416</v>
      </c>
      <c r="B118" s="6" t="s">
        <v>1419</v>
      </c>
      <c r="C118" s="7" t="str">
        <f t="shared" si="1"/>
        <v>🔊</v>
      </c>
      <c r="D118" s="22" t="s">
        <v>1420</v>
      </c>
      <c r="E118" s="6" t="s">
        <v>27</v>
      </c>
      <c r="F118" s="12" t="str">
        <f>IFERROR(__xludf.DUMMYFUNCTION("GOOGLETRANSLATE(B118,""zh_cn"",""vi"")"),"vé")</f>
        <v>vé</v>
      </c>
      <c r="G118" s="20" t="s">
        <v>1421</v>
      </c>
      <c r="H118" s="5" t="s">
        <v>1419</v>
      </c>
      <c r="I118" s="11" t="b">
        <f t="shared" si="2"/>
        <v>1</v>
      </c>
      <c r="K118" s="11" t="b">
        <f t="shared" si="3"/>
        <v>0</v>
      </c>
    </row>
    <row r="119" ht="22.5" customHeight="1">
      <c r="A119" s="12">
        <f t="shared" si="4"/>
        <v>417</v>
      </c>
      <c r="B119" s="6" t="s">
        <v>1422</v>
      </c>
      <c r="C119" s="7" t="str">
        <f t="shared" si="1"/>
        <v>🔊</v>
      </c>
      <c r="D119" s="22" t="s">
        <v>1423</v>
      </c>
      <c r="E119" s="6" t="s">
        <v>27</v>
      </c>
      <c r="F119" s="5" t="s">
        <v>1424</v>
      </c>
      <c r="G119" s="20" t="s">
        <v>1425</v>
      </c>
      <c r="H119" s="5" t="s">
        <v>1426</v>
      </c>
      <c r="I119" s="11" t="b">
        <f t="shared" si="2"/>
        <v>0</v>
      </c>
      <c r="K119" s="11" t="b">
        <f t="shared" si="3"/>
        <v>0</v>
      </c>
    </row>
    <row r="120" ht="22.5" customHeight="1">
      <c r="A120" s="12">
        <f t="shared" si="4"/>
        <v>418</v>
      </c>
      <c r="B120" s="6" t="s">
        <v>1427</v>
      </c>
      <c r="C120" s="7" t="str">
        <f t="shared" si="1"/>
        <v>🔊</v>
      </c>
      <c r="D120" s="22" t="s">
        <v>1428</v>
      </c>
      <c r="E120" s="6" t="s">
        <v>13</v>
      </c>
      <c r="F120" s="12" t="str">
        <f>IFERROR(__xludf.DUMMYFUNCTION("GOOGLETRANSLATE(B120,""zh_cn"",""vi"")"),"đứng lên")</f>
        <v>đứng lên</v>
      </c>
      <c r="G120" s="20" t="s">
        <v>1429</v>
      </c>
      <c r="I120" s="11" t="b">
        <f t="shared" si="2"/>
        <v>0</v>
      </c>
      <c r="K120" s="11" t="b">
        <f t="shared" si="3"/>
        <v>0</v>
      </c>
    </row>
    <row r="121" ht="22.5" customHeight="1">
      <c r="A121" s="12">
        <f t="shared" si="4"/>
        <v>419</v>
      </c>
      <c r="B121" s="6" t="s">
        <v>1430</v>
      </c>
      <c r="C121" s="7" t="str">
        <f t="shared" si="1"/>
        <v>🔊</v>
      </c>
      <c r="D121" s="22" t="s">
        <v>1431</v>
      </c>
      <c r="E121" s="6" t="s">
        <v>99</v>
      </c>
      <c r="F121" s="5" t="s">
        <v>1432</v>
      </c>
      <c r="G121" s="20" t="s">
        <v>1433</v>
      </c>
      <c r="H121" s="5" t="s">
        <v>1430</v>
      </c>
      <c r="I121" s="11" t="b">
        <f t="shared" si="2"/>
        <v>1</v>
      </c>
      <c r="K121" s="11" t="b">
        <f t="shared" si="3"/>
        <v>0</v>
      </c>
    </row>
    <row r="122" ht="22.5" customHeight="1">
      <c r="A122" s="12">
        <f t="shared" si="4"/>
        <v>420</v>
      </c>
      <c r="B122" s="6" t="s">
        <v>1434</v>
      </c>
      <c r="C122" s="7" t="str">
        <f t="shared" si="1"/>
        <v>🔊</v>
      </c>
      <c r="D122" s="22" t="s">
        <v>1435</v>
      </c>
      <c r="E122" s="6" t="s">
        <v>27</v>
      </c>
      <c r="F122" s="12" t="str">
        <f>IFERROR(__xludf.DUMMYFUNCTION("GOOGLETRANSLATE(B122,""zh_cn"",""vi"")"),"quả bóng")</f>
        <v>quả bóng</v>
      </c>
      <c r="G122" s="20" t="s">
        <v>1436</v>
      </c>
      <c r="H122" s="5" t="s">
        <v>1434</v>
      </c>
      <c r="I122" s="11" t="b">
        <f t="shared" si="2"/>
        <v>1</v>
      </c>
      <c r="K122" s="11" t="b">
        <f t="shared" si="3"/>
        <v>0</v>
      </c>
    </row>
    <row r="123" ht="22.5" customHeight="1">
      <c r="A123" s="12">
        <f t="shared" si="4"/>
        <v>421</v>
      </c>
      <c r="B123" s="6" t="s">
        <v>1437</v>
      </c>
      <c r="C123" s="7" t="str">
        <f t="shared" si="1"/>
        <v>🔊</v>
      </c>
      <c r="D123" s="22" t="s">
        <v>1438</v>
      </c>
      <c r="E123" s="6" t="s">
        <v>27</v>
      </c>
      <c r="F123" s="12" t="str">
        <f>IFERROR(__xludf.DUMMYFUNCTION("GOOGLETRANSLATE(B123,""zh_cn"",""vi"")"),"vợ")</f>
        <v>vợ</v>
      </c>
      <c r="G123" s="20" t="s">
        <v>1439</v>
      </c>
      <c r="H123" s="5" t="s">
        <v>1437</v>
      </c>
      <c r="I123" s="11" t="b">
        <f t="shared" si="2"/>
        <v>1</v>
      </c>
      <c r="K123" s="11" t="b">
        <f t="shared" si="3"/>
        <v>0</v>
      </c>
    </row>
    <row r="124" ht="22.5" customHeight="1">
      <c r="A124" s="12">
        <f t="shared" si="4"/>
        <v>422</v>
      </c>
      <c r="B124" s="6" t="s">
        <v>1440</v>
      </c>
      <c r="C124" s="7" t="str">
        <f t="shared" si="1"/>
        <v>🔊</v>
      </c>
      <c r="D124" s="22" t="s">
        <v>1441</v>
      </c>
      <c r="E124" s="6" t="s">
        <v>225</v>
      </c>
      <c r="F124" s="5" t="s">
        <v>1442</v>
      </c>
      <c r="G124" s="20" t="s">
        <v>1443</v>
      </c>
      <c r="I124" s="11" t="b">
        <f t="shared" si="2"/>
        <v>0</v>
      </c>
      <c r="K124" s="11" t="b">
        <f t="shared" si="3"/>
        <v>0</v>
      </c>
    </row>
    <row r="125" ht="22.5" customHeight="1">
      <c r="A125" s="12">
        <f t="shared" si="4"/>
        <v>423</v>
      </c>
      <c r="B125" s="6" t="s">
        <v>1444</v>
      </c>
      <c r="C125" s="7" t="str">
        <f t="shared" si="1"/>
        <v>🔊</v>
      </c>
      <c r="D125" s="22" t="s">
        <v>1445</v>
      </c>
      <c r="E125" s="6" t="s">
        <v>27</v>
      </c>
      <c r="F125" s="12" t="str">
        <f>IFERROR(__xludf.DUMMYFUNCTION("GOOGLETRANSLATE(B125,""zh_cn"",""vi"")"),"Thịt")</f>
        <v>Thịt</v>
      </c>
      <c r="G125" s="20" t="s">
        <v>1446</v>
      </c>
      <c r="H125" s="5" t="s">
        <v>1444</v>
      </c>
      <c r="I125" s="11" t="b">
        <f t="shared" si="2"/>
        <v>1</v>
      </c>
      <c r="K125" s="11" t="b">
        <f t="shared" si="3"/>
        <v>0</v>
      </c>
    </row>
    <row r="126" ht="22.5" customHeight="1">
      <c r="A126" s="12">
        <f t="shared" si="4"/>
        <v>424</v>
      </c>
      <c r="B126" s="6" t="s">
        <v>1447</v>
      </c>
      <c r="C126" s="7" t="str">
        <f t="shared" si="1"/>
        <v>🔊</v>
      </c>
      <c r="D126" s="22" t="s">
        <v>1448</v>
      </c>
      <c r="E126" s="6" t="s">
        <v>27</v>
      </c>
      <c r="F126" s="12" t="str">
        <f>IFERROR(__xludf.DUMMYFUNCTION("GOOGLETRANSLATE(B126,""zh_cn"",""vi"")"),"trung tâm mua sắm")</f>
        <v>trung tâm mua sắm</v>
      </c>
      <c r="G126" s="20" t="s">
        <v>1449</v>
      </c>
      <c r="I126" s="11" t="b">
        <f t="shared" si="2"/>
        <v>0</v>
      </c>
      <c r="K126" s="11" t="b">
        <f t="shared" si="3"/>
        <v>0</v>
      </c>
    </row>
    <row r="127" ht="22.5" customHeight="1">
      <c r="A127" s="12">
        <f t="shared" si="4"/>
        <v>425</v>
      </c>
      <c r="B127" s="6" t="s">
        <v>1450</v>
      </c>
      <c r="C127" s="7" t="str">
        <f t="shared" si="1"/>
        <v>🔊</v>
      </c>
      <c r="D127" s="22" t="s">
        <v>1451</v>
      </c>
      <c r="E127" s="6" t="s">
        <v>13</v>
      </c>
      <c r="F127" s="5" t="s">
        <v>1452</v>
      </c>
      <c r="G127" s="20" t="s">
        <v>1453</v>
      </c>
      <c r="H127" s="5" t="s">
        <v>1450</v>
      </c>
      <c r="I127" s="11" t="b">
        <f t="shared" si="2"/>
        <v>1</v>
      </c>
      <c r="K127" s="11" t="b">
        <f t="shared" si="3"/>
        <v>0</v>
      </c>
    </row>
    <row r="128" ht="22.5" customHeight="1">
      <c r="A128" s="12">
        <f t="shared" si="4"/>
        <v>426</v>
      </c>
      <c r="B128" s="6" t="s">
        <v>1454</v>
      </c>
      <c r="C128" s="7" t="str">
        <f t="shared" si="1"/>
        <v>🔊</v>
      </c>
      <c r="D128" s="22" t="s">
        <v>1455</v>
      </c>
      <c r="E128" s="6" t="s">
        <v>27</v>
      </c>
      <c r="F128" s="12" t="str">
        <f>IFERROR(__xludf.DUMMYFUNCTION("GOOGLETRANSLATE(B128,""zh_cn"",""vi"")"),"bên trên")</f>
        <v>bên trên</v>
      </c>
      <c r="G128" s="20" t="s">
        <v>1453</v>
      </c>
      <c r="H128" s="5" t="s">
        <v>1454</v>
      </c>
      <c r="I128" s="11" t="b">
        <f t="shared" si="2"/>
        <v>1</v>
      </c>
      <c r="K128" s="11" t="b">
        <f t="shared" si="3"/>
        <v>0</v>
      </c>
    </row>
    <row r="129" ht="22.5" customHeight="1">
      <c r="A129" s="12">
        <f t="shared" si="4"/>
        <v>427</v>
      </c>
      <c r="B129" s="6" t="s">
        <v>1456</v>
      </c>
      <c r="C129" s="7" t="str">
        <f t="shared" si="1"/>
        <v>🔊</v>
      </c>
      <c r="D129" s="22" t="s">
        <v>1457</v>
      </c>
      <c r="E129" s="6" t="s">
        <v>13</v>
      </c>
      <c r="F129" s="5" t="s">
        <v>1458</v>
      </c>
      <c r="G129" s="20" t="s">
        <v>1453</v>
      </c>
      <c r="H129" s="5" t="s">
        <v>1456</v>
      </c>
      <c r="I129" s="11" t="b">
        <f t="shared" si="2"/>
        <v>1</v>
      </c>
      <c r="K129" s="11" t="b">
        <f t="shared" si="3"/>
        <v>0</v>
      </c>
    </row>
    <row r="130" ht="22.5" customHeight="1">
      <c r="A130" s="12">
        <f t="shared" si="4"/>
        <v>428</v>
      </c>
      <c r="B130" s="6" t="s">
        <v>1459</v>
      </c>
      <c r="C130" s="7" t="str">
        <f t="shared" si="1"/>
        <v>🔊</v>
      </c>
      <c r="D130" s="22" t="s">
        <v>1460</v>
      </c>
      <c r="E130" s="6" t="s">
        <v>13</v>
      </c>
      <c r="F130" s="5" t="s">
        <v>1461</v>
      </c>
      <c r="G130" s="20" t="s">
        <v>1462</v>
      </c>
      <c r="H130" s="5" t="s">
        <v>1459</v>
      </c>
      <c r="I130" s="11" t="b">
        <f t="shared" si="2"/>
        <v>1</v>
      </c>
      <c r="K130" s="11" t="b">
        <f t="shared" si="3"/>
        <v>0</v>
      </c>
    </row>
    <row r="131" ht="22.5" customHeight="1">
      <c r="A131" s="12">
        <f t="shared" si="4"/>
        <v>429</v>
      </c>
      <c r="B131" s="6" t="s">
        <v>1463</v>
      </c>
      <c r="C131" s="7" t="str">
        <f t="shared" si="1"/>
        <v>🔊</v>
      </c>
      <c r="D131" s="22" t="s">
        <v>1464</v>
      </c>
      <c r="E131" s="6" t="s">
        <v>27</v>
      </c>
      <c r="F131" s="12" t="str">
        <f>IFERROR(__xludf.DUMMYFUNCTION("GOOGLETRANSLATE(B131,""zh_cn"",""vi"")"),"Sinh nhật")</f>
        <v>Sinh nhật</v>
      </c>
      <c r="G131" s="20" t="s">
        <v>1465</v>
      </c>
      <c r="H131" s="5" t="s">
        <v>1463</v>
      </c>
      <c r="I131" s="11" t="b">
        <f t="shared" si="2"/>
        <v>1</v>
      </c>
      <c r="K131" s="11" t="b">
        <f t="shared" si="3"/>
        <v>0</v>
      </c>
    </row>
    <row r="132" ht="22.5" customHeight="1">
      <c r="A132" s="12">
        <f t="shared" si="4"/>
        <v>430</v>
      </c>
      <c r="B132" s="6" t="s">
        <v>1466</v>
      </c>
      <c r="C132" s="7" t="str">
        <f t="shared" si="1"/>
        <v>🔊</v>
      </c>
      <c r="D132" s="22" t="s">
        <v>1467</v>
      </c>
      <c r="E132" s="6" t="s">
        <v>27</v>
      </c>
      <c r="F132" s="5" t="s">
        <v>1468</v>
      </c>
      <c r="G132" s="20" t="s">
        <v>1469</v>
      </c>
      <c r="H132" s="5" t="s">
        <v>1179</v>
      </c>
      <c r="I132" s="11" t="b">
        <f t="shared" si="2"/>
        <v>0</v>
      </c>
      <c r="K132" s="11" t="b">
        <f t="shared" si="3"/>
        <v>0</v>
      </c>
    </row>
    <row r="133" ht="22.5" customHeight="1">
      <c r="A133" s="12">
        <f t="shared" si="4"/>
        <v>431</v>
      </c>
      <c r="B133" s="6" t="s">
        <v>1470</v>
      </c>
      <c r="C133" s="7" t="str">
        <f t="shared" si="1"/>
        <v>🔊</v>
      </c>
      <c r="D133" s="22" t="s">
        <v>637</v>
      </c>
      <c r="E133" s="6" t="s">
        <v>1034</v>
      </c>
      <c r="F133" s="5" t="s">
        <v>1471</v>
      </c>
      <c r="G133" s="20" t="s">
        <v>1472</v>
      </c>
      <c r="H133" s="5" t="s">
        <v>649</v>
      </c>
      <c r="I133" s="11" t="b">
        <f t="shared" si="2"/>
        <v>0</v>
      </c>
      <c r="K133" s="11" t="b">
        <f t="shared" si="3"/>
        <v>0</v>
      </c>
    </row>
    <row r="134" ht="22.5" customHeight="1">
      <c r="A134" s="12">
        <f t="shared" si="4"/>
        <v>432</v>
      </c>
      <c r="B134" s="6" t="s">
        <v>1473</v>
      </c>
      <c r="C134" s="7" t="str">
        <f t="shared" si="1"/>
        <v>🔊</v>
      </c>
      <c r="D134" s="22" t="s">
        <v>1474</v>
      </c>
      <c r="E134" s="6" t="s">
        <v>27</v>
      </c>
      <c r="F134" s="5" t="s">
        <v>1475</v>
      </c>
      <c r="G134" s="20" t="s">
        <v>1476</v>
      </c>
      <c r="H134" s="5" t="s">
        <v>1473</v>
      </c>
      <c r="I134" s="11" t="b">
        <f t="shared" si="2"/>
        <v>1</v>
      </c>
      <c r="K134" s="11" t="b">
        <f t="shared" si="3"/>
        <v>0</v>
      </c>
    </row>
    <row r="135" ht="22.5" customHeight="1">
      <c r="A135" s="12">
        <f t="shared" si="4"/>
        <v>433</v>
      </c>
      <c r="B135" s="6" t="s">
        <v>1477</v>
      </c>
      <c r="C135" s="7" t="str">
        <f t="shared" si="1"/>
        <v>🔊</v>
      </c>
      <c r="D135" s="22" t="s">
        <v>1478</v>
      </c>
      <c r="E135" s="6" t="s">
        <v>27</v>
      </c>
      <c r="F135" s="12" t="str">
        <f>IFERROR(__xludf.DUMMYFUNCTION("GOOGLETRANSLATE(B135,""zh_cn"",""vi"")"),"tay")</f>
        <v>tay</v>
      </c>
      <c r="G135" s="20" t="s">
        <v>1479</v>
      </c>
      <c r="H135" s="5" t="s">
        <v>1477</v>
      </c>
      <c r="I135" s="11" t="b">
        <f t="shared" si="2"/>
        <v>1</v>
      </c>
      <c r="K135" s="11" t="b">
        <f t="shared" si="3"/>
        <v>0</v>
      </c>
    </row>
    <row r="136" ht="22.5" customHeight="1">
      <c r="A136" s="12">
        <f t="shared" si="4"/>
        <v>434</v>
      </c>
      <c r="B136" s="6" t="s">
        <v>1480</v>
      </c>
      <c r="C136" s="7" t="str">
        <f t="shared" si="1"/>
        <v>🔊</v>
      </c>
      <c r="D136" s="22" t="s">
        <v>1481</v>
      </c>
      <c r="E136" s="6" t="s">
        <v>27</v>
      </c>
      <c r="F136" s="12" t="str">
        <f>IFERROR(__xludf.DUMMYFUNCTION("GOOGLETRANSLATE(B136,""zh_cn"",""vi"")"),"đồng hồ ")</f>
        <v>đồng hồ </v>
      </c>
      <c r="G136" s="20" t="s">
        <v>1482</v>
      </c>
      <c r="H136" s="5" t="s">
        <v>1480</v>
      </c>
      <c r="I136" s="11" t="b">
        <f t="shared" si="2"/>
        <v>1</v>
      </c>
      <c r="K136" s="11" t="b">
        <f t="shared" si="3"/>
        <v>0</v>
      </c>
    </row>
    <row r="137" ht="22.5" customHeight="1">
      <c r="A137" s="12">
        <f t="shared" si="4"/>
        <v>435</v>
      </c>
      <c r="B137" s="6" t="s">
        <v>1483</v>
      </c>
      <c r="C137" s="7" t="str">
        <f t="shared" si="1"/>
        <v>🔊</v>
      </c>
      <c r="D137" s="22" t="s">
        <v>1484</v>
      </c>
      <c r="E137" s="6" t="s">
        <v>27</v>
      </c>
      <c r="F137" s="5" t="s">
        <v>1485</v>
      </c>
      <c r="G137" s="20" t="s">
        <v>1486</v>
      </c>
      <c r="H137" s="5" t="s">
        <v>39</v>
      </c>
      <c r="I137" s="11" t="b">
        <f t="shared" si="2"/>
        <v>0</v>
      </c>
      <c r="K137" s="11" t="b">
        <f t="shared" si="3"/>
        <v>0</v>
      </c>
    </row>
    <row r="138" ht="22.5" customHeight="1">
      <c r="A138" s="12">
        <f t="shared" si="4"/>
        <v>436</v>
      </c>
      <c r="B138" s="6" t="s">
        <v>1487</v>
      </c>
      <c r="C138" s="7" t="str">
        <f t="shared" si="1"/>
        <v>🔊</v>
      </c>
      <c r="D138" s="22" t="s">
        <v>1488</v>
      </c>
      <c r="E138" s="6" t="s">
        <v>99</v>
      </c>
      <c r="F138" s="12" t="str">
        <f>IFERROR(__xludf.DUMMYFUNCTION("GOOGLETRANSLATE(B138,""zh_cn"",""vi"")"),"Thoải mái")</f>
        <v>Thoải mái</v>
      </c>
      <c r="G138" s="20" t="s">
        <v>1489</v>
      </c>
      <c r="H138" s="5" t="s">
        <v>1487</v>
      </c>
      <c r="I138" s="11" t="b">
        <f t="shared" si="2"/>
        <v>1</v>
      </c>
      <c r="K138" s="11" t="b">
        <f t="shared" si="3"/>
        <v>0</v>
      </c>
    </row>
    <row r="139" ht="22.5" customHeight="1">
      <c r="A139" s="12">
        <f t="shared" si="4"/>
        <v>437</v>
      </c>
      <c r="B139" s="6" t="s">
        <v>1490</v>
      </c>
      <c r="C139" s="7" t="str">
        <f t="shared" si="1"/>
        <v>🔊</v>
      </c>
      <c r="D139" s="22" t="s">
        <v>1491</v>
      </c>
      <c r="E139" s="6" t="s">
        <v>13</v>
      </c>
      <c r="F139" s="5" t="s">
        <v>1492</v>
      </c>
      <c r="G139" s="20" t="s">
        <v>1493</v>
      </c>
      <c r="H139" s="5" t="s">
        <v>1490</v>
      </c>
      <c r="I139" s="11" t="b">
        <f t="shared" si="2"/>
        <v>1</v>
      </c>
      <c r="K139" s="11" t="b">
        <f t="shared" si="3"/>
        <v>0</v>
      </c>
    </row>
    <row r="140" ht="22.5" customHeight="1">
      <c r="A140" s="12">
        <f t="shared" si="4"/>
        <v>438</v>
      </c>
      <c r="B140" s="6" t="s">
        <v>1494</v>
      </c>
      <c r="C140" s="7" t="str">
        <f t="shared" si="1"/>
        <v>🔊</v>
      </c>
      <c r="D140" s="22" t="s">
        <v>1495</v>
      </c>
      <c r="E140" s="6" t="s">
        <v>1132</v>
      </c>
      <c r="F140" s="12" t="str">
        <f>IFERROR(__xludf.DUMMYFUNCTION("GOOGLETRANSLATE(B140,""zh_cn"",""vi"")"),"Mặc dù")</f>
        <v>Mặc dù</v>
      </c>
      <c r="G140" s="20" t="s">
        <v>1496</v>
      </c>
      <c r="H140" s="5" t="s">
        <v>1494</v>
      </c>
      <c r="I140" s="11" t="b">
        <f t="shared" si="2"/>
        <v>1</v>
      </c>
      <c r="K140" s="11" t="b">
        <f t="shared" si="3"/>
        <v>0</v>
      </c>
    </row>
    <row r="141" ht="22.5" customHeight="1">
      <c r="A141" s="12">
        <f t="shared" si="4"/>
        <v>439</v>
      </c>
      <c r="B141" s="6" t="s">
        <v>1497</v>
      </c>
      <c r="C141" s="7" t="str">
        <f t="shared" si="1"/>
        <v>🔊</v>
      </c>
      <c r="D141" s="22" t="s">
        <v>1498</v>
      </c>
      <c r="E141" s="6" t="s">
        <v>1132</v>
      </c>
      <c r="F141" s="12" t="str">
        <f>IFERROR(__xludf.DUMMYFUNCTION("GOOGLETRANSLATE(B141,""zh_cn"",""vi"")"),"Vì thế")</f>
        <v>Vì thế</v>
      </c>
      <c r="G141" s="20" t="s">
        <v>1499</v>
      </c>
      <c r="H141" s="5" t="s">
        <v>1497</v>
      </c>
      <c r="I141" s="11" t="b">
        <f t="shared" si="2"/>
        <v>1</v>
      </c>
      <c r="K141" s="11" t="b">
        <f t="shared" si="3"/>
        <v>0</v>
      </c>
    </row>
    <row r="142" ht="22.5" customHeight="1">
      <c r="A142" s="12">
        <f t="shared" si="4"/>
        <v>440</v>
      </c>
      <c r="B142" s="6" t="s">
        <v>1500</v>
      </c>
      <c r="C142" s="7" t="str">
        <f t="shared" si="1"/>
        <v>🔊</v>
      </c>
      <c r="D142" s="22" t="s">
        <v>1501</v>
      </c>
      <c r="E142" s="6" t="s">
        <v>1502</v>
      </c>
      <c r="F142" s="5" t="s">
        <v>1503</v>
      </c>
      <c r="G142" s="20" t="s">
        <v>1504</v>
      </c>
      <c r="H142" s="5" t="s">
        <v>1500</v>
      </c>
      <c r="I142" s="11" t="b">
        <f t="shared" si="2"/>
        <v>1</v>
      </c>
      <c r="K142" s="11" t="b">
        <f t="shared" si="3"/>
        <v>0</v>
      </c>
    </row>
    <row r="143" ht="22.5" customHeight="1">
      <c r="A143" s="12">
        <f t="shared" si="4"/>
        <v>441</v>
      </c>
      <c r="B143" s="6" t="s">
        <v>1505</v>
      </c>
      <c r="C143" s="7" t="str">
        <f t="shared" si="1"/>
        <v>🔊</v>
      </c>
      <c r="D143" s="22" t="s">
        <v>1506</v>
      </c>
      <c r="E143" s="6" t="s">
        <v>27</v>
      </c>
      <c r="F143" s="5" t="s">
        <v>1507</v>
      </c>
      <c r="G143" s="20" t="s">
        <v>1508</v>
      </c>
      <c r="H143" s="5" t="s">
        <v>1505</v>
      </c>
      <c r="I143" s="11" t="b">
        <f t="shared" si="2"/>
        <v>1</v>
      </c>
      <c r="K143" s="11" t="b">
        <f t="shared" si="3"/>
        <v>0</v>
      </c>
    </row>
    <row r="144" ht="22.5" customHeight="1">
      <c r="A144" s="12">
        <f t="shared" si="4"/>
        <v>442</v>
      </c>
      <c r="B144" s="6" t="s">
        <v>1509</v>
      </c>
      <c r="C144" s="7" t="str">
        <f t="shared" si="1"/>
        <v>🔊</v>
      </c>
      <c r="D144" s="22" t="s">
        <v>1510</v>
      </c>
      <c r="E144" s="6" t="s">
        <v>13</v>
      </c>
      <c r="F144" s="5" t="s">
        <v>1511</v>
      </c>
      <c r="G144" s="20" t="s">
        <v>1512</v>
      </c>
      <c r="H144" s="5" t="s">
        <v>1509</v>
      </c>
      <c r="I144" s="11" t="b">
        <f t="shared" si="2"/>
        <v>1</v>
      </c>
      <c r="K144" s="11" t="b">
        <f t="shared" si="3"/>
        <v>0</v>
      </c>
    </row>
    <row r="145" ht="22.5" customHeight="1">
      <c r="A145" s="12">
        <f t="shared" si="4"/>
        <v>443</v>
      </c>
      <c r="B145" s="6" t="s">
        <v>1513</v>
      </c>
      <c r="C145" s="7" t="str">
        <f t="shared" si="1"/>
        <v>🔊</v>
      </c>
      <c r="D145" s="22" t="s">
        <v>1514</v>
      </c>
      <c r="E145" s="6" t="s">
        <v>130</v>
      </c>
      <c r="F145" s="12" t="str">
        <f>IFERROR(__xludf.DUMMYFUNCTION("GOOGLETRANSLATE(B145,""zh_cn"",""vi"")"),"dải")</f>
        <v>dải</v>
      </c>
      <c r="G145" s="20" t="s">
        <v>1515</v>
      </c>
      <c r="H145" s="5" t="s">
        <v>1513</v>
      </c>
      <c r="I145" s="11" t="b">
        <f t="shared" si="2"/>
        <v>1</v>
      </c>
      <c r="K145" s="11" t="b">
        <f t="shared" si="3"/>
        <v>0</v>
      </c>
    </row>
    <row r="146" ht="22.5" customHeight="1">
      <c r="A146" s="12">
        <f t="shared" si="4"/>
        <v>444</v>
      </c>
      <c r="B146" s="6" t="s">
        <v>1516</v>
      </c>
      <c r="C146" s="7" t="str">
        <f t="shared" si="1"/>
        <v>🔊</v>
      </c>
      <c r="D146" s="22" t="s">
        <v>1517</v>
      </c>
      <c r="E146" s="6" t="s">
        <v>13</v>
      </c>
      <c r="F146" s="5" t="s">
        <v>1518</v>
      </c>
      <c r="G146" s="20" t="s">
        <v>1519</v>
      </c>
      <c r="H146" s="5" t="s">
        <v>1516</v>
      </c>
      <c r="I146" s="11" t="b">
        <f t="shared" si="2"/>
        <v>1</v>
      </c>
      <c r="K146" s="11" t="b">
        <f t="shared" si="3"/>
        <v>0</v>
      </c>
    </row>
    <row r="147" ht="22.5" customHeight="1">
      <c r="A147" s="12">
        <f t="shared" si="4"/>
        <v>445</v>
      </c>
      <c r="B147" s="6" t="s">
        <v>1520</v>
      </c>
      <c r="C147" s="7" t="str">
        <f t="shared" si="1"/>
        <v>🔊</v>
      </c>
      <c r="D147" s="22" t="s">
        <v>1521</v>
      </c>
      <c r="E147" s="6" t="s">
        <v>1522</v>
      </c>
      <c r="F147" s="12" t="str">
        <f>IFERROR(__xludf.DUMMYFUNCTION("GOOGLETRANSLATE(B147,""zh_cn"",""vi"")"),"cái đầu")</f>
        <v>cái đầu</v>
      </c>
      <c r="G147" s="20" t="s">
        <v>1523</v>
      </c>
      <c r="H147" s="5" t="s">
        <v>1520</v>
      </c>
      <c r="I147" s="11" t="b">
        <f t="shared" si="2"/>
        <v>1</v>
      </c>
      <c r="K147" s="11" t="b">
        <f t="shared" si="3"/>
        <v>0</v>
      </c>
    </row>
    <row r="148" ht="22.5" customHeight="1">
      <c r="A148" s="12">
        <f t="shared" si="4"/>
        <v>446</v>
      </c>
      <c r="B148" s="6" t="s">
        <v>1524</v>
      </c>
      <c r="C148" s="7" t="str">
        <f t="shared" si="1"/>
        <v>🔊</v>
      </c>
      <c r="D148" s="22" t="s">
        <v>1525</v>
      </c>
      <c r="E148" s="6" t="s">
        <v>27</v>
      </c>
      <c r="F148" s="12" t="str">
        <f>IFERROR(__xludf.DUMMYFUNCTION("GOOGLETRANSLATE(B148,""zh_cn"",""vi"")"),"nước ngoài")</f>
        <v>nước ngoài</v>
      </c>
      <c r="G148" s="20" t="s">
        <v>1526</v>
      </c>
      <c r="H148" s="5" t="s">
        <v>1524</v>
      </c>
      <c r="I148" s="11" t="b">
        <f t="shared" si="2"/>
        <v>1</v>
      </c>
      <c r="K148" s="11" t="b">
        <f t="shared" si="3"/>
        <v>0</v>
      </c>
    </row>
    <row r="149" ht="22.5" customHeight="1">
      <c r="A149" s="12">
        <f t="shared" si="4"/>
        <v>447</v>
      </c>
      <c r="B149" s="6" t="s">
        <v>1527</v>
      </c>
      <c r="C149" s="7" t="str">
        <f t="shared" si="1"/>
        <v>🔊</v>
      </c>
      <c r="D149" s="22" t="s">
        <v>1528</v>
      </c>
      <c r="E149" s="6" t="s">
        <v>27</v>
      </c>
      <c r="F149" s="5" t="s">
        <v>729</v>
      </c>
      <c r="G149" s="5" t="s">
        <v>1529</v>
      </c>
      <c r="H149" s="5" t="s">
        <v>1527</v>
      </c>
      <c r="I149" s="11" t="b">
        <f t="shared" si="2"/>
        <v>1</v>
      </c>
      <c r="K149" s="11" t="b">
        <f t="shared" si="3"/>
        <v>0</v>
      </c>
    </row>
    <row r="150" ht="22.5" customHeight="1">
      <c r="A150" s="12">
        <f t="shared" si="4"/>
        <v>448</v>
      </c>
      <c r="B150" s="6" t="s">
        <v>1530</v>
      </c>
      <c r="C150" s="7" t="str">
        <f t="shared" si="1"/>
        <v>🔊</v>
      </c>
      <c r="D150" s="22" t="s">
        <v>732</v>
      </c>
      <c r="E150" s="6" t="s">
        <v>13</v>
      </c>
      <c r="F150" s="5" t="s">
        <v>1531</v>
      </c>
      <c r="G150" s="20" t="s">
        <v>1532</v>
      </c>
      <c r="H150" s="5" t="s">
        <v>1186</v>
      </c>
      <c r="I150" s="11" t="b">
        <f t="shared" si="2"/>
        <v>0</v>
      </c>
      <c r="K150" s="11" t="b">
        <f t="shared" si="3"/>
        <v>0</v>
      </c>
    </row>
    <row r="151" ht="22.5" customHeight="1">
      <c r="A151" s="12">
        <f t="shared" si="4"/>
        <v>449</v>
      </c>
      <c r="B151" s="6" t="s">
        <v>1533</v>
      </c>
      <c r="C151" s="7" t="str">
        <f t="shared" si="1"/>
        <v>🔊</v>
      </c>
      <c r="D151" s="22" t="s">
        <v>1534</v>
      </c>
      <c r="E151" s="6" t="s">
        <v>23</v>
      </c>
      <c r="F151" s="12" t="str">
        <f>IFERROR(__xludf.DUMMYFUNCTION("GOOGLETRANSLATE(B151,""zh_cn"",""vi"")"),"Mười nghìn")</f>
        <v>Mười nghìn</v>
      </c>
      <c r="G151" s="20" t="s">
        <v>1535</v>
      </c>
      <c r="H151" s="5" t="s">
        <v>1533</v>
      </c>
      <c r="I151" s="11" t="b">
        <f t="shared" si="2"/>
        <v>1</v>
      </c>
      <c r="K151" s="11" t="b">
        <f t="shared" si="3"/>
        <v>0</v>
      </c>
    </row>
    <row r="152" ht="22.5" customHeight="1">
      <c r="A152" s="12">
        <f t="shared" si="4"/>
        <v>450</v>
      </c>
      <c r="B152" s="6" t="s">
        <v>1536</v>
      </c>
      <c r="C152" s="7" t="str">
        <f t="shared" si="1"/>
        <v>🔊</v>
      </c>
      <c r="D152" s="22" t="s">
        <v>1537</v>
      </c>
      <c r="E152" s="6" t="s">
        <v>13</v>
      </c>
      <c r="F152" s="12" t="str">
        <f>IFERROR(__xludf.DUMMYFUNCTION("GOOGLETRANSLATE(B152,""zh_cn"",""vi"")"),"quên")</f>
        <v>quên</v>
      </c>
      <c r="G152" s="20" t="s">
        <v>1538</v>
      </c>
      <c r="H152" s="5" t="s">
        <v>1536</v>
      </c>
      <c r="I152" s="11" t="b">
        <f t="shared" si="2"/>
        <v>1</v>
      </c>
      <c r="K152" s="11" t="b">
        <f t="shared" si="3"/>
        <v>0</v>
      </c>
    </row>
    <row r="153" ht="22.5" customHeight="1">
      <c r="A153" s="12">
        <f t="shared" si="4"/>
        <v>451</v>
      </c>
      <c r="B153" s="6" t="s">
        <v>1539</v>
      </c>
      <c r="C153" s="7" t="str">
        <f t="shared" si="1"/>
        <v>🔊</v>
      </c>
      <c r="D153" s="22" t="s">
        <v>1540</v>
      </c>
      <c r="E153" s="6" t="s">
        <v>1054</v>
      </c>
      <c r="F153" s="5" t="s">
        <v>1541</v>
      </c>
      <c r="G153" s="20" t="s">
        <v>1542</v>
      </c>
      <c r="I153" s="11" t="b">
        <f t="shared" si="2"/>
        <v>0</v>
      </c>
      <c r="K153" s="11" t="b">
        <f t="shared" si="3"/>
        <v>0</v>
      </c>
    </row>
    <row r="154" ht="22.5" customHeight="1">
      <c r="A154" s="12">
        <f t="shared" si="4"/>
        <v>452</v>
      </c>
      <c r="B154" s="6" t="s">
        <v>1543</v>
      </c>
      <c r="C154" s="7" t="str">
        <f t="shared" si="1"/>
        <v>🔊</v>
      </c>
      <c r="D154" s="22" t="s">
        <v>1544</v>
      </c>
      <c r="E154" s="6" t="s">
        <v>27</v>
      </c>
      <c r="F154" s="5" t="s">
        <v>1545</v>
      </c>
      <c r="G154" s="20" t="s">
        <v>1546</v>
      </c>
      <c r="I154" s="11" t="b">
        <f t="shared" si="2"/>
        <v>0</v>
      </c>
      <c r="K154" s="11" t="b">
        <f t="shared" si="3"/>
        <v>0</v>
      </c>
    </row>
    <row r="155" ht="22.5" customHeight="1">
      <c r="A155" s="12">
        <f t="shared" si="4"/>
        <v>453</v>
      </c>
      <c r="B155" s="6" t="s">
        <v>1547</v>
      </c>
      <c r="C155" s="7" t="str">
        <f t="shared" si="1"/>
        <v>🔊</v>
      </c>
      <c r="D155" s="22" t="s">
        <v>746</v>
      </c>
      <c r="E155" s="6" t="s">
        <v>47</v>
      </c>
      <c r="F155" s="5" t="s">
        <v>1548</v>
      </c>
      <c r="G155" s="20" t="s">
        <v>1549</v>
      </c>
      <c r="I155" s="11" t="b">
        <f t="shared" si="2"/>
        <v>0</v>
      </c>
      <c r="K155" s="11" t="b">
        <f t="shared" si="3"/>
        <v>0</v>
      </c>
    </row>
    <row r="156" ht="22.5" customHeight="1">
      <c r="A156" s="12">
        <f t="shared" si="4"/>
        <v>454</v>
      </c>
      <c r="B156" s="6" t="s">
        <v>1550</v>
      </c>
      <c r="C156" s="7" t="str">
        <f t="shared" si="1"/>
        <v>🔊</v>
      </c>
      <c r="D156" s="22" t="s">
        <v>1551</v>
      </c>
      <c r="E156" s="14"/>
      <c r="F156" s="12" t="str">
        <f>IFERROR(__xludf.DUMMYFUNCTION("GOOGLETRANSLATE(B156,""zh_cn"",""vi"")"),"Tại sao")</f>
        <v>Tại sao</v>
      </c>
      <c r="G156" s="20" t="s">
        <v>1552</v>
      </c>
      <c r="H156" s="5" t="s">
        <v>1550</v>
      </c>
      <c r="I156" s="11" t="b">
        <f t="shared" si="2"/>
        <v>1</v>
      </c>
      <c r="K156" s="11" t="b">
        <f t="shared" si="3"/>
        <v>0</v>
      </c>
    </row>
    <row r="157" ht="22.5" customHeight="1">
      <c r="A157" s="12">
        <f t="shared" si="4"/>
        <v>455</v>
      </c>
      <c r="B157" s="6" t="s">
        <v>1553</v>
      </c>
      <c r="C157" s="7" t="str">
        <f t="shared" si="1"/>
        <v>🔊</v>
      </c>
      <c r="D157" s="22" t="s">
        <v>1554</v>
      </c>
      <c r="E157" s="6" t="s">
        <v>13</v>
      </c>
      <c r="F157" s="12" t="str">
        <f>IFERROR(__xludf.DUMMYFUNCTION("GOOGLETRANSLATE(B157,""zh_cn"",""vi"")"),"rửa")</f>
        <v>rửa</v>
      </c>
      <c r="G157" s="20" t="s">
        <v>1555</v>
      </c>
      <c r="H157" s="5" t="s">
        <v>1553</v>
      </c>
      <c r="I157" s="11" t="b">
        <f t="shared" si="2"/>
        <v>1</v>
      </c>
      <c r="K157" s="11" t="b">
        <f t="shared" si="3"/>
        <v>0</v>
      </c>
    </row>
    <row r="158" ht="22.5" customHeight="1">
      <c r="A158" s="12">
        <f t="shared" si="4"/>
        <v>456</v>
      </c>
      <c r="B158" s="6" t="s">
        <v>1556</v>
      </c>
      <c r="C158" s="7" t="str">
        <f t="shared" si="1"/>
        <v>🔊</v>
      </c>
      <c r="D158" s="22" t="s">
        <v>1557</v>
      </c>
      <c r="E158" s="6" t="s">
        <v>13</v>
      </c>
      <c r="F158" s="5" t="s">
        <v>1558</v>
      </c>
      <c r="G158" s="20" t="s">
        <v>1559</v>
      </c>
      <c r="H158" s="5" t="s">
        <v>1556</v>
      </c>
      <c r="I158" s="11" t="b">
        <f t="shared" si="2"/>
        <v>1</v>
      </c>
      <c r="K158" s="11" t="b">
        <f t="shared" si="3"/>
        <v>0</v>
      </c>
    </row>
    <row r="159" ht="22.5" customHeight="1">
      <c r="A159" s="12">
        <f t="shared" si="4"/>
        <v>457</v>
      </c>
      <c r="B159" s="6" t="s">
        <v>1560</v>
      </c>
      <c r="C159" s="7" t="str">
        <f t="shared" si="1"/>
        <v>🔊</v>
      </c>
      <c r="D159" s="22" t="s">
        <v>1561</v>
      </c>
      <c r="E159" s="6" t="s">
        <v>27</v>
      </c>
      <c r="F159" s="12" t="str">
        <f>IFERROR(__xludf.DUMMYFUNCTION("GOOGLETRANSLATE(B159,""zh_cn"",""vi"")"),"dưới")</f>
        <v>dưới</v>
      </c>
      <c r="G159" s="20" t="s">
        <v>1559</v>
      </c>
      <c r="H159" s="5" t="s">
        <v>1560</v>
      </c>
      <c r="I159" s="11" t="b">
        <f t="shared" si="2"/>
        <v>1</v>
      </c>
      <c r="K159" s="11" t="b">
        <f t="shared" si="3"/>
        <v>0</v>
      </c>
    </row>
    <row r="160" ht="22.5" customHeight="1">
      <c r="A160" s="12">
        <f t="shared" si="4"/>
        <v>458</v>
      </c>
      <c r="B160" s="6" t="s">
        <v>1562</v>
      </c>
      <c r="C160" s="7" t="str">
        <f t="shared" si="1"/>
        <v>🔊</v>
      </c>
      <c r="D160" s="22" t="s">
        <v>1563</v>
      </c>
      <c r="E160" s="6" t="s">
        <v>13</v>
      </c>
      <c r="F160" s="12" t="str">
        <f>IFERROR(__xludf.DUMMYFUNCTION("GOOGLETRANSLATE(B160,""zh_cn"",""vi"")"),"cười")</f>
        <v>cười</v>
      </c>
      <c r="G160" s="20" t="s">
        <v>1564</v>
      </c>
      <c r="H160" s="5" t="s">
        <v>1562</v>
      </c>
      <c r="I160" s="11" t="b">
        <f t="shared" si="2"/>
        <v>1</v>
      </c>
      <c r="K160" s="11" t="b">
        <f t="shared" si="3"/>
        <v>0</v>
      </c>
    </row>
    <row r="161" ht="22.5" customHeight="1">
      <c r="A161" s="12">
        <f t="shared" si="4"/>
        <v>459</v>
      </c>
      <c r="B161" s="6" t="s">
        <v>1565</v>
      </c>
      <c r="C161" s="7" t="str">
        <f t="shared" si="1"/>
        <v>🔊</v>
      </c>
      <c r="D161" s="22" t="s">
        <v>1566</v>
      </c>
      <c r="E161" s="6" t="s">
        <v>27</v>
      </c>
      <c r="F161" s="12" t="str">
        <f>IFERROR(__xludf.DUMMYFUNCTION("GOOGLETRANSLATE(B161,""zh_cn"",""vi"")"),"những đứa trẻ")</f>
        <v>những đứa trẻ</v>
      </c>
      <c r="G161" s="20" t="s">
        <v>1567</v>
      </c>
      <c r="H161" s="5" t="s">
        <v>1568</v>
      </c>
      <c r="I161" s="11" t="b">
        <f t="shared" si="2"/>
        <v>0</v>
      </c>
      <c r="K161" s="11" t="b">
        <f t="shared" si="3"/>
        <v>0</v>
      </c>
    </row>
    <row r="162" ht="22.5" customHeight="1">
      <c r="A162" s="12">
        <f t="shared" si="4"/>
        <v>460</v>
      </c>
      <c r="B162" s="6" t="s">
        <v>1569</v>
      </c>
      <c r="C162" s="7" t="str">
        <f t="shared" si="1"/>
        <v>🔊</v>
      </c>
      <c r="D162" s="22" t="s">
        <v>1570</v>
      </c>
      <c r="E162" s="6" t="s">
        <v>27</v>
      </c>
      <c r="F162" s="12" t="str">
        <f>IFERROR(__xludf.DUMMYFUNCTION("GOOGLETRANSLATE(B162,""zh_cn"",""vi"")"),"Khi tôi còn nhỏ")</f>
        <v>Khi tôi còn nhỏ</v>
      </c>
      <c r="G162" s="20" t="s">
        <v>1571</v>
      </c>
      <c r="H162" s="5" t="s">
        <v>1569</v>
      </c>
      <c r="I162" s="11" t="b">
        <f t="shared" si="2"/>
        <v>1</v>
      </c>
      <c r="K162" s="11" t="b">
        <f t="shared" si="3"/>
        <v>0</v>
      </c>
    </row>
    <row r="163" ht="22.5" customHeight="1">
      <c r="A163" s="12">
        <f t="shared" si="4"/>
        <v>461</v>
      </c>
      <c r="B163" s="6" t="s">
        <v>1572</v>
      </c>
      <c r="C163" s="7" t="str">
        <f t="shared" si="1"/>
        <v>🔊</v>
      </c>
      <c r="D163" s="22" t="s">
        <v>1573</v>
      </c>
      <c r="E163" s="6" t="s">
        <v>13</v>
      </c>
      <c r="F163" s="5" t="s">
        <v>1574</v>
      </c>
      <c r="G163" s="20" t="s">
        <v>1575</v>
      </c>
      <c r="H163" s="5" t="s">
        <v>1572</v>
      </c>
      <c r="I163" s="11" t="b">
        <f t="shared" si="2"/>
        <v>1</v>
      </c>
      <c r="K163" s="11" t="b">
        <f t="shared" si="3"/>
        <v>0</v>
      </c>
    </row>
    <row r="164" ht="22.5" customHeight="1">
      <c r="A164" s="12">
        <f t="shared" si="4"/>
        <v>462</v>
      </c>
      <c r="B164" s="6" t="s">
        <v>1576</v>
      </c>
      <c r="C164" s="7" t="str">
        <f t="shared" si="1"/>
        <v>🔊</v>
      </c>
      <c r="D164" s="22" t="s">
        <v>1577</v>
      </c>
      <c r="E164" s="6" t="s">
        <v>57</v>
      </c>
      <c r="F164" s="12" t="str">
        <f>IFERROR(__xludf.DUMMYFUNCTION("GOOGLETRANSLATE(B164,""zh_cn"",""vi"")"),"họ")</f>
        <v>họ</v>
      </c>
      <c r="G164" s="5" t="s">
        <v>1578</v>
      </c>
      <c r="H164" s="5" t="s">
        <v>1579</v>
      </c>
      <c r="I164" s="11" t="b">
        <f t="shared" si="2"/>
        <v>0</v>
      </c>
      <c r="K164" s="11" t="b">
        <f t="shared" si="3"/>
        <v>0</v>
      </c>
    </row>
    <row r="165" ht="22.5" customHeight="1">
      <c r="A165" s="12">
        <f t="shared" si="4"/>
        <v>463</v>
      </c>
      <c r="B165" s="6" t="s">
        <v>1580</v>
      </c>
      <c r="C165" s="7" t="str">
        <f t="shared" si="1"/>
        <v>🔊</v>
      </c>
      <c r="D165" s="22" t="s">
        <v>1581</v>
      </c>
      <c r="E165" s="6" t="s">
        <v>27</v>
      </c>
      <c r="F165" s="5" t="s">
        <v>1582</v>
      </c>
      <c r="G165" s="20" t="s">
        <v>1583</v>
      </c>
      <c r="H165" s="5" t="s">
        <v>455</v>
      </c>
      <c r="I165" s="11" t="b">
        <f t="shared" si="2"/>
        <v>0</v>
      </c>
      <c r="K165" s="11" t="b">
        <f t="shared" si="3"/>
        <v>0</v>
      </c>
    </row>
    <row r="166" ht="22.5" customHeight="1">
      <c r="A166" s="12">
        <f t="shared" si="4"/>
        <v>464</v>
      </c>
      <c r="B166" s="6" t="s">
        <v>1584</v>
      </c>
      <c r="C166" s="7" t="str">
        <f t="shared" si="1"/>
        <v>🔊</v>
      </c>
      <c r="D166" s="22" t="s">
        <v>1585</v>
      </c>
      <c r="E166" s="6" t="s">
        <v>27</v>
      </c>
      <c r="F166" s="12" t="str">
        <f>IFERROR(__xludf.DUMMYFUNCTION("GOOGLETRANSLATE(B166,""zh_cn"",""vi"")"),"Nhà vệ sinh")</f>
        <v>Nhà vệ sinh</v>
      </c>
      <c r="G166" s="20" t="s">
        <v>1586</v>
      </c>
      <c r="H166" s="5" t="s">
        <v>1584</v>
      </c>
      <c r="I166" s="11" t="b">
        <f t="shared" si="2"/>
        <v>1</v>
      </c>
      <c r="K166" s="11" t="b">
        <f t="shared" si="3"/>
        <v>0</v>
      </c>
    </row>
    <row r="167" ht="22.5" customHeight="1">
      <c r="A167" s="12">
        <f t="shared" si="4"/>
        <v>465</v>
      </c>
      <c r="B167" s="6" t="s">
        <v>1587</v>
      </c>
      <c r="C167" s="7" t="str">
        <f t="shared" si="1"/>
        <v>🔊</v>
      </c>
      <c r="D167" s="22" t="s">
        <v>1588</v>
      </c>
      <c r="E167" s="6" t="s">
        <v>13</v>
      </c>
      <c r="F167" s="12" t="str">
        <f>IFERROR(__xludf.DUMMYFUNCTION("GOOGLETRANSLATE(B167,""zh_cn"",""vi"")"),"mong")</f>
        <v>mong</v>
      </c>
      <c r="G167" s="20" t="s">
        <v>1589</v>
      </c>
      <c r="H167" s="5" t="s">
        <v>1587</v>
      </c>
      <c r="I167" s="11" t="b">
        <f t="shared" si="2"/>
        <v>1</v>
      </c>
      <c r="K167" s="11" t="b">
        <f t="shared" si="3"/>
        <v>0</v>
      </c>
    </row>
    <row r="168" ht="22.5" customHeight="1">
      <c r="A168" s="12">
        <f t="shared" si="4"/>
        <v>466</v>
      </c>
      <c r="B168" s="6" t="s">
        <v>1590</v>
      </c>
      <c r="C168" s="7" t="str">
        <f t="shared" si="1"/>
        <v>🔊</v>
      </c>
      <c r="D168" s="22" t="s">
        <v>1591</v>
      </c>
      <c r="E168" s="6" t="s">
        <v>27</v>
      </c>
      <c r="F168" s="12" t="str">
        <f>IFERROR(__xludf.DUMMYFUNCTION("GOOGLETRANSLATE(B168,""zh_cn"",""vi"")"),"Mắt")</f>
        <v>Mắt</v>
      </c>
      <c r="G168" s="20" t="s">
        <v>1592</v>
      </c>
      <c r="I168" s="11" t="b">
        <f t="shared" si="2"/>
        <v>0</v>
      </c>
      <c r="K168" s="11" t="b">
        <f t="shared" si="3"/>
        <v>0</v>
      </c>
    </row>
    <row r="169" ht="22.5" customHeight="1">
      <c r="A169" s="12">
        <f t="shared" si="4"/>
        <v>467</v>
      </c>
      <c r="B169" s="6" t="s">
        <v>1593</v>
      </c>
      <c r="C169" s="7" t="str">
        <f t="shared" si="1"/>
        <v>🔊</v>
      </c>
      <c r="D169" s="22" t="s">
        <v>1594</v>
      </c>
      <c r="E169" s="6" t="s">
        <v>27</v>
      </c>
      <c r="F169" s="12" t="str">
        <f>IFERROR(__xludf.DUMMYFUNCTION("GOOGLETRANSLATE(B169,""zh_cn"",""vi"")"),"màu sắc")</f>
        <v>màu sắc</v>
      </c>
      <c r="G169" s="20" t="s">
        <v>1595</v>
      </c>
      <c r="H169" s="5" t="s">
        <v>1593</v>
      </c>
      <c r="I169" s="11" t="b">
        <f t="shared" si="2"/>
        <v>1</v>
      </c>
      <c r="K169" s="11" t="b">
        <f t="shared" si="3"/>
        <v>0</v>
      </c>
    </row>
    <row r="170" ht="22.5" customHeight="1">
      <c r="A170" s="12">
        <f t="shared" si="4"/>
        <v>468</v>
      </c>
      <c r="B170" s="6" t="s">
        <v>1596</v>
      </c>
      <c r="C170" s="7" t="str">
        <f t="shared" si="1"/>
        <v>🔊</v>
      </c>
      <c r="D170" s="22" t="s">
        <v>860</v>
      </c>
      <c r="E170" s="6" t="s">
        <v>27</v>
      </c>
      <c r="F170" s="12" t="str">
        <f>IFERROR(__xludf.DUMMYFUNCTION("GOOGLETRANSLATE(B170,""zh_cn"",""vi"")"),"thuốc")</f>
        <v>thuốc</v>
      </c>
      <c r="G170" s="20" t="s">
        <v>1597</v>
      </c>
      <c r="H170" s="5" t="s">
        <v>1596</v>
      </c>
      <c r="I170" s="11" t="b">
        <f t="shared" si="2"/>
        <v>1</v>
      </c>
      <c r="K170" s="11" t="b">
        <f t="shared" si="3"/>
        <v>0</v>
      </c>
    </row>
    <row r="171" ht="22.5" customHeight="1">
      <c r="A171" s="12">
        <f t="shared" si="4"/>
        <v>469</v>
      </c>
      <c r="B171" s="6" t="s">
        <v>1598</v>
      </c>
      <c r="C171" s="7" t="str">
        <f t="shared" si="1"/>
        <v>🔊</v>
      </c>
      <c r="D171" s="22" t="s">
        <v>1599</v>
      </c>
      <c r="E171" s="6" t="s">
        <v>27</v>
      </c>
      <c r="F171" s="12" t="str">
        <f>IFERROR(__xludf.DUMMYFUNCTION("GOOGLETRANSLATE(B171,""zh_cn"",""vi"")"),"nhà thuốc")</f>
        <v>nhà thuốc</v>
      </c>
      <c r="G171" s="20" t="s">
        <v>1600</v>
      </c>
      <c r="H171" s="5" t="s">
        <v>1598</v>
      </c>
      <c r="I171" s="11" t="b">
        <f t="shared" si="2"/>
        <v>1</v>
      </c>
      <c r="K171" s="11" t="b">
        <f t="shared" si="3"/>
        <v>0</v>
      </c>
    </row>
    <row r="172" ht="22.5" customHeight="1">
      <c r="A172" s="12">
        <f t="shared" si="4"/>
        <v>470</v>
      </c>
      <c r="B172" s="6" t="s">
        <v>1601</v>
      </c>
      <c r="C172" s="7" t="str">
        <f t="shared" si="1"/>
        <v>🔊</v>
      </c>
      <c r="D172" s="22" t="s">
        <v>1602</v>
      </c>
      <c r="E172" s="6" t="s">
        <v>27</v>
      </c>
      <c r="F172" s="12" t="str">
        <f>IFERROR(__xludf.DUMMYFUNCTION("GOOGLETRANSLATE(B172,""zh_cn"",""vi"")"),"ông nội")</f>
        <v>ông nội</v>
      </c>
      <c r="G172" s="20" t="s">
        <v>1603</v>
      </c>
      <c r="H172" s="5" t="s">
        <v>1601</v>
      </c>
      <c r="I172" s="11" t="b">
        <f t="shared" si="2"/>
        <v>1</v>
      </c>
      <c r="K172" s="11" t="b">
        <f t="shared" si="3"/>
        <v>0</v>
      </c>
    </row>
    <row r="173" ht="22.5" customHeight="1">
      <c r="A173" s="12">
        <f t="shared" si="4"/>
        <v>471</v>
      </c>
      <c r="B173" s="6" t="s">
        <v>1604</v>
      </c>
      <c r="C173" s="7" t="str">
        <f t="shared" si="1"/>
        <v>🔊</v>
      </c>
      <c r="D173" s="22" t="s">
        <v>1605</v>
      </c>
      <c r="E173" s="6" t="s">
        <v>884</v>
      </c>
      <c r="F173" s="12" t="str">
        <f>IFERROR(__xludf.DUMMYFUNCTION("GOOGLETRANSLATE(B173,""zh_cn"",""vi"")"),"Một lúc")</f>
        <v>Một lúc</v>
      </c>
      <c r="G173" s="20" t="s">
        <v>1606</v>
      </c>
      <c r="I173" s="11" t="b">
        <f t="shared" si="2"/>
        <v>0</v>
      </c>
      <c r="K173" s="11" t="b">
        <f t="shared" si="3"/>
        <v>0</v>
      </c>
    </row>
    <row r="174" ht="22.5" customHeight="1">
      <c r="A174" s="12">
        <f t="shared" si="4"/>
        <v>472</v>
      </c>
      <c r="B174" s="6" t="s">
        <v>1607</v>
      </c>
      <c r="C174" s="7" t="str">
        <f t="shared" si="1"/>
        <v>🔊</v>
      </c>
      <c r="D174" s="22" t="s">
        <v>1608</v>
      </c>
      <c r="E174" s="6" t="s">
        <v>61</v>
      </c>
      <c r="F174" s="12" t="str">
        <f>IFERROR(__xludf.DUMMYFUNCTION("GOOGLETRANSLATE(B174,""zh_cn"",""vi"")"),"đã")</f>
        <v>đã</v>
      </c>
      <c r="G174" s="20" t="s">
        <v>1609</v>
      </c>
      <c r="H174" s="5" t="s">
        <v>1607</v>
      </c>
      <c r="I174" s="11" t="b">
        <f t="shared" si="2"/>
        <v>1</v>
      </c>
      <c r="K174" s="11" t="b">
        <f t="shared" si="3"/>
        <v>0</v>
      </c>
    </row>
    <row r="175" ht="22.5" customHeight="1">
      <c r="A175" s="12">
        <f t="shared" si="4"/>
        <v>473</v>
      </c>
      <c r="B175" s="6" t="s">
        <v>1610</v>
      </c>
      <c r="C175" s="7" t="str">
        <f t="shared" si="1"/>
        <v>🔊</v>
      </c>
      <c r="D175" s="22" t="s">
        <v>1611</v>
      </c>
      <c r="E175" s="6" t="s">
        <v>99</v>
      </c>
      <c r="F175" s="5" t="s">
        <v>1612</v>
      </c>
      <c r="G175" s="20" t="s">
        <v>1613</v>
      </c>
      <c r="H175" s="5" t="s">
        <v>1610</v>
      </c>
      <c r="I175" s="11" t="b">
        <f t="shared" si="2"/>
        <v>1</v>
      </c>
      <c r="K175" s="11" t="b">
        <f t="shared" si="3"/>
        <v>0</v>
      </c>
    </row>
    <row r="176" ht="22.5" customHeight="1">
      <c r="A176" s="12">
        <f t="shared" si="4"/>
        <v>474</v>
      </c>
      <c r="B176" s="6" t="s">
        <v>1614</v>
      </c>
      <c r="C176" s="7" t="str">
        <f t="shared" si="1"/>
        <v>🔊</v>
      </c>
      <c r="D176" s="22" t="s">
        <v>1615</v>
      </c>
      <c r="E176" s="6" t="s">
        <v>281</v>
      </c>
      <c r="F176" s="12" t="str">
        <f>IFERROR(__xludf.DUMMYFUNCTION("GOOGLETRANSLATE(B176,""zh_cn"",""vi"")"),"bởi vì")</f>
        <v>bởi vì</v>
      </c>
      <c r="G176" s="20" t="s">
        <v>1616</v>
      </c>
      <c r="H176" s="5" t="s">
        <v>1614</v>
      </c>
      <c r="I176" s="11" t="b">
        <f t="shared" si="2"/>
        <v>1</v>
      </c>
      <c r="K176" s="11" t="b">
        <f t="shared" si="3"/>
        <v>0</v>
      </c>
    </row>
    <row r="177" ht="22.5" customHeight="1">
      <c r="A177" s="12">
        <f t="shared" si="4"/>
        <v>475</v>
      </c>
      <c r="B177" s="6" t="s">
        <v>1617</v>
      </c>
      <c r="C177" s="7" t="str">
        <f t="shared" si="1"/>
        <v>🔊</v>
      </c>
      <c r="D177" s="22" t="s">
        <v>1618</v>
      </c>
      <c r="E177" s="6" t="s">
        <v>61</v>
      </c>
      <c r="F177" s="12" t="str">
        <f>IFERROR(__xludf.DUMMYFUNCTION("GOOGLETRANSLATE(B177,""zh_cn"",""vi"")"),"Cùng nhau")</f>
        <v>Cùng nhau</v>
      </c>
      <c r="G177" s="20" t="s">
        <v>1619</v>
      </c>
      <c r="H177" s="5" t="s">
        <v>1617</v>
      </c>
      <c r="I177" s="11" t="b">
        <f t="shared" si="2"/>
        <v>1</v>
      </c>
      <c r="K177" s="11" t="b">
        <f t="shared" si="3"/>
        <v>0</v>
      </c>
    </row>
    <row r="178" ht="22.5" customHeight="1">
      <c r="A178" s="12">
        <f t="shared" si="4"/>
        <v>476</v>
      </c>
      <c r="B178" s="6" t="s">
        <v>1620</v>
      </c>
      <c r="C178" s="7" t="str">
        <f t="shared" si="1"/>
        <v>🔊</v>
      </c>
      <c r="D178" s="22" t="s">
        <v>1621</v>
      </c>
      <c r="E178" s="6" t="s">
        <v>27</v>
      </c>
      <c r="F178" s="12" t="str">
        <f>IFERROR(__xludf.DUMMYFUNCTION("GOOGLETRANSLATE(B178,""zh_cn"",""vi"")"),"nghĩa là")</f>
        <v>nghĩa là</v>
      </c>
      <c r="G178" s="20" t="s">
        <v>1622</v>
      </c>
      <c r="I178" s="11" t="b">
        <f t="shared" si="2"/>
        <v>0</v>
      </c>
      <c r="K178" s="11" t="b">
        <f t="shared" si="3"/>
        <v>0</v>
      </c>
    </row>
    <row r="179" ht="22.5" customHeight="1">
      <c r="A179" s="12">
        <f t="shared" si="4"/>
        <v>477</v>
      </c>
      <c r="B179" s="6" t="s">
        <v>1623</v>
      </c>
      <c r="C179" s="7" t="str">
        <f t="shared" si="1"/>
        <v>🔊</v>
      </c>
      <c r="D179" s="22" t="s">
        <v>1624</v>
      </c>
      <c r="E179" s="6" t="s">
        <v>13</v>
      </c>
      <c r="F179" s="12" t="str">
        <f>IFERROR(__xludf.DUMMYFUNCTION("GOOGLETRANSLATE(B179,""zh_cn"",""vi"")"),"chuyến du lịch")</f>
        <v>chuyến du lịch</v>
      </c>
      <c r="G179" s="20" t="s">
        <v>1625</v>
      </c>
      <c r="I179" s="11" t="b">
        <f t="shared" si="2"/>
        <v>0</v>
      </c>
      <c r="K179" s="11" t="b">
        <f t="shared" si="3"/>
        <v>0</v>
      </c>
    </row>
    <row r="180" ht="22.5" customHeight="1">
      <c r="A180" s="12">
        <f t="shared" si="4"/>
        <v>478</v>
      </c>
      <c r="B180" s="6" t="s">
        <v>1626</v>
      </c>
      <c r="C180" s="7" t="str">
        <f t="shared" si="1"/>
        <v>🔊</v>
      </c>
      <c r="D180" s="22" t="s">
        <v>1627</v>
      </c>
      <c r="E180" s="6" t="s">
        <v>27</v>
      </c>
      <c r="F180" s="5" t="s">
        <v>1628</v>
      </c>
      <c r="G180" s="20" t="s">
        <v>1629</v>
      </c>
      <c r="H180" s="5" t="s">
        <v>1630</v>
      </c>
      <c r="I180" s="11" t="b">
        <f t="shared" si="2"/>
        <v>0</v>
      </c>
      <c r="K180" s="11" t="b">
        <f t="shared" si="3"/>
        <v>0</v>
      </c>
    </row>
    <row r="181" ht="22.5" customHeight="1">
      <c r="A181" s="12">
        <f t="shared" si="4"/>
        <v>479</v>
      </c>
      <c r="B181" s="6" t="s">
        <v>1631</v>
      </c>
      <c r="C181" s="7" t="str">
        <f t="shared" si="1"/>
        <v>🔊</v>
      </c>
      <c r="D181" s="22" t="s">
        <v>1632</v>
      </c>
      <c r="E181" s="14"/>
      <c r="F181" s="5" t="s">
        <v>1633</v>
      </c>
      <c r="G181" s="20" t="s">
        <v>1634</v>
      </c>
      <c r="I181" s="11" t="b">
        <f t="shared" si="2"/>
        <v>0</v>
      </c>
      <c r="K181" s="11" t="b">
        <f t="shared" si="3"/>
        <v>0</v>
      </c>
    </row>
    <row r="182" ht="22.5" customHeight="1">
      <c r="A182" s="12">
        <f t="shared" si="4"/>
        <v>480</v>
      </c>
      <c r="B182" s="6" t="s">
        <v>1635</v>
      </c>
      <c r="C182" s="7" t="str">
        <f t="shared" si="1"/>
        <v>🔊</v>
      </c>
      <c r="D182" s="22" t="s">
        <v>1636</v>
      </c>
      <c r="E182" s="6" t="s">
        <v>27</v>
      </c>
      <c r="F182" s="5" t="s">
        <v>1637</v>
      </c>
      <c r="G182" s="5" t="s">
        <v>1638</v>
      </c>
      <c r="I182" s="11" t="b">
        <f t="shared" si="2"/>
        <v>0</v>
      </c>
      <c r="K182" s="11" t="b">
        <f t="shared" si="3"/>
        <v>0</v>
      </c>
    </row>
    <row r="183" ht="22.5" customHeight="1">
      <c r="A183" s="12">
        <f t="shared" si="4"/>
        <v>481</v>
      </c>
      <c r="B183" s="6" t="s">
        <v>1639</v>
      </c>
      <c r="C183" s="7" t="str">
        <f t="shared" si="1"/>
        <v>🔊</v>
      </c>
      <c r="D183" s="22" t="s">
        <v>1640</v>
      </c>
      <c r="E183" s="6" t="s">
        <v>61</v>
      </c>
      <c r="F183" s="5" t="s">
        <v>1641</v>
      </c>
      <c r="G183" s="20" t="s">
        <v>1642</v>
      </c>
      <c r="I183" s="11" t="b">
        <f t="shared" si="2"/>
        <v>0</v>
      </c>
      <c r="K183" s="11" t="b">
        <f t="shared" si="3"/>
        <v>0</v>
      </c>
    </row>
    <row r="184" ht="22.5" customHeight="1">
      <c r="A184" s="12">
        <f t="shared" si="4"/>
        <v>482</v>
      </c>
      <c r="B184" s="6" t="s">
        <v>1643</v>
      </c>
      <c r="C184" s="7" t="str">
        <f t="shared" si="1"/>
        <v>🔊</v>
      </c>
      <c r="D184" s="22" t="s">
        <v>1644</v>
      </c>
      <c r="E184" s="6" t="s">
        <v>13</v>
      </c>
      <c r="F184" s="12" t="str">
        <f>IFERROR(__xludf.DUMMYFUNCTION("GOOGLETRANSLATE(B184,""zh_cn"",""vi"")"),"bơi")</f>
        <v>bơi</v>
      </c>
      <c r="G184" s="20" t="s">
        <v>1645</v>
      </c>
      <c r="H184" s="5" t="s">
        <v>1643</v>
      </c>
      <c r="I184" s="11" t="b">
        <f t="shared" si="2"/>
        <v>1</v>
      </c>
      <c r="K184" s="11" t="b">
        <f t="shared" si="3"/>
        <v>0</v>
      </c>
    </row>
    <row r="185" ht="22.5" customHeight="1">
      <c r="A185" s="12">
        <f t="shared" si="4"/>
        <v>483</v>
      </c>
      <c r="B185" s="6" t="s">
        <v>1646</v>
      </c>
      <c r="C185" s="7" t="str">
        <f t="shared" si="1"/>
        <v>🔊</v>
      </c>
      <c r="D185" s="22" t="s">
        <v>1647</v>
      </c>
      <c r="E185" s="6" t="s">
        <v>27</v>
      </c>
      <c r="F185" s="12" t="str">
        <f>IFERROR(__xludf.DUMMYFUNCTION("GOOGLETRANSLATE(B185,""zh_cn"",""vi"")"),"cá")</f>
        <v>cá</v>
      </c>
      <c r="G185" s="20" t="s">
        <v>1648</v>
      </c>
      <c r="H185" s="5" t="s">
        <v>1646</v>
      </c>
      <c r="I185" s="11" t="b">
        <f t="shared" si="2"/>
        <v>1</v>
      </c>
      <c r="K185" s="11" t="b">
        <f t="shared" si="3"/>
        <v>0</v>
      </c>
    </row>
    <row r="186" ht="22.5" customHeight="1">
      <c r="A186" s="12">
        <f t="shared" si="4"/>
        <v>484</v>
      </c>
      <c r="B186" s="6" t="s">
        <v>1649</v>
      </c>
      <c r="C186" s="7" t="str">
        <f t="shared" si="1"/>
        <v>🔊</v>
      </c>
      <c r="D186" s="22" t="s">
        <v>1650</v>
      </c>
      <c r="E186" s="6" t="s">
        <v>99</v>
      </c>
      <c r="F186" s="12" t="str">
        <f>IFERROR(__xludf.DUMMYFUNCTION("GOOGLETRANSLATE(B186,""zh_cn"",""vi"")"),"Xa")</f>
        <v>Xa</v>
      </c>
      <c r="G186" s="20" t="s">
        <v>1651</v>
      </c>
      <c r="H186" s="5" t="s">
        <v>1649</v>
      </c>
      <c r="I186" s="11" t="b">
        <f t="shared" si="2"/>
        <v>1</v>
      </c>
      <c r="K186" s="11" t="b">
        <f t="shared" si="3"/>
        <v>0</v>
      </c>
    </row>
    <row r="187" ht="22.5" customHeight="1">
      <c r="A187" s="12">
        <f t="shared" si="4"/>
        <v>485</v>
      </c>
      <c r="B187" s="6" t="s">
        <v>1652</v>
      </c>
      <c r="C187" s="7" t="str">
        <f t="shared" si="1"/>
        <v>🔊</v>
      </c>
      <c r="D187" s="22" t="s">
        <v>1653</v>
      </c>
      <c r="E187" s="6" t="s">
        <v>232</v>
      </c>
      <c r="F187" s="12" t="str">
        <f>IFERROR(__xludf.DUMMYFUNCTION("GOOGLETRANSLATE(B187,""zh_cn"",""vi"")"),"thể thao")</f>
        <v>thể thao</v>
      </c>
      <c r="G187" s="20" t="s">
        <v>1654</v>
      </c>
      <c r="I187" s="11" t="b">
        <f t="shared" si="2"/>
        <v>0</v>
      </c>
      <c r="K187" s="11" t="b">
        <f t="shared" si="3"/>
        <v>0</v>
      </c>
    </row>
    <row r="188" ht="22.5" customHeight="1">
      <c r="A188" s="12">
        <f t="shared" si="4"/>
        <v>486</v>
      </c>
      <c r="B188" s="6" t="s">
        <v>1655</v>
      </c>
      <c r="C188" s="7" t="str">
        <f t="shared" si="1"/>
        <v>🔊</v>
      </c>
      <c r="D188" s="22" t="s">
        <v>1656</v>
      </c>
      <c r="E188" s="6" t="s">
        <v>27</v>
      </c>
      <c r="F188" s="12" t="str">
        <f>IFERROR(__xludf.DUMMYFUNCTION("GOOGLETRANSLATE(B188,""zh_cn"",""vi"")"),"đứng")</f>
        <v>đứng</v>
      </c>
      <c r="G188" s="20" t="s">
        <v>1657</v>
      </c>
      <c r="H188" s="5" t="s">
        <v>1655</v>
      </c>
      <c r="I188" s="11" t="b">
        <f t="shared" si="2"/>
        <v>1</v>
      </c>
      <c r="K188" s="11" t="b">
        <f t="shared" si="3"/>
        <v>0</v>
      </c>
    </row>
    <row r="189" ht="22.5" customHeight="1">
      <c r="A189" s="12">
        <f t="shared" si="4"/>
        <v>487</v>
      </c>
      <c r="B189" s="6" t="s">
        <v>1658</v>
      </c>
      <c r="C189" s="7" t="str">
        <f t="shared" si="1"/>
        <v>🔊</v>
      </c>
      <c r="D189" s="22" t="s">
        <v>1659</v>
      </c>
      <c r="E189" s="6" t="s">
        <v>27</v>
      </c>
      <c r="F189" s="12" t="str">
        <f>IFERROR(__xludf.DUMMYFUNCTION("GOOGLETRANSLATE(B189,""zh_cn"",""vi"")"),"chồng")</f>
        <v>chồng</v>
      </c>
      <c r="G189" s="20" t="s">
        <v>1660</v>
      </c>
      <c r="H189" s="5" t="s">
        <v>1658</v>
      </c>
      <c r="I189" s="11" t="b">
        <f t="shared" si="2"/>
        <v>1</v>
      </c>
      <c r="K189" s="11" t="b">
        <f t="shared" si="3"/>
        <v>0</v>
      </c>
    </row>
    <row r="190" ht="22.5" customHeight="1">
      <c r="A190" s="12">
        <f t="shared" si="4"/>
        <v>488</v>
      </c>
      <c r="B190" s="6" t="s">
        <v>1661</v>
      </c>
      <c r="C190" s="7" t="str">
        <f t="shared" si="1"/>
        <v>🔊</v>
      </c>
      <c r="D190" s="22" t="s">
        <v>1662</v>
      </c>
      <c r="E190" s="6" t="s">
        <v>18</v>
      </c>
      <c r="F190" s="5" t="s">
        <v>1663</v>
      </c>
      <c r="G190" s="20" t="s">
        <v>1664</v>
      </c>
      <c r="H190" s="5" t="s">
        <v>1665</v>
      </c>
      <c r="I190" s="11" t="b">
        <f t="shared" si="2"/>
        <v>0</v>
      </c>
      <c r="K190" s="11" t="b">
        <f t="shared" si="3"/>
        <v>0</v>
      </c>
    </row>
    <row r="191" ht="22.5" customHeight="1">
      <c r="A191" s="12">
        <f t="shared" si="4"/>
        <v>489</v>
      </c>
      <c r="B191" s="6" t="s">
        <v>1666</v>
      </c>
      <c r="C191" s="7" t="str">
        <f t="shared" si="1"/>
        <v>🔊</v>
      </c>
      <c r="D191" s="22" t="s">
        <v>1667</v>
      </c>
      <c r="E191" s="6" t="s">
        <v>106</v>
      </c>
      <c r="F191" s="5" t="s">
        <v>1668</v>
      </c>
      <c r="G191" s="20" t="s">
        <v>1669</v>
      </c>
      <c r="H191" s="5" t="s">
        <v>1670</v>
      </c>
      <c r="I191" s="11" t="b">
        <f t="shared" si="2"/>
        <v>0</v>
      </c>
      <c r="K191" s="11" t="b">
        <f t="shared" si="3"/>
        <v>0</v>
      </c>
    </row>
    <row r="192" ht="22.5" customHeight="1">
      <c r="A192" s="12">
        <f t="shared" si="4"/>
        <v>490</v>
      </c>
      <c r="B192" s="6" t="s">
        <v>1671</v>
      </c>
      <c r="C192" s="7" t="str">
        <f t="shared" si="1"/>
        <v>🔊</v>
      </c>
      <c r="D192" s="22" t="s">
        <v>1672</v>
      </c>
      <c r="E192" s="6" t="s">
        <v>964</v>
      </c>
      <c r="F192" s="12" t="str">
        <f>IFERROR(__xludf.DUMMYFUNCTION("GOOGLETRANSLATE(B192,""zh_cn"",""vi"")"),"chỉ")</f>
        <v>chỉ</v>
      </c>
      <c r="G192" s="20" t="s">
        <v>1673</v>
      </c>
      <c r="H192" s="5" t="s">
        <v>976</v>
      </c>
      <c r="I192" s="11" t="b">
        <f t="shared" si="2"/>
        <v>0</v>
      </c>
      <c r="K192" s="11" t="b">
        <f t="shared" si="3"/>
        <v>0</v>
      </c>
    </row>
    <row r="193" ht="22.5" customHeight="1">
      <c r="A193" s="12">
        <f t="shared" si="4"/>
        <v>491</v>
      </c>
      <c r="B193" s="6" t="s">
        <v>1670</v>
      </c>
      <c r="C193" s="7" t="str">
        <f t="shared" si="1"/>
        <v>🔊</v>
      </c>
      <c r="D193" s="22" t="s">
        <v>1674</v>
      </c>
      <c r="E193" s="6" t="s">
        <v>106</v>
      </c>
      <c r="F193" s="5" t="s">
        <v>1675</v>
      </c>
      <c r="I193" s="11" t="b">
        <f t="shared" si="2"/>
        <v>0</v>
      </c>
      <c r="K193" s="11" t="b">
        <f t="shared" si="3"/>
        <v>0</v>
      </c>
    </row>
    <row r="194" ht="22.5" customHeight="1">
      <c r="A194" s="12">
        <f t="shared" si="4"/>
        <v>492</v>
      </c>
      <c r="B194" s="6" t="s">
        <v>1676</v>
      </c>
      <c r="C194" s="7" t="str">
        <f t="shared" si="1"/>
        <v>🔊</v>
      </c>
      <c r="D194" s="22" t="s">
        <v>1677</v>
      </c>
      <c r="E194" s="6" t="s">
        <v>1034</v>
      </c>
      <c r="F194" s="12" t="str">
        <f>IFERROR(__xludf.DUMMYFUNCTION("GOOGLETRANSLATE(B194,""zh_cn"",""vi"")"),"tuần")</f>
        <v>tuần</v>
      </c>
      <c r="G194" s="20" t="s">
        <v>1678</v>
      </c>
      <c r="H194" s="5" t="s">
        <v>1676</v>
      </c>
      <c r="I194" s="11" t="b">
        <f t="shared" si="2"/>
        <v>1</v>
      </c>
      <c r="K194" s="11" t="b">
        <f t="shared" si="3"/>
        <v>0</v>
      </c>
    </row>
    <row r="195" ht="22.5" customHeight="1">
      <c r="A195" s="12">
        <f t="shared" si="4"/>
        <v>493</v>
      </c>
      <c r="B195" s="6" t="s">
        <v>1679</v>
      </c>
      <c r="C195" s="7" t="str">
        <f t="shared" si="1"/>
        <v>🔊</v>
      </c>
      <c r="D195" s="22" t="s">
        <v>1680</v>
      </c>
      <c r="E195" s="6" t="s">
        <v>13</v>
      </c>
      <c r="F195" s="12" t="str">
        <f>IFERROR(__xludf.DUMMYFUNCTION("GOOGLETRANSLATE(B195,""zh_cn"",""vi"")"),"Chuẩn bị")</f>
        <v>Chuẩn bị</v>
      </c>
      <c r="G195" s="20" t="s">
        <v>1681</v>
      </c>
      <c r="H195" s="5" t="s">
        <v>1682</v>
      </c>
      <c r="I195" s="11" t="b">
        <f t="shared" si="2"/>
        <v>0</v>
      </c>
      <c r="K195" s="11" t="b">
        <f t="shared" si="3"/>
        <v>0</v>
      </c>
    </row>
    <row r="196" ht="22.5" customHeight="1">
      <c r="A196" s="12">
        <f t="shared" si="4"/>
        <v>494</v>
      </c>
      <c r="B196" s="6" t="s">
        <v>1683</v>
      </c>
      <c r="C196" s="7" t="str">
        <f t="shared" si="1"/>
        <v>🔊</v>
      </c>
      <c r="D196" s="22" t="s">
        <v>1684</v>
      </c>
      <c r="E196" s="6" t="s">
        <v>106</v>
      </c>
      <c r="F196" s="5" t="s">
        <v>1685</v>
      </c>
      <c r="G196" s="20" t="s">
        <v>1686</v>
      </c>
      <c r="I196" s="11" t="b">
        <f t="shared" si="2"/>
        <v>0</v>
      </c>
      <c r="K196" s="11" t="b">
        <f t="shared" si="3"/>
        <v>0</v>
      </c>
    </row>
    <row r="197" ht="22.5" customHeight="1">
      <c r="A197" s="12">
        <f t="shared" si="4"/>
        <v>495</v>
      </c>
      <c r="B197" s="6" t="s">
        <v>1687</v>
      </c>
      <c r="C197" s="7" t="str">
        <f t="shared" si="1"/>
        <v>🔊</v>
      </c>
      <c r="D197" s="22" t="s">
        <v>1688</v>
      </c>
      <c r="E197" s="6" t="s">
        <v>13</v>
      </c>
      <c r="F197" s="12" t="str">
        <f>IFERROR(__xludf.DUMMYFUNCTION("GOOGLETRANSLATE(B197,""zh_cn"",""vi"")"),"Đi bộ")</f>
        <v>Đi bộ</v>
      </c>
      <c r="G197" s="20" t="s">
        <v>1689</v>
      </c>
      <c r="H197" s="5" t="s">
        <v>1687</v>
      </c>
      <c r="I197" s="11" t="b">
        <f t="shared" si="2"/>
        <v>1</v>
      </c>
      <c r="K197" s="11" t="b">
        <f t="shared" si="3"/>
        <v>0</v>
      </c>
    </row>
    <row r="198" ht="22.5" customHeight="1">
      <c r="A198" s="12">
        <f t="shared" si="4"/>
        <v>496</v>
      </c>
      <c r="B198" s="6" t="s">
        <v>1690</v>
      </c>
      <c r="C198" s="7" t="str">
        <f t="shared" si="1"/>
        <v>🔊</v>
      </c>
      <c r="D198" s="22" t="s">
        <v>1691</v>
      </c>
      <c r="E198" s="6" t="s">
        <v>13</v>
      </c>
      <c r="F198" s="12" t="str">
        <f>IFERROR(__xludf.DUMMYFUNCTION("GOOGLETRANSLATE(B198,""zh_cn"",""vi"")"),"đi bộ")</f>
        <v>đi bộ</v>
      </c>
      <c r="G198" s="20" t="s">
        <v>1692</v>
      </c>
      <c r="H198" s="5" t="s">
        <v>1690</v>
      </c>
      <c r="I198" s="11" t="b">
        <f t="shared" si="2"/>
        <v>1</v>
      </c>
      <c r="K198" s="11" t="b">
        <f t="shared" si="3"/>
        <v>0</v>
      </c>
    </row>
    <row r="199" ht="22.5" customHeight="1">
      <c r="A199" s="12">
        <f t="shared" si="4"/>
        <v>497</v>
      </c>
      <c r="B199" s="6" t="s">
        <v>1693</v>
      </c>
      <c r="C199" s="7" t="str">
        <f t="shared" si="1"/>
        <v>🔊</v>
      </c>
      <c r="D199" s="22" t="s">
        <v>1694</v>
      </c>
      <c r="E199" s="6" t="s">
        <v>61</v>
      </c>
      <c r="F199" s="5" t="s">
        <v>1695</v>
      </c>
      <c r="G199" s="20" t="s">
        <v>1696</v>
      </c>
      <c r="I199" s="11" t="b">
        <f t="shared" si="2"/>
        <v>0</v>
      </c>
      <c r="K199" s="11" t="b">
        <f t="shared" si="3"/>
        <v>0</v>
      </c>
    </row>
    <row r="200" ht="22.5" customHeight="1">
      <c r="A200" s="12">
        <f t="shared" si="4"/>
        <v>498</v>
      </c>
      <c r="B200" s="6" t="s">
        <v>1697</v>
      </c>
      <c r="C200" s="7" t="str">
        <f t="shared" si="1"/>
        <v>🔊</v>
      </c>
      <c r="D200" s="22" t="s">
        <v>1698</v>
      </c>
      <c r="E200" s="6" t="s">
        <v>27</v>
      </c>
      <c r="F200" s="5" t="s">
        <v>1699</v>
      </c>
      <c r="G200" s="20" t="s">
        <v>1700</v>
      </c>
      <c r="I200" s="11" t="b">
        <f t="shared" si="2"/>
        <v>0</v>
      </c>
      <c r="K200" s="11" t="b">
        <f t="shared" si="3"/>
        <v>0</v>
      </c>
    </row>
    <row r="201" ht="22.5" customHeight="1">
      <c r="A201" s="12">
        <f t="shared" si="4"/>
        <v>499</v>
      </c>
      <c r="B201" s="6" t="s">
        <v>1701</v>
      </c>
      <c r="C201" s="7" t="str">
        <f t="shared" si="1"/>
        <v>🔊</v>
      </c>
      <c r="D201" s="22" t="s">
        <v>1702</v>
      </c>
      <c r="E201" s="6" t="s">
        <v>27</v>
      </c>
      <c r="F201" s="12" t="str">
        <f>IFERROR(__xludf.DUMMYFUNCTION("GOOGLETRANSLATE(B201,""zh_cn"",""vi"")"),"bên trái")</f>
        <v>bên trái</v>
      </c>
      <c r="I201" s="11" t="b">
        <f t="shared" si="2"/>
        <v>0</v>
      </c>
      <c r="K201" s="11" t="b">
        <f t="shared" si="3"/>
        <v>0</v>
      </c>
    </row>
    <row r="202" ht="22.5" customHeight="1">
      <c r="A202" s="12">
        <f t="shared" si="4"/>
        <v>500</v>
      </c>
      <c r="B202" s="6" t="s">
        <v>1703</v>
      </c>
      <c r="C202" s="7" t="str">
        <f t="shared" si="1"/>
        <v>🔊</v>
      </c>
      <c r="D202" s="22" t="s">
        <v>1704</v>
      </c>
      <c r="E202" s="6" t="s">
        <v>27</v>
      </c>
      <c r="F202" s="12" t="str">
        <f>IFERROR(__xludf.DUMMYFUNCTION("GOOGLETRANSLATE(B202,""zh_cn"",""vi"")"),"bóng đá")</f>
        <v>bóng đá</v>
      </c>
      <c r="G202" s="20" t="s">
        <v>1705</v>
      </c>
      <c r="H202" s="5" t="s">
        <v>1703</v>
      </c>
      <c r="I202" s="11" t="b">
        <f t="shared" si="2"/>
        <v>1</v>
      </c>
      <c r="K202" s="11" t="b">
        <f t="shared" si="3"/>
        <v>0</v>
      </c>
    </row>
  </sheetData>
  <conditionalFormatting sqref="I3:I202 K3:K202">
    <cfRule type="expression" dxfId="5" priority="1">
      <formula>I3=TRUE</formula>
    </cfRule>
  </conditionalFormatting>
  <conditionalFormatting sqref="I3:I202 K3:K202">
    <cfRule type="expression" dxfId="6" priority="2">
      <formula>I3=FALSE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0"/>
    <col customWidth="1" min="3" max="3" width="10.38"/>
    <col customWidth="1" min="4" max="4" width="17.75"/>
    <col customWidth="1" min="5" max="5" width="22.0"/>
    <col customWidth="1" min="6" max="6" width="25.0"/>
    <col customWidth="1" min="7" max="7" width="22.63"/>
    <col customWidth="1" min="8" max="9" width="16.0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.5" customHeight="1">
      <c r="A2" s="1"/>
      <c r="B2" s="6" t="s">
        <v>1706</v>
      </c>
      <c r="C2" s="1"/>
      <c r="D2" s="2"/>
      <c r="E2" s="1"/>
      <c r="F2" s="1"/>
      <c r="G2" s="20"/>
      <c r="H2" s="21"/>
      <c r="I2" s="21"/>
      <c r="J2" s="21"/>
      <c r="K2" s="21"/>
    </row>
    <row r="3" ht="22.5" customHeight="1">
      <c r="A3" s="5">
        <v>501.0</v>
      </c>
      <c r="B3" s="6" t="s">
        <v>1707</v>
      </c>
      <c r="C3" s="7" t="str">
        <f t="shared" ref="C3:C502" si="1">HYPERLINK("https://translate.google.com/translate_tts?ie=UTF-8&amp;client=tw-ob&amp;tl=zh-CN&amp;q="&amp;ENCODEURL(B3),"🔊")</f>
        <v>🔊</v>
      </c>
      <c r="D3" s="8" t="s">
        <v>1708</v>
      </c>
      <c r="E3" s="6" t="s">
        <v>99</v>
      </c>
      <c r="F3" s="12" t="str">
        <f>IFERROR(__xludf.DUMMYFUNCTION("GOOGLETRANSLATE(B3,""zh_cn"",""vi"")"),"ngắn")</f>
        <v>ngắn</v>
      </c>
      <c r="G3" s="20" t="s">
        <v>1709</v>
      </c>
      <c r="H3" s="6"/>
      <c r="I3" s="11" t="b">
        <f t="shared" ref="I3:I502" si="2">H3=B3</f>
        <v>0</v>
      </c>
      <c r="J3" s="6"/>
      <c r="K3" s="11" t="b">
        <f t="shared" ref="K3:K502" si="3">J3=F3</f>
        <v>0</v>
      </c>
    </row>
    <row r="4" ht="22.5" customHeight="1">
      <c r="A4" s="12">
        <f t="shared" ref="A4:A502" si="4">A3+1</f>
        <v>502</v>
      </c>
      <c r="B4" s="6" t="s">
        <v>1710</v>
      </c>
      <c r="C4" s="7" t="str">
        <f t="shared" si="1"/>
        <v>🔊</v>
      </c>
      <c r="D4" s="8" t="s">
        <v>1711</v>
      </c>
      <c r="E4" s="6" t="s">
        <v>27</v>
      </c>
      <c r="F4" s="5" t="s">
        <v>1712</v>
      </c>
      <c r="G4" s="20" t="s">
        <v>1713</v>
      </c>
      <c r="H4" s="6"/>
      <c r="I4" s="11" t="b">
        <f t="shared" si="2"/>
        <v>0</v>
      </c>
      <c r="J4" s="6"/>
      <c r="K4" s="11" t="b">
        <f t="shared" si="3"/>
        <v>0</v>
      </c>
    </row>
    <row r="5" ht="22.5" customHeight="1">
      <c r="A5" s="12">
        <f t="shared" si="4"/>
        <v>503</v>
      </c>
      <c r="B5" s="6" t="s">
        <v>1714</v>
      </c>
      <c r="C5" s="7" t="str">
        <f t="shared" si="1"/>
        <v>🔊</v>
      </c>
      <c r="D5" s="8" t="s">
        <v>1715</v>
      </c>
      <c r="E5" s="6" t="s">
        <v>99</v>
      </c>
      <c r="F5" s="5" t="s">
        <v>1716</v>
      </c>
      <c r="G5" s="20" t="s">
        <v>1717</v>
      </c>
      <c r="H5" s="6"/>
      <c r="I5" s="11" t="b">
        <f t="shared" si="2"/>
        <v>0</v>
      </c>
      <c r="J5" s="6"/>
      <c r="K5" s="11" t="b">
        <f t="shared" si="3"/>
        <v>0</v>
      </c>
    </row>
    <row r="6" ht="22.5" customHeight="1">
      <c r="A6" s="12">
        <f t="shared" si="4"/>
        <v>504</v>
      </c>
      <c r="B6" s="6" t="s">
        <v>1718</v>
      </c>
      <c r="C6" s="7" t="str">
        <f t="shared" si="1"/>
        <v>🔊</v>
      </c>
      <c r="D6" s="8" t="s">
        <v>1719</v>
      </c>
      <c r="E6" s="6" t="s">
        <v>99</v>
      </c>
      <c r="F6" s="12" t="str">
        <f>IFERROR(__xludf.DUMMYFUNCTION("GOOGLETRANSLATE(B6,""zh_cn"",""vi"")"),"Sự an toàn")</f>
        <v>Sự an toàn</v>
      </c>
      <c r="G6" s="20" t="s">
        <v>1720</v>
      </c>
      <c r="H6" s="6"/>
      <c r="I6" s="11" t="b">
        <f t="shared" si="2"/>
        <v>0</v>
      </c>
      <c r="K6" s="11" t="b">
        <f t="shared" si="3"/>
        <v>0</v>
      </c>
    </row>
    <row r="7" ht="22.5" customHeight="1">
      <c r="A7" s="12">
        <f t="shared" si="4"/>
        <v>505</v>
      </c>
      <c r="B7" s="6" t="s">
        <v>1721</v>
      </c>
      <c r="C7" s="7" t="str">
        <f t="shared" si="1"/>
        <v>🔊</v>
      </c>
      <c r="D7" s="8" t="s">
        <v>1722</v>
      </c>
      <c r="E7" s="6" t="s">
        <v>27</v>
      </c>
      <c r="F7" s="12" t="str">
        <f>IFERROR(__xludf.DUMMYFUNCTION("GOOGLETRANSLATE(B7,""zh_cn"",""vi"")"),"Dì")</f>
        <v>Dì</v>
      </c>
      <c r="G7" s="20" t="s">
        <v>1723</v>
      </c>
      <c r="I7" s="11" t="b">
        <f t="shared" si="2"/>
        <v>0</v>
      </c>
      <c r="K7" s="11" t="b">
        <f t="shared" si="3"/>
        <v>0</v>
      </c>
    </row>
    <row r="8" ht="22.5" customHeight="1">
      <c r="A8" s="12">
        <f t="shared" si="4"/>
        <v>506</v>
      </c>
      <c r="B8" s="6" t="s">
        <v>1724</v>
      </c>
      <c r="C8" s="7" t="str">
        <f t="shared" si="1"/>
        <v>🔊</v>
      </c>
      <c r="D8" s="8" t="s">
        <v>1725</v>
      </c>
      <c r="E8" s="6" t="s">
        <v>1726</v>
      </c>
      <c r="F8" s="5" t="s">
        <v>1727</v>
      </c>
      <c r="G8" s="20" t="s">
        <v>1728</v>
      </c>
      <c r="I8" s="11" t="b">
        <f t="shared" si="2"/>
        <v>0</v>
      </c>
      <c r="K8" s="11" t="b">
        <f t="shared" si="3"/>
        <v>0</v>
      </c>
    </row>
    <row r="9" ht="22.5" customHeight="1">
      <c r="A9" s="12">
        <f t="shared" si="4"/>
        <v>507</v>
      </c>
      <c r="B9" s="6" t="s">
        <v>1729</v>
      </c>
      <c r="C9" s="7" t="str">
        <f t="shared" si="1"/>
        <v>🔊</v>
      </c>
      <c r="D9" s="8" t="s">
        <v>36</v>
      </c>
      <c r="E9" s="6" t="s">
        <v>13</v>
      </c>
      <c r="F9" s="5" t="s">
        <v>1730</v>
      </c>
      <c r="G9" s="20" t="s">
        <v>1731</v>
      </c>
      <c r="I9" s="11" t="b">
        <f t="shared" si="2"/>
        <v>0</v>
      </c>
      <c r="K9" s="11" t="b">
        <f t="shared" si="3"/>
        <v>0</v>
      </c>
    </row>
    <row r="10" ht="22.5" customHeight="1">
      <c r="A10" s="12">
        <f t="shared" si="4"/>
        <v>508</v>
      </c>
      <c r="B10" s="6" t="s">
        <v>1732</v>
      </c>
      <c r="C10" s="7" t="str">
        <f t="shared" si="1"/>
        <v>🔊</v>
      </c>
      <c r="D10" s="8" t="s">
        <v>1033</v>
      </c>
      <c r="E10" s="6" t="s">
        <v>13</v>
      </c>
      <c r="F10" s="5" t="s">
        <v>1733</v>
      </c>
      <c r="G10" s="20" t="s">
        <v>1734</v>
      </c>
      <c r="I10" s="11" t="b">
        <f t="shared" si="2"/>
        <v>0</v>
      </c>
      <c r="K10" s="11" t="b">
        <f t="shared" si="3"/>
        <v>0</v>
      </c>
    </row>
    <row r="11" ht="22.5" customHeight="1">
      <c r="A11" s="12">
        <f t="shared" si="4"/>
        <v>509</v>
      </c>
      <c r="B11" s="6" t="s">
        <v>1735</v>
      </c>
      <c r="C11" s="7" t="str">
        <f t="shared" si="1"/>
        <v>🔊</v>
      </c>
      <c r="D11" s="8" t="s">
        <v>1736</v>
      </c>
      <c r="E11" s="6" t="s">
        <v>27</v>
      </c>
      <c r="F11" s="5" t="s">
        <v>1737</v>
      </c>
      <c r="G11" s="20" t="s">
        <v>1738</v>
      </c>
      <c r="I11" s="11" t="b">
        <f t="shared" si="2"/>
        <v>0</v>
      </c>
      <c r="K11" s="11" t="b">
        <f t="shared" si="3"/>
        <v>0</v>
      </c>
    </row>
    <row r="12" ht="22.5" customHeight="1">
      <c r="A12" s="12">
        <f t="shared" si="4"/>
        <v>510</v>
      </c>
      <c r="B12" s="6" t="s">
        <v>1739</v>
      </c>
      <c r="C12" s="7" t="str">
        <f t="shared" si="1"/>
        <v>🔊</v>
      </c>
      <c r="D12" s="8" t="s">
        <v>1740</v>
      </c>
      <c r="E12" s="6" t="s">
        <v>27</v>
      </c>
      <c r="F12" s="12" t="str">
        <f>IFERROR(__xludf.DUMMYFUNCTION("GOOGLETRANSLATE(B12,""zh_cn"",""vi"")"),"văn phòng")</f>
        <v>văn phòng</v>
      </c>
      <c r="G12" s="20" t="s">
        <v>1741</v>
      </c>
      <c r="I12" s="11" t="b">
        <f t="shared" si="2"/>
        <v>0</v>
      </c>
      <c r="K12" s="11" t="b">
        <f t="shared" si="3"/>
        <v>0</v>
      </c>
    </row>
    <row r="13" ht="22.5" customHeight="1">
      <c r="A13" s="12">
        <f t="shared" si="4"/>
        <v>511</v>
      </c>
      <c r="B13" s="6" t="s">
        <v>1742</v>
      </c>
      <c r="C13" s="7" t="str">
        <f t="shared" si="1"/>
        <v>🔊</v>
      </c>
      <c r="D13" s="8" t="s">
        <v>1743</v>
      </c>
      <c r="E13" s="6" t="s">
        <v>13</v>
      </c>
      <c r="F13" s="12" t="str">
        <f>IFERROR(__xludf.DUMMYFUNCTION("GOOGLETRANSLATE(B13,""zh_cn"",""vi"")"),"giúp đỡ")</f>
        <v>giúp đỡ</v>
      </c>
      <c r="G13" s="20" t="s">
        <v>1744</v>
      </c>
      <c r="I13" s="11" t="b">
        <f t="shared" si="2"/>
        <v>0</v>
      </c>
      <c r="K13" s="11" t="b">
        <f t="shared" si="3"/>
        <v>0</v>
      </c>
    </row>
    <row r="14" ht="22.5" customHeight="1">
      <c r="A14" s="12">
        <f t="shared" si="4"/>
        <v>512</v>
      </c>
      <c r="B14" s="6" t="s">
        <v>1745</v>
      </c>
      <c r="C14" s="7" t="str">
        <f t="shared" si="1"/>
        <v>🔊</v>
      </c>
      <c r="D14" s="8" t="s">
        <v>1746</v>
      </c>
      <c r="E14" s="6" t="s">
        <v>27</v>
      </c>
      <c r="F14" s="12" t="str">
        <f>IFERROR(__xludf.DUMMYFUNCTION("GOOGLETRANSLATE(B14,""zh_cn"",""vi"")"),"lớp học")</f>
        <v>lớp học</v>
      </c>
      <c r="G14" s="20" t="s">
        <v>1747</v>
      </c>
      <c r="I14" s="11" t="b">
        <f t="shared" si="2"/>
        <v>0</v>
      </c>
      <c r="K14" s="11" t="b">
        <f t="shared" si="3"/>
        <v>0</v>
      </c>
    </row>
    <row r="15" ht="22.5" customHeight="1">
      <c r="A15" s="12">
        <f t="shared" si="4"/>
        <v>513</v>
      </c>
      <c r="B15" s="6" t="s">
        <v>1748</v>
      </c>
      <c r="C15" s="7" t="str">
        <f t="shared" si="1"/>
        <v>🔊</v>
      </c>
      <c r="D15" s="8" t="s">
        <v>1749</v>
      </c>
      <c r="E15" s="6" t="s">
        <v>13</v>
      </c>
      <c r="F15" s="5" t="s">
        <v>1750</v>
      </c>
      <c r="G15" s="20" t="s">
        <v>1751</v>
      </c>
      <c r="I15" s="11" t="b">
        <f t="shared" si="2"/>
        <v>0</v>
      </c>
      <c r="K15" s="11" t="b">
        <f t="shared" si="3"/>
        <v>0</v>
      </c>
    </row>
    <row r="16" ht="22.5" customHeight="1">
      <c r="A16" s="12">
        <f t="shared" si="4"/>
        <v>514</v>
      </c>
      <c r="B16" s="6" t="s">
        <v>1752</v>
      </c>
      <c r="C16" s="7" t="str">
        <f t="shared" si="1"/>
        <v>🔊</v>
      </c>
      <c r="D16" s="8" t="s">
        <v>1753</v>
      </c>
      <c r="E16" s="6" t="s">
        <v>874</v>
      </c>
      <c r="F16" s="5" t="s">
        <v>1754</v>
      </c>
      <c r="G16" s="20" t="s">
        <v>1755</v>
      </c>
      <c r="I16" s="11" t="b">
        <f t="shared" si="2"/>
        <v>0</v>
      </c>
      <c r="K16" s="11" t="b">
        <f t="shared" si="3"/>
        <v>0</v>
      </c>
    </row>
    <row r="17" ht="22.5" customHeight="1">
      <c r="A17" s="12">
        <f t="shared" si="4"/>
        <v>515</v>
      </c>
      <c r="B17" s="6" t="s">
        <v>1756</v>
      </c>
      <c r="C17" s="7" t="str">
        <f t="shared" si="1"/>
        <v>🔊</v>
      </c>
      <c r="D17" s="8" t="s">
        <v>1757</v>
      </c>
      <c r="E17" s="6" t="s">
        <v>99</v>
      </c>
      <c r="F17" s="5" t="s">
        <v>1758</v>
      </c>
      <c r="G17" s="20" t="s">
        <v>1759</v>
      </c>
      <c r="I17" s="11" t="b">
        <f t="shared" si="2"/>
        <v>0</v>
      </c>
      <c r="K17" s="11" t="b">
        <f t="shared" si="3"/>
        <v>0</v>
      </c>
    </row>
    <row r="18" ht="22.5" customHeight="1">
      <c r="A18" s="12">
        <f t="shared" si="4"/>
        <v>516</v>
      </c>
      <c r="B18" s="6" t="s">
        <v>1760</v>
      </c>
      <c r="C18" s="7" t="str">
        <f t="shared" si="1"/>
        <v>🔊</v>
      </c>
      <c r="D18" s="8" t="s">
        <v>1761</v>
      </c>
      <c r="E18" s="6" t="s">
        <v>27</v>
      </c>
      <c r="F18" s="5" t="s">
        <v>1762</v>
      </c>
      <c r="G18" s="20" t="s">
        <v>1763</v>
      </c>
      <c r="I18" s="11" t="b">
        <f t="shared" si="2"/>
        <v>0</v>
      </c>
      <c r="K18" s="11" t="b">
        <f t="shared" si="3"/>
        <v>0</v>
      </c>
    </row>
    <row r="19" ht="22.5" customHeight="1">
      <c r="A19" s="12">
        <f t="shared" si="4"/>
        <v>517</v>
      </c>
      <c r="B19" s="6" t="s">
        <v>1764</v>
      </c>
      <c r="C19" s="7" t="str">
        <f t="shared" si="1"/>
        <v>🔊</v>
      </c>
      <c r="D19" s="8" t="s">
        <v>1765</v>
      </c>
      <c r="E19" s="6" t="s">
        <v>1766</v>
      </c>
      <c r="F19" s="5" t="s">
        <v>1767</v>
      </c>
      <c r="G19" s="20" t="s">
        <v>1768</v>
      </c>
      <c r="I19" s="11" t="b">
        <f t="shared" si="2"/>
        <v>0</v>
      </c>
      <c r="K19" s="11" t="b">
        <f t="shared" si="3"/>
        <v>0</v>
      </c>
    </row>
    <row r="20" ht="22.5" customHeight="1">
      <c r="A20" s="12">
        <f t="shared" si="4"/>
        <v>518</v>
      </c>
      <c r="B20" s="6" t="s">
        <v>1769</v>
      </c>
      <c r="C20" s="7" t="str">
        <f t="shared" si="1"/>
        <v>🔊</v>
      </c>
      <c r="D20" s="8" t="s">
        <v>1770</v>
      </c>
      <c r="E20" s="6" t="s">
        <v>27</v>
      </c>
      <c r="F20" s="12" t="str">
        <f>IFERROR(__xludf.DUMMYFUNCTION("GOOGLETRANSLATE(B20,""zh_cn"",""vi"")"),"phía bắc")</f>
        <v>phía bắc</v>
      </c>
      <c r="G20" s="20" t="s">
        <v>1771</v>
      </c>
      <c r="I20" s="11" t="b">
        <f t="shared" si="2"/>
        <v>0</v>
      </c>
      <c r="K20" s="11" t="b">
        <f t="shared" si="3"/>
        <v>0</v>
      </c>
    </row>
    <row r="21" ht="22.5" customHeight="1">
      <c r="A21" s="12">
        <f t="shared" si="4"/>
        <v>519</v>
      </c>
      <c r="B21" s="6" t="s">
        <v>1772</v>
      </c>
      <c r="C21" s="7" t="str">
        <f t="shared" si="1"/>
        <v>🔊</v>
      </c>
      <c r="D21" s="8" t="s">
        <v>1773</v>
      </c>
      <c r="E21" s="6" t="s">
        <v>27</v>
      </c>
      <c r="F21" s="5" t="s">
        <v>1774</v>
      </c>
      <c r="G21" s="20" t="s">
        <v>1775</v>
      </c>
      <c r="I21" s="11" t="b">
        <f t="shared" si="2"/>
        <v>0</v>
      </c>
      <c r="K21" s="11" t="b">
        <f t="shared" si="3"/>
        <v>0</v>
      </c>
    </row>
    <row r="22" ht="22.5" customHeight="1">
      <c r="A22" s="12">
        <f t="shared" si="4"/>
        <v>520</v>
      </c>
      <c r="B22" s="6" t="s">
        <v>1776</v>
      </c>
      <c r="C22" s="7" t="str">
        <f t="shared" si="1"/>
        <v>🔊</v>
      </c>
      <c r="D22" s="8" t="s">
        <v>1777</v>
      </c>
      <c r="E22" s="6" t="s">
        <v>13</v>
      </c>
      <c r="F22" s="12" t="str">
        <f>IFERROR(__xludf.DUMMYFUNCTION("GOOGLETRANSLATE(B22,""zh_cn"",""vi"")"),"Thay đổi")</f>
        <v>Thay đổi</v>
      </c>
      <c r="G22" s="20" t="s">
        <v>1778</v>
      </c>
      <c r="I22" s="11" t="b">
        <f t="shared" si="2"/>
        <v>0</v>
      </c>
      <c r="K22" s="11" t="b">
        <f t="shared" si="3"/>
        <v>0</v>
      </c>
    </row>
    <row r="23" ht="22.5" customHeight="1">
      <c r="A23" s="12">
        <f t="shared" si="4"/>
        <v>521</v>
      </c>
      <c r="B23" s="6" t="s">
        <v>1779</v>
      </c>
      <c r="C23" s="7" t="str">
        <f t="shared" si="1"/>
        <v>🔊</v>
      </c>
      <c r="D23" s="8" t="s">
        <v>1777</v>
      </c>
      <c r="E23" s="6" t="s">
        <v>47</v>
      </c>
      <c r="F23" s="12" t="str">
        <f>IFERROR(__xludf.DUMMYFUNCTION("GOOGLETRANSLATE(B23,""zh_cn"",""vi"")"),"khắp nơi")</f>
        <v>khắp nơi</v>
      </c>
      <c r="G23" s="20" t="s">
        <v>1780</v>
      </c>
      <c r="I23" s="11" t="b">
        <f t="shared" si="2"/>
        <v>0</v>
      </c>
      <c r="K23" s="11" t="b">
        <f t="shared" si="3"/>
        <v>0</v>
      </c>
    </row>
    <row r="24" ht="22.5" customHeight="1">
      <c r="A24" s="12">
        <f t="shared" si="4"/>
        <v>522</v>
      </c>
      <c r="B24" s="6" t="s">
        <v>1781</v>
      </c>
      <c r="C24" s="7" t="str">
        <f t="shared" si="1"/>
        <v>🔊</v>
      </c>
      <c r="D24" s="8" t="s">
        <v>1782</v>
      </c>
      <c r="E24" s="6" t="s">
        <v>13</v>
      </c>
      <c r="F24" s="5" t="s">
        <v>1783</v>
      </c>
      <c r="G24" s="20" t="s">
        <v>1784</v>
      </c>
      <c r="I24" s="11" t="b">
        <f t="shared" si="2"/>
        <v>0</v>
      </c>
      <c r="K24" s="11" t="b">
        <f t="shared" si="3"/>
        <v>0</v>
      </c>
    </row>
    <row r="25" ht="22.5" customHeight="1">
      <c r="A25" s="12">
        <f t="shared" si="4"/>
        <v>523</v>
      </c>
      <c r="B25" s="6" t="s">
        <v>1785</v>
      </c>
      <c r="C25" s="7" t="str">
        <f t="shared" si="1"/>
        <v>🔊</v>
      </c>
      <c r="D25" s="8" t="s">
        <v>1786</v>
      </c>
      <c r="E25" s="6" t="s">
        <v>232</v>
      </c>
      <c r="F25" s="5" t="s">
        <v>1787</v>
      </c>
      <c r="G25" s="20" t="s">
        <v>1788</v>
      </c>
      <c r="I25" s="11" t="b">
        <f t="shared" si="2"/>
        <v>0</v>
      </c>
      <c r="K25" s="11" t="b">
        <f t="shared" si="3"/>
        <v>0</v>
      </c>
    </row>
    <row r="26" ht="22.5" customHeight="1">
      <c r="A26" s="12">
        <f t="shared" si="4"/>
        <v>524</v>
      </c>
      <c r="B26" s="6" t="s">
        <v>1789</v>
      </c>
      <c r="C26" s="7" t="str">
        <f t="shared" si="1"/>
        <v>🔊</v>
      </c>
      <c r="D26" s="8" t="s">
        <v>1790</v>
      </c>
      <c r="E26" s="6" t="s">
        <v>13</v>
      </c>
      <c r="F26" s="5" t="s">
        <v>1791</v>
      </c>
      <c r="G26" s="20" t="s">
        <v>1792</v>
      </c>
      <c r="I26" s="11" t="b">
        <f t="shared" si="2"/>
        <v>0</v>
      </c>
      <c r="K26" s="11" t="b">
        <f t="shared" si="3"/>
        <v>0</v>
      </c>
    </row>
    <row r="27" ht="22.5" customHeight="1">
      <c r="A27" s="12">
        <f t="shared" si="4"/>
        <v>525</v>
      </c>
      <c r="B27" s="6" t="s">
        <v>1793</v>
      </c>
      <c r="C27" s="7" t="str">
        <f t="shared" si="1"/>
        <v>🔊</v>
      </c>
      <c r="D27" s="8" t="s">
        <v>1794</v>
      </c>
      <c r="E27" s="6" t="s">
        <v>106</v>
      </c>
      <c r="F27" s="5" t="s">
        <v>1795</v>
      </c>
      <c r="G27" s="20" t="s">
        <v>1796</v>
      </c>
      <c r="I27" s="11" t="b">
        <f t="shared" si="2"/>
        <v>0</v>
      </c>
      <c r="K27" s="11" t="b">
        <f t="shared" si="3"/>
        <v>0</v>
      </c>
    </row>
    <row r="28" ht="22.5" customHeight="1">
      <c r="A28" s="12">
        <f t="shared" si="4"/>
        <v>526</v>
      </c>
      <c r="B28" s="6" t="s">
        <v>1797</v>
      </c>
      <c r="C28" s="7" t="str">
        <f t="shared" si="1"/>
        <v>🔊</v>
      </c>
      <c r="D28" s="8" t="s">
        <v>1798</v>
      </c>
      <c r="E28" s="6" t="s">
        <v>106</v>
      </c>
      <c r="F28" s="12" t="str">
        <f>IFERROR(__xludf.DUMMYFUNCTION("GOOGLETRANSLATE(B28,""zh_cn"",""vi"")"),"những người khác")</f>
        <v>những người khác</v>
      </c>
      <c r="G28" s="20" t="s">
        <v>1799</v>
      </c>
      <c r="I28" s="11" t="b">
        <f t="shared" si="2"/>
        <v>0</v>
      </c>
      <c r="K28" s="11" t="b">
        <f t="shared" si="3"/>
        <v>0</v>
      </c>
    </row>
    <row r="29" ht="22.5" customHeight="1">
      <c r="A29" s="12">
        <f t="shared" si="4"/>
        <v>527</v>
      </c>
      <c r="B29" s="6" t="s">
        <v>1800</v>
      </c>
      <c r="C29" s="7" t="str">
        <f t="shared" si="1"/>
        <v>🔊</v>
      </c>
      <c r="D29" s="8" t="s">
        <v>1801</v>
      </c>
      <c r="E29" s="6" t="s">
        <v>27</v>
      </c>
      <c r="F29" s="5" t="s">
        <v>1802</v>
      </c>
      <c r="G29" s="20" t="s">
        <v>1803</v>
      </c>
      <c r="I29" s="11" t="b">
        <f t="shared" si="2"/>
        <v>0</v>
      </c>
      <c r="K29" s="11" t="b">
        <f t="shared" si="3"/>
        <v>0</v>
      </c>
    </row>
    <row r="30" ht="22.5" customHeight="1">
      <c r="A30" s="12">
        <f t="shared" si="4"/>
        <v>528</v>
      </c>
      <c r="B30" s="6" t="s">
        <v>1804</v>
      </c>
      <c r="C30" s="7" t="str">
        <f t="shared" si="1"/>
        <v>🔊</v>
      </c>
      <c r="D30" s="8" t="s">
        <v>1805</v>
      </c>
      <c r="E30" s="6" t="s">
        <v>924</v>
      </c>
      <c r="F30" s="5" t="s">
        <v>1806</v>
      </c>
      <c r="G30" s="20" t="s">
        <v>1807</v>
      </c>
      <c r="I30" s="11" t="b">
        <f t="shared" si="2"/>
        <v>0</v>
      </c>
      <c r="K30" s="11" t="b">
        <f t="shared" si="3"/>
        <v>0</v>
      </c>
    </row>
    <row r="31" ht="22.5" customHeight="1">
      <c r="A31" s="12">
        <f t="shared" si="4"/>
        <v>529</v>
      </c>
      <c r="B31" s="6" t="s">
        <v>1808</v>
      </c>
      <c r="C31" s="7" t="str">
        <f t="shared" si="1"/>
        <v>🔊</v>
      </c>
      <c r="D31" s="8" t="s">
        <v>1809</v>
      </c>
      <c r="E31" s="6" t="s">
        <v>27</v>
      </c>
      <c r="F31" s="12" t="str">
        <f>IFERROR(__xludf.DUMMYFUNCTION("GOOGLETRANSLATE(B31,""zh_cn"",""vi"")"),"sổ tay")</f>
        <v>sổ tay</v>
      </c>
      <c r="G31" s="20" t="s">
        <v>1810</v>
      </c>
      <c r="I31" s="11" t="b">
        <f t="shared" si="2"/>
        <v>0</v>
      </c>
      <c r="K31" s="11" t="b">
        <f t="shared" si="3"/>
        <v>0</v>
      </c>
    </row>
    <row r="32" ht="22.5" customHeight="1">
      <c r="A32" s="12">
        <f t="shared" si="4"/>
        <v>530</v>
      </c>
      <c r="B32" s="6" t="s">
        <v>1811</v>
      </c>
      <c r="C32" s="7" t="str">
        <f t="shared" si="1"/>
        <v>🔊</v>
      </c>
      <c r="D32" s="8" t="s">
        <v>1812</v>
      </c>
      <c r="E32" s="6" t="s">
        <v>1813</v>
      </c>
      <c r="F32" s="12" t="str">
        <f>IFERROR(__xludf.DUMMYFUNCTION("GOOGLETRANSLATE(B32,""zh_cn"",""vi"")"),"đá")</f>
        <v>đá</v>
      </c>
      <c r="G32" s="20" t="s">
        <v>1814</v>
      </c>
      <c r="I32" s="11" t="b">
        <f t="shared" si="2"/>
        <v>0</v>
      </c>
      <c r="K32" s="11" t="b">
        <f t="shared" si="3"/>
        <v>0</v>
      </c>
    </row>
    <row r="33" ht="22.5" customHeight="1">
      <c r="A33" s="12">
        <f t="shared" si="4"/>
        <v>531</v>
      </c>
      <c r="B33" s="6" t="s">
        <v>1815</v>
      </c>
      <c r="C33" s="7" t="str">
        <f t="shared" si="1"/>
        <v>🔊</v>
      </c>
      <c r="D33" s="8" t="s">
        <v>1816</v>
      </c>
      <c r="E33" s="6" t="s">
        <v>27</v>
      </c>
      <c r="F33" s="12" t="str">
        <f>IFERROR(__xludf.DUMMYFUNCTION("GOOGLETRANSLATE(B33,""zh_cn"",""vi"")"),"kem")</f>
        <v>kem</v>
      </c>
      <c r="G33" s="20" t="s">
        <v>1817</v>
      </c>
      <c r="I33" s="11" t="b">
        <f t="shared" si="2"/>
        <v>0</v>
      </c>
      <c r="K33" s="11" t="b">
        <f t="shared" si="3"/>
        <v>0</v>
      </c>
    </row>
    <row r="34" ht="22.5" customHeight="1">
      <c r="A34" s="12">
        <f t="shared" si="4"/>
        <v>532</v>
      </c>
      <c r="B34" s="6" t="s">
        <v>1818</v>
      </c>
      <c r="C34" s="7" t="str">
        <f t="shared" si="1"/>
        <v>🔊</v>
      </c>
      <c r="D34" s="8" t="s">
        <v>1819</v>
      </c>
      <c r="E34" s="6" t="s">
        <v>27</v>
      </c>
      <c r="F34" s="5" t="s">
        <v>1820</v>
      </c>
      <c r="G34" s="20" t="s">
        <v>1821</v>
      </c>
      <c r="I34" s="11" t="b">
        <f t="shared" si="2"/>
        <v>0</v>
      </c>
      <c r="K34" s="11" t="b">
        <f t="shared" si="3"/>
        <v>0</v>
      </c>
    </row>
    <row r="35" ht="22.5" customHeight="1">
      <c r="A35" s="12">
        <f t="shared" si="4"/>
        <v>533</v>
      </c>
      <c r="B35" s="6" t="s">
        <v>1822</v>
      </c>
      <c r="C35" s="7" t="str">
        <f t="shared" si="1"/>
        <v>🔊</v>
      </c>
      <c r="D35" s="8" t="s">
        <v>1823</v>
      </c>
      <c r="E35" s="6" t="s">
        <v>27</v>
      </c>
      <c r="F35" s="12" t="str">
        <f>IFERROR(__xludf.DUMMYFUNCTION("GOOGLETRANSLATE(B35,""zh_cn"",""vi"")"),"Khách sạn")</f>
        <v>Khách sạn</v>
      </c>
      <c r="G35" s="20" t="s">
        <v>1824</v>
      </c>
      <c r="I35" s="11" t="b">
        <f t="shared" si="2"/>
        <v>0</v>
      </c>
      <c r="K35" s="11" t="b">
        <f t="shared" si="3"/>
        <v>0</v>
      </c>
    </row>
    <row r="36" ht="22.5" customHeight="1">
      <c r="A36" s="12">
        <f t="shared" si="4"/>
        <v>534</v>
      </c>
      <c r="B36" s="6" t="s">
        <v>1825</v>
      </c>
      <c r="C36" s="7" t="str">
        <f t="shared" si="1"/>
        <v>🔊</v>
      </c>
      <c r="D36" s="8" t="s">
        <v>1826</v>
      </c>
      <c r="E36" s="6" t="s">
        <v>27</v>
      </c>
      <c r="F36" s="12" t="str">
        <f>IFERROR(__xludf.DUMMYFUNCTION("GOOGLETRANSLATE(B36,""zh_cn"",""vi"")"),"tủ lạnh")</f>
        <v>tủ lạnh</v>
      </c>
      <c r="G36" s="20" t="s">
        <v>1827</v>
      </c>
      <c r="I36" s="11" t="b">
        <f t="shared" si="2"/>
        <v>0</v>
      </c>
      <c r="K36" s="11" t="b">
        <f t="shared" si="3"/>
        <v>0</v>
      </c>
    </row>
    <row r="37" ht="22.5" customHeight="1">
      <c r="A37" s="12">
        <f t="shared" si="4"/>
        <v>535</v>
      </c>
      <c r="B37" s="6" t="s">
        <v>1828</v>
      </c>
      <c r="C37" s="7" t="str">
        <f t="shared" si="1"/>
        <v>🔊</v>
      </c>
      <c r="D37" s="8" t="s">
        <v>1829</v>
      </c>
      <c r="E37" s="6" t="s">
        <v>13</v>
      </c>
      <c r="F37" s="12" t="str">
        <f>IFERROR(__xludf.DUMMYFUNCTION("GOOGLETRANSLATE(B37,""zh_cn"",""vi"")"),"Ví dụ")</f>
        <v>Ví dụ</v>
      </c>
      <c r="G37" s="20" t="s">
        <v>1830</v>
      </c>
      <c r="I37" s="11" t="b">
        <f t="shared" si="2"/>
        <v>0</v>
      </c>
      <c r="K37" s="11" t="b">
        <f t="shared" si="3"/>
        <v>0</v>
      </c>
    </row>
    <row r="38" ht="22.5" customHeight="1">
      <c r="A38" s="12">
        <f t="shared" si="4"/>
        <v>536</v>
      </c>
      <c r="B38" s="6" t="s">
        <v>1052</v>
      </c>
      <c r="C38" s="7" t="str">
        <f t="shared" si="1"/>
        <v>🔊</v>
      </c>
      <c r="D38" s="8" t="s">
        <v>1053</v>
      </c>
      <c r="E38" s="6" t="s">
        <v>232</v>
      </c>
      <c r="F38" s="5" t="s">
        <v>1831</v>
      </c>
      <c r="G38" s="20" t="s">
        <v>1832</v>
      </c>
      <c r="I38" s="11" t="b">
        <f t="shared" si="2"/>
        <v>0</v>
      </c>
      <c r="K38" s="11" t="b">
        <f t="shared" si="3"/>
        <v>0</v>
      </c>
    </row>
    <row r="39" ht="22.5" customHeight="1">
      <c r="A39" s="12">
        <f t="shared" si="4"/>
        <v>537</v>
      </c>
      <c r="B39" s="6" t="s">
        <v>1833</v>
      </c>
      <c r="C39" s="7" t="str">
        <f t="shared" si="1"/>
        <v>🔊</v>
      </c>
      <c r="D39" s="8" t="s">
        <v>1834</v>
      </c>
      <c r="E39" s="6" t="s">
        <v>61</v>
      </c>
      <c r="F39" s="12" t="str">
        <f>IFERROR(__xludf.DUMMYFUNCTION("GOOGLETRANSLATE(B39,""zh_cn"",""vi"")"),"phải")</f>
        <v>phải</v>
      </c>
      <c r="G39" s="20" t="s">
        <v>1835</v>
      </c>
      <c r="I39" s="11" t="b">
        <f t="shared" si="2"/>
        <v>0</v>
      </c>
      <c r="K39" s="11" t="b">
        <f t="shared" si="3"/>
        <v>0</v>
      </c>
    </row>
    <row r="40" ht="22.5" customHeight="1">
      <c r="A40" s="12">
        <f t="shared" si="4"/>
        <v>538</v>
      </c>
      <c r="B40" s="6" t="s">
        <v>1836</v>
      </c>
      <c r="C40" s="7" t="str">
        <f t="shared" si="1"/>
        <v>🔊</v>
      </c>
      <c r="D40" s="8" t="s">
        <v>1837</v>
      </c>
      <c r="E40" s="14"/>
      <c r="F40" s="12" t="str">
        <f>IFERROR(__xludf.DUMMYFUNCTION("GOOGLETRANSLATE(B40,""zh_cn"",""vi"")"),"khác biệt")</f>
        <v>khác biệt</v>
      </c>
      <c r="G40" s="20" t="s">
        <v>1838</v>
      </c>
      <c r="I40" s="11" t="b">
        <f t="shared" si="2"/>
        <v>0</v>
      </c>
      <c r="K40" s="11" t="b">
        <f t="shared" si="3"/>
        <v>0</v>
      </c>
    </row>
    <row r="41" ht="22.5" customHeight="1">
      <c r="A41" s="12">
        <f t="shared" si="4"/>
        <v>539</v>
      </c>
      <c r="B41" s="6" t="s">
        <v>1839</v>
      </c>
      <c r="C41" s="7" t="str">
        <f t="shared" si="1"/>
        <v>🔊</v>
      </c>
      <c r="D41" s="8" t="s">
        <v>1840</v>
      </c>
      <c r="E41" s="6" t="s">
        <v>1132</v>
      </c>
      <c r="F41" s="12" t="str">
        <f>IFERROR(__xludf.DUMMYFUNCTION("GOOGLETRANSLATE(B41,""zh_cn"",""vi"")"),"Không chỉ")</f>
        <v>Không chỉ</v>
      </c>
      <c r="G41" s="20" t="s">
        <v>1841</v>
      </c>
      <c r="I41" s="11" t="b">
        <f t="shared" si="2"/>
        <v>0</v>
      </c>
      <c r="K41" s="11" t="b">
        <f t="shared" si="3"/>
        <v>0</v>
      </c>
    </row>
    <row r="42" ht="22.5" customHeight="1">
      <c r="A42" s="12">
        <f t="shared" si="4"/>
        <v>540</v>
      </c>
      <c r="B42" s="6" t="s">
        <v>1842</v>
      </c>
      <c r="C42" s="7" t="str">
        <f t="shared" si="1"/>
        <v>🔊</v>
      </c>
      <c r="D42" s="8" t="s">
        <v>1843</v>
      </c>
      <c r="E42" s="6" t="s">
        <v>13</v>
      </c>
      <c r="F42" s="12" t="str">
        <f>IFERROR(__xludf.DUMMYFUNCTION("GOOGLETRANSLATE(B42,""zh_cn"",""vi"")"),"không nhìn thấy")</f>
        <v>không nhìn thấy</v>
      </c>
      <c r="G42" s="20" t="s">
        <v>1844</v>
      </c>
      <c r="I42" s="11" t="b">
        <f t="shared" si="2"/>
        <v>0</v>
      </c>
      <c r="K42" s="11" t="b">
        <f t="shared" si="3"/>
        <v>0</v>
      </c>
    </row>
    <row r="43" ht="22.5" customHeight="1">
      <c r="A43" s="12">
        <f t="shared" si="4"/>
        <v>541</v>
      </c>
      <c r="B43" s="6" t="s">
        <v>1845</v>
      </c>
      <c r="C43" s="7" t="str">
        <f t="shared" si="1"/>
        <v>🔊</v>
      </c>
      <c r="D43" s="8" t="s">
        <v>1846</v>
      </c>
      <c r="E43" s="6" t="s">
        <v>99</v>
      </c>
      <c r="F43" s="5" t="s">
        <v>1847</v>
      </c>
      <c r="G43" s="20" t="s">
        <v>1848</v>
      </c>
      <c r="I43" s="11" t="b">
        <f t="shared" si="2"/>
        <v>0</v>
      </c>
      <c r="K43" s="11" t="b">
        <f t="shared" si="3"/>
        <v>0</v>
      </c>
    </row>
    <row r="44" ht="22.5" customHeight="1">
      <c r="A44" s="12">
        <f t="shared" si="4"/>
        <v>542</v>
      </c>
      <c r="B44" s="6" t="s">
        <v>1849</v>
      </c>
      <c r="C44" s="7" t="str">
        <f t="shared" si="1"/>
        <v>🔊</v>
      </c>
      <c r="D44" s="8" t="s">
        <v>1850</v>
      </c>
      <c r="E44" s="6" t="s">
        <v>368</v>
      </c>
      <c r="F44" s="5" t="s">
        <v>1851</v>
      </c>
      <c r="G44" s="20" t="s">
        <v>1852</v>
      </c>
      <c r="I44" s="11" t="b">
        <f t="shared" si="2"/>
        <v>0</v>
      </c>
      <c r="K44" s="11" t="b">
        <f t="shared" si="3"/>
        <v>0</v>
      </c>
    </row>
    <row r="45" ht="22.5" customHeight="1">
      <c r="A45" s="12">
        <f t="shared" si="4"/>
        <v>543</v>
      </c>
      <c r="B45" s="6" t="s">
        <v>1853</v>
      </c>
      <c r="C45" s="7" t="str">
        <f t="shared" si="1"/>
        <v>🔊</v>
      </c>
      <c r="D45" s="8" t="s">
        <v>1854</v>
      </c>
      <c r="E45" s="6" t="s">
        <v>61</v>
      </c>
      <c r="F45" s="12" t="str">
        <f>IFERROR(__xludf.DUMMYFUNCTION("GOOGLETRANSLATE(B45,""zh_cn"",""vi"")"),"Không cần thiết")</f>
        <v>Không cần thiết</v>
      </c>
      <c r="G45" s="20" t="s">
        <v>1855</v>
      </c>
      <c r="I45" s="11" t="b">
        <f t="shared" si="2"/>
        <v>0</v>
      </c>
      <c r="K45" s="11" t="b">
        <f t="shared" si="3"/>
        <v>0</v>
      </c>
    </row>
    <row r="46" ht="22.5" customHeight="1">
      <c r="A46" s="12">
        <f t="shared" si="4"/>
        <v>544</v>
      </c>
      <c r="B46" s="6" t="s">
        <v>1856</v>
      </c>
      <c r="C46" s="7" t="str">
        <f t="shared" si="1"/>
        <v>🔊</v>
      </c>
      <c r="D46" s="8" t="s">
        <v>1857</v>
      </c>
      <c r="E46" s="6" t="s">
        <v>61</v>
      </c>
      <c r="F46" s="5" t="s">
        <v>1858</v>
      </c>
      <c r="G46" s="20" t="s">
        <v>1859</v>
      </c>
      <c r="I46" s="11" t="b">
        <f t="shared" si="2"/>
        <v>0</v>
      </c>
      <c r="K46" s="11" t="b">
        <f t="shared" si="3"/>
        <v>0</v>
      </c>
    </row>
    <row r="47" ht="22.5" customHeight="1">
      <c r="A47" s="12">
        <f t="shared" si="4"/>
        <v>545</v>
      </c>
      <c r="B47" s="6" t="s">
        <v>1860</v>
      </c>
      <c r="C47" s="7" t="str">
        <f t="shared" si="1"/>
        <v>🔊</v>
      </c>
      <c r="D47" s="8" t="s">
        <v>1861</v>
      </c>
      <c r="E47" s="6" t="s">
        <v>27</v>
      </c>
      <c r="F47" s="12" t="str">
        <f>IFERROR(__xludf.DUMMYFUNCTION("GOOGLETRANSLATE(B47,""zh_cn"",""vi"")"),"thực đơn")</f>
        <v>thực đơn</v>
      </c>
      <c r="G47" s="20" t="s">
        <v>1862</v>
      </c>
      <c r="I47" s="11" t="b">
        <f t="shared" si="2"/>
        <v>0</v>
      </c>
      <c r="K47" s="11" t="b">
        <f t="shared" si="3"/>
        <v>0</v>
      </c>
    </row>
    <row r="48" ht="22.5" customHeight="1">
      <c r="A48" s="12">
        <f t="shared" si="4"/>
        <v>546</v>
      </c>
      <c r="B48" s="6" t="s">
        <v>1863</v>
      </c>
      <c r="C48" s="7" t="str">
        <f t="shared" si="1"/>
        <v>🔊</v>
      </c>
      <c r="D48" s="8" t="s">
        <v>1864</v>
      </c>
      <c r="E48" s="18" t="s">
        <v>13</v>
      </c>
      <c r="F48" s="12" t="str">
        <f>IFERROR(__xludf.DUMMYFUNCTION("GOOGLETRANSLATE(B48,""zh_cn"",""vi"")"),"tham gia")</f>
        <v>tham gia</v>
      </c>
      <c r="G48" s="20" t="s">
        <v>1865</v>
      </c>
      <c r="I48" s="11" t="b">
        <f t="shared" si="2"/>
        <v>0</v>
      </c>
      <c r="K48" s="11" t="b">
        <f t="shared" si="3"/>
        <v>0</v>
      </c>
    </row>
    <row r="49" ht="22.5" customHeight="1">
      <c r="A49" s="12">
        <f t="shared" si="4"/>
        <v>547</v>
      </c>
      <c r="B49" s="6" t="s">
        <v>1866</v>
      </c>
      <c r="C49" s="7" t="str">
        <f t="shared" si="1"/>
        <v>🔊</v>
      </c>
      <c r="D49" s="8" t="s">
        <v>1867</v>
      </c>
      <c r="E49" s="6" t="s">
        <v>27</v>
      </c>
      <c r="F49" s="12" t="str">
        <f>IFERROR(__xludf.DUMMYFUNCTION("GOOGLETRANSLATE(B49,""zh_cn"",""vi"")"),"Cỏ")</f>
        <v>Cỏ</v>
      </c>
      <c r="G49" s="20" t="s">
        <v>1868</v>
      </c>
      <c r="I49" s="11" t="b">
        <f t="shared" si="2"/>
        <v>0</v>
      </c>
      <c r="K49" s="11" t="b">
        <f t="shared" si="3"/>
        <v>0</v>
      </c>
    </row>
    <row r="50" ht="22.5" customHeight="1">
      <c r="A50" s="12">
        <f t="shared" si="4"/>
        <v>548</v>
      </c>
      <c r="B50" s="6" t="s">
        <v>1869</v>
      </c>
      <c r="C50" s="7" t="str">
        <f t="shared" si="1"/>
        <v>🔊</v>
      </c>
      <c r="D50" s="8" t="s">
        <v>1870</v>
      </c>
      <c r="E50" s="6" t="s">
        <v>27</v>
      </c>
      <c r="F50" s="12" t="str">
        <f>IFERROR(__xludf.DUMMYFUNCTION("GOOGLETRANSLATE(B50,""zh_cn"",""vi"")"),"đồng cỏ")</f>
        <v>đồng cỏ</v>
      </c>
      <c r="G50" s="20" t="s">
        <v>1871</v>
      </c>
      <c r="I50" s="11" t="b">
        <f t="shared" si="2"/>
        <v>0</v>
      </c>
      <c r="K50" s="11" t="b">
        <f t="shared" si="3"/>
        <v>0</v>
      </c>
    </row>
    <row r="51" ht="22.5" customHeight="1">
      <c r="A51" s="12">
        <f t="shared" si="4"/>
        <v>549</v>
      </c>
      <c r="B51" s="6" t="s">
        <v>1872</v>
      </c>
      <c r="C51" s="7" t="str">
        <f t="shared" si="1"/>
        <v>🔊</v>
      </c>
      <c r="D51" s="8" t="s">
        <v>1873</v>
      </c>
      <c r="E51" s="6" t="s">
        <v>47</v>
      </c>
      <c r="F51" s="5" t="s">
        <v>1874</v>
      </c>
      <c r="G51" s="20" t="s">
        <v>1875</v>
      </c>
      <c r="I51" s="11" t="b">
        <f t="shared" si="2"/>
        <v>0</v>
      </c>
      <c r="K51" s="11" t="b">
        <f t="shared" si="3"/>
        <v>0</v>
      </c>
    </row>
    <row r="52" ht="22.5" customHeight="1">
      <c r="A52" s="12">
        <f t="shared" si="4"/>
        <v>550</v>
      </c>
      <c r="B52" s="6" t="s">
        <v>1876</v>
      </c>
      <c r="C52" s="7" t="str">
        <f t="shared" si="1"/>
        <v>🔊</v>
      </c>
      <c r="D52" s="8" t="s">
        <v>75</v>
      </c>
      <c r="E52" s="6" t="s">
        <v>13</v>
      </c>
      <c r="F52" s="12" t="str">
        <f>IFERROR(__xludf.DUMMYFUNCTION("GOOGLETRANSLATE(B52,""zh_cn"",""vi"")"),"kiểm tra")</f>
        <v>kiểm tra</v>
      </c>
      <c r="G52" s="20" t="s">
        <v>1877</v>
      </c>
      <c r="I52" s="11" t="b">
        <f t="shared" si="2"/>
        <v>0</v>
      </c>
      <c r="K52" s="11" t="b">
        <f t="shared" si="3"/>
        <v>0</v>
      </c>
    </row>
    <row r="53" ht="22.5" customHeight="1">
      <c r="A53" s="12">
        <f t="shared" si="4"/>
        <v>551</v>
      </c>
      <c r="B53" s="6" t="s">
        <v>1878</v>
      </c>
      <c r="C53" s="7" t="str">
        <f t="shared" si="1"/>
        <v>🔊</v>
      </c>
      <c r="D53" s="8" t="s">
        <v>1879</v>
      </c>
      <c r="E53" s="6" t="s">
        <v>416</v>
      </c>
      <c r="F53" s="5" t="s">
        <v>1880</v>
      </c>
      <c r="G53" s="20" t="s">
        <v>1881</v>
      </c>
      <c r="I53" s="11" t="b">
        <f t="shared" si="2"/>
        <v>0</v>
      </c>
      <c r="K53" s="11" t="b">
        <f t="shared" si="3"/>
        <v>0</v>
      </c>
    </row>
    <row r="54" ht="22.5" customHeight="1">
      <c r="A54" s="12">
        <f t="shared" si="4"/>
        <v>552</v>
      </c>
      <c r="B54" s="6" t="s">
        <v>1882</v>
      </c>
      <c r="C54" s="7" t="str">
        <f t="shared" si="1"/>
        <v>🔊</v>
      </c>
      <c r="D54" s="8" t="s">
        <v>1883</v>
      </c>
      <c r="E54" s="6" t="s">
        <v>1308</v>
      </c>
      <c r="F54" s="12" t="str">
        <f>IFERROR(__xludf.DUMMYFUNCTION("GOOGLETRANSLATE(B54,""zh_cn"",""vi"")"),"hầu hết")</f>
        <v>hầu hết</v>
      </c>
      <c r="G54" s="20" t="s">
        <v>1884</v>
      </c>
      <c r="I54" s="11" t="b">
        <f t="shared" si="2"/>
        <v>0</v>
      </c>
      <c r="K54" s="11" t="b">
        <f t="shared" si="3"/>
        <v>0</v>
      </c>
    </row>
    <row r="55" ht="22.5" customHeight="1">
      <c r="A55" s="12">
        <f t="shared" si="4"/>
        <v>553</v>
      </c>
      <c r="B55" s="6" t="s">
        <v>1885</v>
      </c>
      <c r="C55" s="7" t="str">
        <f t="shared" si="1"/>
        <v>🔊</v>
      </c>
      <c r="D55" s="8" t="s">
        <v>1068</v>
      </c>
      <c r="E55" s="6" t="s">
        <v>13</v>
      </c>
      <c r="F55" s="12" t="str">
        <f>IFERROR(__xludf.DUMMYFUNCTION("GOOGLETRANSLATE(B55,""zh_cn"",""vi"")"),"nếm")</f>
        <v>nếm</v>
      </c>
      <c r="G55" s="20" t="s">
        <v>1886</v>
      </c>
      <c r="I55" s="11" t="b">
        <f t="shared" si="2"/>
        <v>0</v>
      </c>
      <c r="K55" s="11" t="b">
        <f t="shared" si="3"/>
        <v>0</v>
      </c>
    </row>
    <row r="56" ht="22.5" customHeight="1">
      <c r="A56" s="12">
        <f t="shared" si="4"/>
        <v>554</v>
      </c>
      <c r="B56" s="6" t="s">
        <v>1887</v>
      </c>
      <c r="C56" s="7" t="str">
        <f t="shared" si="1"/>
        <v>🔊</v>
      </c>
      <c r="D56" s="8" t="s">
        <v>1068</v>
      </c>
      <c r="E56" s="6" t="s">
        <v>61</v>
      </c>
      <c r="F56" s="12" t="str">
        <f>IFERROR(__xludf.DUMMYFUNCTION("GOOGLETRANSLATE(B56,""zh_cn"",""vi"")"),"thường")</f>
        <v>thường</v>
      </c>
      <c r="G56" s="20" t="s">
        <v>1888</v>
      </c>
      <c r="I56" s="11" t="b">
        <f t="shared" si="2"/>
        <v>0</v>
      </c>
      <c r="K56" s="11" t="b">
        <f t="shared" si="3"/>
        <v>0</v>
      </c>
    </row>
    <row r="57" ht="22.5" customHeight="1">
      <c r="A57" s="12">
        <f t="shared" si="4"/>
        <v>555</v>
      </c>
      <c r="B57" s="6" t="s">
        <v>1889</v>
      </c>
      <c r="C57" s="7" t="str">
        <f t="shared" si="1"/>
        <v>🔊</v>
      </c>
      <c r="D57" s="8" t="s">
        <v>1890</v>
      </c>
      <c r="E57" s="6"/>
      <c r="F57" s="5" t="s">
        <v>1891</v>
      </c>
      <c r="G57" s="20" t="s">
        <v>1892</v>
      </c>
      <c r="I57" s="11" t="b">
        <f t="shared" si="2"/>
        <v>0</v>
      </c>
      <c r="K57" s="11" t="b">
        <f t="shared" si="3"/>
        <v>0</v>
      </c>
    </row>
    <row r="58" ht="22.5" customHeight="1">
      <c r="A58" s="12">
        <f t="shared" si="4"/>
        <v>556</v>
      </c>
      <c r="B58" s="6" t="s">
        <v>1893</v>
      </c>
      <c r="C58" s="7" t="str">
        <f t="shared" si="1"/>
        <v>🔊</v>
      </c>
      <c r="D58" s="8" t="s">
        <v>1894</v>
      </c>
      <c r="E58" s="6"/>
      <c r="F58" s="12" t="str">
        <f>IFERROR(__xludf.DUMMYFUNCTION("GOOGLETRANSLATE(B58,""zh_cn"",""vi"")"),"Thường được sử dụng")</f>
        <v>Thường được sử dụng</v>
      </c>
      <c r="G58" s="20" t="s">
        <v>1895</v>
      </c>
      <c r="I58" s="11" t="b">
        <f t="shared" si="2"/>
        <v>0</v>
      </c>
      <c r="K58" s="11" t="b">
        <f t="shared" si="3"/>
        <v>0</v>
      </c>
    </row>
    <row r="59" ht="22.5" customHeight="1">
      <c r="A59" s="12">
        <f t="shared" si="4"/>
        <v>557</v>
      </c>
      <c r="B59" s="6" t="s">
        <v>1896</v>
      </c>
      <c r="C59" s="7" t="str">
        <f t="shared" si="1"/>
        <v>🔊</v>
      </c>
      <c r="D59" s="8" t="s">
        <v>1897</v>
      </c>
      <c r="E59" s="6" t="s">
        <v>61</v>
      </c>
      <c r="F59" s="12" t="str">
        <f>IFERROR(__xludf.DUMMYFUNCTION("GOOGLETRANSLATE(B59,""zh_cn"",""vi"")"),"Thường xuyên")</f>
        <v>Thường xuyên</v>
      </c>
      <c r="G59" s="20" t="s">
        <v>1898</v>
      </c>
      <c r="I59" s="11" t="b">
        <f t="shared" si="2"/>
        <v>0</v>
      </c>
      <c r="K59" s="11" t="b">
        <f t="shared" si="3"/>
        <v>0</v>
      </c>
    </row>
    <row r="60" ht="22.5" customHeight="1">
      <c r="A60" s="12">
        <f t="shared" si="4"/>
        <v>558</v>
      </c>
      <c r="B60" s="6" t="s">
        <v>1899</v>
      </c>
      <c r="C60" s="7" t="str">
        <f t="shared" si="1"/>
        <v>🔊</v>
      </c>
      <c r="D60" s="8" t="s">
        <v>1900</v>
      </c>
      <c r="E60" s="6" t="s">
        <v>27</v>
      </c>
      <c r="F60" s="5" t="s">
        <v>1901</v>
      </c>
      <c r="G60" s="20" t="s">
        <v>1902</v>
      </c>
      <c r="I60" s="11" t="b">
        <f t="shared" si="2"/>
        <v>0</v>
      </c>
      <c r="K60" s="11" t="b">
        <f t="shared" si="3"/>
        <v>0</v>
      </c>
    </row>
    <row r="61" ht="22.5" customHeight="1">
      <c r="A61" s="12">
        <f t="shared" si="4"/>
        <v>559</v>
      </c>
      <c r="B61" s="6" t="s">
        <v>1903</v>
      </c>
      <c r="C61" s="7" t="str">
        <f t="shared" si="1"/>
        <v>🔊</v>
      </c>
      <c r="D61" s="8" t="s">
        <v>1904</v>
      </c>
      <c r="E61" s="6" t="s">
        <v>27</v>
      </c>
      <c r="F61" s="12" t="str">
        <f>IFERROR(__xludf.DUMMYFUNCTION("GOOGLETRANSLATE(B61,""zh_cn"",""vi"")"),"Thành phố")</f>
        <v>Thành phố</v>
      </c>
      <c r="G61" s="20" t="s">
        <v>1905</v>
      </c>
      <c r="I61" s="11" t="b">
        <f t="shared" si="2"/>
        <v>0</v>
      </c>
      <c r="K61" s="11" t="b">
        <f t="shared" si="3"/>
        <v>0</v>
      </c>
    </row>
    <row r="62" ht="22.5" customHeight="1">
      <c r="A62" s="12">
        <f t="shared" si="4"/>
        <v>560</v>
      </c>
      <c r="B62" s="6" t="s">
        <v>1906</v>
      </c>
      <c r="C62" s="7" t="str">
        <f t="shared" si="1"/>
        <v>🔊</v>
      </c>
      <c r="D62" s="8" t="s">
        <v>1907</v>
      </c>
      <c r="E62" s="6" t="s">
        <v>27</v>
      </c>
      <c r="F62" s="12" t="str">
        <f>IFERROR(__xludf.DUMMYFUNCTION("GOOGLETRANSLATE(B62,""zh_cn"",""vi"")"),"áo sơ mi")</f>
        <v>áo sơ mi</v>
      </c>
      <c r="G62" s="20" t="s">
        <v>1908</v>
      </c>
      <c r="I62" s="11" t="b">
        <f t="shared" si="2"/>
        <v>0</v>
      </c>
      <c r="K62" s="11" t="b">
        <f t="shared" si="3"/>
        <v>0</v>
      </c>
    </row>
    <row r="63" ht="22.5" customHeight="1">
      <c r="A63" s="12">
        <f t="shared" si="4"/>
        <v>561</v>
      </c>
      <c r="B63" s="6" t="s">
        <v>1909</v>
      </c>
      <c r="C63" s="7" t="str">
        <f t="shared" si="1"/>
        <v>🔊</v>
      </c>
      <c r="D63" s="8" t="s">
        <v>1910</v>
      </c>
      <c r="E63" s="6" t="s">
        <v>13</v>
      </c>
      <c r="F63" s="12" t="str">
        <f>IFERROR(__xludf.DUMMYFUNCTION("GOOGLETRANSLATE(B63,""zh_cn"",""vi"")"),"đến muộn")</f>
        <v>đến muộn</v>
      </c>
      <c r="G63" s="20" t="s">
        <v>1911</v>
      </c>
      <c r="I63" s="11" t="b">
        <f t="shared" si="2"/>
        <v>0</v>
      </c>
      <c r="K63" s="11" t="b">
        <f t="shared" si="3"/>
        <v>0</v>
      </c>
    </row>
    <row r="64" ht="22.5" customHeight="1">
      <c r="A64" s="12">
        <f t="shared" si="4"/>
        <v>562</v>
      </c>
      <c r="B64" s="6" t="s">
        <v>1912</v>
      </c>
      <c r="C64" s="7" t="str">
        <f t="shared" si="1"/>
        <v>🔊</v>
      </c>
      <c r="D64" s="8" t="s">
        <v>1913</v>
      </c>
      <c r="E64" s="6" t="s">
        <v>27</v>
      </c>
      <c r="F64" s="12" t="str">
        <f>IFERROR(__xludf.DUMMYFUNCTION("GOOGLETRANSLATE(B64,""zh_cn"",""vi"")"),"Thuyền")</f>
        <v>Thuyền</v>
      </c>
      <c r="G64" s="20" t="s">
        <v>1914</v>
      </c>
      <c r="I64" s="11" t="b">
        <f t="shared" si="2"/>
        <v>0</v>
      </c>
      <c r="K64" s="11" t="b">
        <f t="shared" si="3"/>
        <v>0</v>
      </c>
    </row>
    <row r="65" ht="22.5" customHeight="1">
      <c r="A65" s="12">
        <f t="shared" si="4"/>
        <v>563</v>
      </c>
      <c r="B65" s="6" t="s">
        <v>1915</v>
      </c>
      <c r="C65" s="7" t="str">
        <f t="shared" si="1"/>
        <v>🔊</v>
      </c>
      <c r="D65" s="8" t="s">
        <v>1916</v>
      </c>
      <c r="E65" s="6" t="s">
        <v>13</v>
      </c>
      <c r="F65" s="12" t="str">
        <f>IFERROR(__xludf.DUMMYFUNCTION("GOOGLETRANSLATE(B65,""zh_cn"",""vi"")"),"Khởi hành")</f>
        <v>Khởi hành</v>
      </c>
      <c r="G65" s="20" t="s">
        <v>1917</v>
      </c>
      <c r="I65" s="11" t="b">
        <f t="shared" si="2"/>
        <v>0</v>
      </c>
      <c r="K65" s="11" t="b">
        <f t="shared" si="3"/>
        <v>0</v>
      </c>
    </row>
    <row r="66" ht="22.5" customHeight="1">
      <c r="A66" s="12">
        <f t="shared" si="4"/>
        <v>564</v>
      </c>
      <c r="B66" s="6" t="s">
        <v>1918</v>
      </c>
      <c r="C66" s="7" t="str">
        <f t="shared" si="1"/>
        <v>🔊</v>
      </c>
      <c r="D66" s="8" t="s">
        <v>1919</v>
      </c>
      <c r="E66" s="6" t="s">
        <v>1766</v>
      </c>
      <c r="F66" s="12" t="str">
        <f>IFERROR(__xludf.DUMMYFUNCTION("GOOGLETRANSLATE(B66,""zh_cn"",""vi"")"),"Ngoài ra,")</f>
        <v>Ngoài ra,</v>
      </c>
      <c r="G66" s="20" t="s">
        <v>1920</v>
      </c>
      <c r="I66" s="11" t="b">
        <f t="shared" si="2"/>
        <v>0</v>
      </c>
      <c r="K66" s="11" t="b">
        <f t="shared" si="3"/>
        <v>0</v>
      </c>
    </row>
    <row r="67" ht="22.5" customHeight="1">
      <c r="A67" s="12">
        <f t="shared" si="4"/>
        <v>565</v>
      </c>
      <c r="B67" s="6" t="s">
        <v>1921</v>
      </c>
      <c r="C67" s="7" t="str">
        <f t="shared" si="1"/>
        <v>🔊</v>
      </c>
      <c r="D67" s="8" t="s">
        <v>1922</v>
      </c>
      <c r="E67" s="6" t="s">
        <v>27</v>
      </c>
      <c r="F67" s="12" t="str">
        <f>IFERROR(__xludf.DUMMYFUNCTION("GOOGLETRANSLATE(B67,""zh_cn"",""vi"")"),"mùa xuân")</f>
        <v>mùa xuân</v>
      </c>
      <c r="G67" s="20" t="s">
        <v>1923</v>
      </c>
      <c r="I67" s="11" t="b">
        <f t="shared" si="2"/>
        <v>0</v>
      </c>
      <c r="K67" s="11" t="b">
        <f t="shared" si="3"/>
        <v>0</v>
      </c>
    </row>
    <row r="68" ht="22.5" customHeight="1">
      <c r="A68" s="12">
        <f t="shared" si="4"/>
        <v>566</v>
      </c>
      <c r="B68" s="6" t="s">
        <v>1924</v>
      </c>
      <c r="C68" s="7" t="str">
        <f t="shared" si="1"/>
        <v>🔊</v>
      </c>
      <c r="D68" s="8" t="s">
        <v>1925</v>
      </c>
      <c r="E68" s="6" t="s">
        <v>13</v>
      </c>
      <c r="F68" s="12" t="str">
        <f>IFERROR(__xludf.DUMMYFUNCTION("GOOGLETRANSLATE(B68,""zh_cn"",""vi"")"),"sinh")</f>
        <v>sinh</v>
      </c>
      <c r="G68" s="20" t="s">
        <v>1926</v>
      </c>
      <c r="I68" s="11" t="b">
        <f t="shared" si="2"/>
        <v>0</v>
      </c>
      <c r="K68" s="11" t="b">
        <f t="shared" si="3"/>
        <v>0</v>
      </c>
    </row>
    <row r="69" ht="22.5" customHeight="1">
      <c r="A69" s="12">
        <f t="shared" si="4"/>
        <v>567</v>
      </c>
      <c r="B69" s="6" t="s">
        <v>1927</v>
      </c>
      <c r="C69" s="7" t="str">
        <f t="shared" si="1"/>
        <v>🔊</v>
      </c>
      <c r="D69" s="8" t="s">
        <v>1928</v>
      </c>
      <c r="E69" s="6" t="s">
        <v>13</v>
      </c>
      <c r="F69" s="12" t="str">
        <f>IFERROR(__xludf.DUMMYFUNCTION("GOOGLETRANSLATE(B69,""zh_cn"",""vi"")"),"Xuất viện")</f>
        <v>Xuất viện</v>
      </c>
      <c r="G69" s="20" t="s">
        <v>1929</v>
      </c>
      <c r="I69" s="11" t="b">
        <f t="shared" si="2"/>
        <v>0</v>
      </c>
      <c r="K69" s="11" t="b">
        <f t="shared" si="3"/>
        <v>0</v>
      </c>
    </row>
    <row r="70" ht="22.5" customHeight="1">
      <c r="A70" s="12">
        <f t="shared" si="4"/>
        <v>568</v>
      </c>
      <c r="B70" s="6" t="s">
        <v>1930</v>
      </c>
      <c r="C70" s="7" t="str">
        <f t="shared" si="1"/>
        <v>🔊</v>
      </c>
      <c r="D70" s="8" t="s">
        <v>1931</v>
      </c>
      <c r="E70" s="6" t="s">
        <v>27</v>
      </c>
      <c r="F70" s="12" t="str">
        <f>IFERROR(__xludf.DUMMYFUNCTION("GOOGLETRANSLATE(B70,""zh_cn"",""vi"")"),"trường trung học cơ sở")</f>
        <v>trường trung học cơ sở</v>
      </c>
      <c r="G70" s="20" t="s">
        <v>1932</v>
      </c>
      <c r="I70" s="11" t="b">
        <f t="shared" si="2"/>
        <v>0</v>
      </c>
      <c r="K70" s="11" t="b">
        <f t="shared" si="3"/>
        <v>0</v>
      </c>
    </row>
    <row r="71" ht="22.5" customHeight="1">
      <c r="A71" s="12">
        <f t="shared" si="4"/>
        <v>569</v>
      </c>
      <c r="B71" s="6" t="s">
        <v>1933</v>
      </c>
      <c r="C71" s="7" t="str">
        <f t="shared" si="1"/>
        <v>🔊</v>
      </c>
      <c r="D71" s="8" t="s">
        <v>1934</v>
      </c>
      <c r="E71" s="6" t="s">
        <v>27</v>
      </c>
      <c r="F71" s="12" t="str">
        <f>IFERROR(__xludf.DUMMYFUNCTION("GOOGLETRANSLATE(B71,""zh_cn"",""vi"")"),"từ điển")</f>
        <v>từ điển</v>
      </c>
      <c r="G71" s="20" t="s">
        <v>1935</v>
      </c>
      <c r="I71" s="11" t="b">
        <f t="shared" si="2"/>
        <v>0</v>
      </c>
      <c r="K71" s="11" t="b">
        <f t="shared" si="3"/>
        <v>0</v>
      </c>
    </row>
    <row r="72" ht="22.5" customHeight="1">
      <c r="A72" s="12">
        <f t="shared" si="4"/>
        <v>570</v>
      </c>
      <c r="B72" s="6" t="s">
        <v>1936</v>
      </c>
      <c r="C72" s="7" t="str">
        <f t="shared" si="1"/>
        <v>🔊</v>
      </c>
      <c r="D72" s="8" t="s">
        <v>1937</v>
      </c>
      <c r="E72" s="6" t="s">
        <v>99</v>
      </c>
      <c r="F72" s="12" t="str">
        <f>IFERROR(__xludf.DUMMYFUNCTION("GOOGLETRANSLATE(B72,""zh_cn"",""vi"")"),"thông minh")</f>
        <v>thông minh</v>
      </c>
      <c r="G72" s="20" t="s">
        <v>1938</v>
      </c>
      <c r="I72" s="11" t="b">
        <f t="shared" si="2"/>
        <v>0</v>
      </c>
      <c r="K72" s="11" t="b">
        <f t="shared" si="3"/>
        <v>0</v>
      </c>
    </row>
    <row r="73" ht="22.5" customHeight="1">
      <c r="A73" s="12">
        <f t="shared" si="4"/>
        <v>571</v>
      </c>
      <c r="B73" s="6" t="s">
        <v>1939</v>
      </c>
      <c r="C73" s="7" t="str">
        <f t="shared" si="1"/>
        <v>🔊</v>
      </c>
      <c r="D73" s="8" t="s">
        <v>1940</v>
      </c>
      <c r="E73" s="6" t="s">
        <v>1941</v>
      </c>
      <c r="F73" s="5" t="s">
        <v>1942</v>
      </c>
      <c r="G73" s="20" t="s">
        <v>1943</v>
      </c>
      <c r="I73" s="11" t="b">
        <f t="shared" si="2"/>
        <v>0</v>
      </c>
      <c r="K73" s="11" t="b">
        <f t="shared" si="3"/>
        <v>0</v>
      </c>
    </row>
    <row r="74" ht="22.5" customHeight="1">
      <c r="A74" s="12">
        <f t="shared" si="4"/>
        <v>572</v>
      </c>
      <c r="B74" s="6" t="s">
        <v>1944</v>
      </c>
      <c r="C74" s="7" t="str">
        <f t="shared" si="1"/>
        <v>🔊</v>
      </c>
      <c r="D74" s="8" t="s">
        <v>1945</v>
      </c>
      <c r="E74" s="6" t="s">
        <v>1946</v>
      </c>
      <c r="F74" s="12" t="str">
        <f>IFERROR(__xludf.DUMMYFUNCTION("GOOGLETRANSLATE(B74,""zh_cn"",""vi"")"),"mang đến ")</f>
        <v>mang đến </v>
      </c>
      <c r="G74" s="20" t="s">
        <v>1947</v>
      </c>
      <c r="I74" s="11" t="b">
        <f t="shared" si="2"/>
        <v>0</v>
      </c>
      <c r="K74" s="11" t="b">
        <f t="shared" si="3"/>
        <v>0</v>
      </c>
    </row>
    <row r="75" ht="22.5" customHeight="1">
      <c r="A75" s="12">
        <f t="shared" si="4"/>
        <v>573</v>
      </c>
      <c r="B75" s="6" t="s">
        <v>1948</v>
      </c>
      <c r="C75" s="7" t="str">
        <f t="shared" si="1"/>
        <v>🔊</v>
      </c>
      <c r="D75" s="8" t="s">
        <v>1949</v>
      </c>
      <c r="E75" s="6" t="s">
        <v>27</v>
      </c>
      <c r="F75" s="12" t="str">
        <f>IFERROR(__xludf.DUMMYFUNCTION("GOOGLETRANSLATE(B75,""zh_cn"",""vi"")"),"bánh ngọt")</f>
        <v>bánh ngọt</v>
      </c>
      <c r="G75" s="20" t="s">
        <v>1950</v>
      </c>
      <c r="I75" s="11" t="b">
        <f t="shared" si="2"/>
        <v>0</v>
      </c>
      <c r="K75" s="11" t="b">
        <f t="shared" si="3"/>
        <v>0</v>
      </c>
    </row>
    <row r="76" ht="22.5" customHeight="1">
      <c r="A76" s="12">
        <f t="shared" si="4"/>
        <v>574</v>
      </c>
      <c r="B76" s="6" t="s">
        <v>1951</v>
      </c>
      <c r="C76" s="7" t="str">
        <f t="shared" si="1"/>
        <v>🔊</v>
      </c>
      <c r="D76" s="8" t="s">
        <v>1952</v>
      </c>
      <c r="E76" s="6" t="s">
        <v>61</v>
      </c>
      <c r="F76" s="5" t="s">
        <v>1953</v>
      </c>
      <c r="G76" s="20" t="s">
        <v>1954</v>
      </c>
      <c r="I76" s="11" t="b">
        <f t="shared" si="2"/>
        <v>0</v>
      </c>
      <c r="K76" s="11" t="b">
        <f t="shared" si="3"/>
        <v>0</v>
      </c>
    </row>
    <row r="77" ht="22.5" customHeight="1">
      <c r="A77" s="12">
        <f t="shared" si="4"/>
        <v>575</v>
      </c>
      <c r="B77" s="6" t="s">
        <v>1955</v>
      </c>
      <c r="C77" s="7" t="str">
        <f t="shared" si="1"/>
        <v>🔊</v>
      </c>
      <c r="D77" s="8" t="s">
        <v>1956</v>
      </c>
      <c r="E77" s="6" t="s">
        <v>13</v>
      </c>
      <c r="F77" s="12" t="str">
        <f>IFERROR(__xludf.DUMMYFUNCTION("GOOGLETRANSLATE(B77,""zh_cn"",""vi"")"),"Lo lắng")</f>
        <v>Lo lắng</v>
      </c>
      <c r="G77" s="20" t="s">
        <v>1957</v>
      </c>
      <c r="I77" s="11" t="b">
        <f t="shared" si="2"/>
        <v>0</v>
      </c>
      <c r="K77" s="11" t="b">
        <f t="shared" si="3"/>
        <v>0</v>
      </c>
    </row>
    <row r="78" ht="22.5" customHeight="1">
      <c r="A78" s="12">
        <f t="shared" si="4"/>
        <v>576</v>
      </c>
      <c r="B78" s="6" t="s">
        <v>1958</v>
      </c>
      <c r="C78" s="7" t="str">
        <f t="shared" si="1"/>
        <v>🔊</v>
      </c>
      <c r="D78" s="8" t="s">
        <v>1959</v>
      </c>
      <c r="E78" s="6" t="s">
        <v>61</v>
      </c>
      <c r="F78" s="12" t="str">
        <f>IFERROR(__xludf.DUMMYFUNCTION("GOOGLETRANSLATE(B78,""zh_cn"",""vi"")"),"khắp mọi nơi")</f>
        <v>khắp mọi nơi</v>
      </c>
      <c r="G78" s="20" t="s">
        <v>1960</v>
      </c>
      <c r="I78" s="11" t="b">
        <f t="shared" si="2"/>
        <v>0</v>
      </c>
      <c r="K78" s="11" t="b">
        <f t="shared" si="3"/>
        <v>0</v>
      </c>
    </row>
    <row r="79" ht="22.5" customHeight="1">
      <c r="A79" s="12">
        <f t="shared" si="4"/>
        <v>577</v>
      </c>
      <c r="B79" s="6" t="s">
        <v>1961</v>
      </c>
      <c r="C79" s="7" t="str">
        <f t="shared" si="1"/>
        <v>🔊</v>
      </c>
      <c r="D79" s="8" t="s">
        <v>1962</v>
      </c>
      <c r="E79" s="6" t="s">
        <v>27</v>
      </c>
      <c r="F79" s="12" t="str">
        <f>IFERROR(__xludf.DUMMYFUNCTION("GOOGLETRANSLATE(B79,""zh_cn"",""vi"")"),"người lớn")</f>
        <v>người lớn</v>
      </c>
      <c r="G79" s="20" t="s">
        <v>1963</v>
      </c>
      <c r="I79" s="11" t="b">
        <f t="shared" si="2"/>
        <v>0</v>
      </c>
      <c r="K79" s="11" t="b">
        <f t="shared" si="3"/>
        <v>0</v>
      </c>
    </row>
    <row r="80" ht="22.5" customHeight="1">
      <c r="A80" s="12">
        <f t="shared" si="4"/>
        <v>578</v>
      </c>
      <c r="B80" s="6" t="s">
        <v>1964</v>
      </c>
      <c r="C80" s="7" t="str">
        <f t="shared" si="1"/>
        <v>🔊</v>
      </c>
      <c r="D80" s="8" t="s">
        <v>1965</v>
      </c>
      <c r="E80" s="6" t="s">
        <v>13</v>
      </c>
      <c r="F80" s="12" t="str">
        <f>IFERROR(__xludf.DUMMYFUNCTION("GOOGLETRANSLATE(B80,""zh_cn"",""vi"")"),"lau dọn")</f>
        <v>lau dọn</v>
      </c>
      <c r="G80" s="20" t="s">
        <v>1966</v>
      </c>
      <c r="I80" s="11" t="b">
        <f t="shared" si="2"/>
        <v>0</v>
      </c>
      <c r="K80" s="11" t="b">
        <f t="shared" si="3"/>
        <v>0</v>
      </c>
    </row>
    <row r="81" ht="22.5" customHeight="1">
      <c r="A81" s="12">
        <f t="shared" si="4"/>
        <v>579</v>
      </c>
      <c r="B81" s="6" t="s">
        <v>1967</v>
      </c>
      <c r="C81" s="7" t="str">
        <f t="shared" si="1"/>
        <v>🔊</v>
      </c>
      <c r="D81" s="8" t="s">
        <v>1968</v>
      </c>
      <c r="E81" s="6" t="s">
        <v>232</v>
      </c>
      <c r="F81" s="5" t="s">
        <v>1969</v>
      </c>
      <c r="G81" s="20" t="s">
        <v>1970</v>
      </c>
      <c r="I81" s="11" t="b">
        <f t="shared" si="2"/>
        <v>0</v>
      </c>
      <c r="K81" s="11" t="b">
        <f t="shared" si="3"/>
        <v>0</v>
      </c>
    </row>
    <row r="82" ht="22.5" customHeight="1">
      <c r="A82" s="12">
        <f t="shared" si="4"/>
        <v>580</v>
      </c>
      <c r="B82" s="6" t="s">
        <v>1971</v>
      </c>
      <c r="C82" s="7" t="str">
        <f t="shared" si="1"/>
        <v>🔊</v>
      </c>
      <c r="D82" s="8" t="s">
        <v>1972</v>
      </c>
      <c r="E82" s="6" t="s">
        <v>27</v>
      </c>
      <c r="F82" s="12" t="str">
        <f>IFERROR(__xludf.DUMMYFUNCTION("GOOGLETRANSLATE(B82,""zh_cn"",""vi"")"),"kích cỡ")</f>
        <v>kích cỡ</v>
      </c>
      <c r="G82" s="20" t="s">
        <v>1973</v>
      </c>
      <c r="I82" s="11" t="b">
        <f t="shared" si="2"/>
        <v>0</v>
      </c>
      <c r="K82" s="11" t="b">
        <f t="shared" si="3"/>
        <v>0</v>
      </c>
    </row>
    <row r="83" ht="22.5" customHeight="1">
      <c r="A83" s="12">
        <f t="shared" si="4"/>
        <v>581</v>
      </c>
      <c r="B83" s="6" t="s">
        <v>1974</v>
      </c>
      <c r="C83" s="7" t="str">
        <f t="shared" si="1"/>
        <v>🔊</v>
      </c>
      <c r="D83" s="8" t="s">
        <v>1975</v>
      </c>
      <c r="E83" s="6" t="s">
        <v>27</v>
      </c>
      <c r="F83" s="12" t="str">
        <f>IFERROR(__xludf.DUMMYFUNCTION("GOOGLETRANSLATE(B83,""zh_cn"",""vi"")"),"Gấu trúc khổng lồ")</f>
        <v>Gấu trúc khổng lồ</v>
      </c>
      <c r="G83" s="20" t="s">
        <v>1976</v>
      </c>
      <c r="I83" s="11" t="b">
        <f t="shared" si="2"/>
        <v>0</v>
      </c>
      <c r="K83" s="11" t="b">
        <f t="shared" si="3"/>
        <v>0</v>
      </c>
    </row>
    <row r="84" ht="22.5" customHeight="1">
      <c r="A84" s="12">
        <f t="shared" si="4"/>
        <v>582</v>
      </c>
      <c r="B84" s="6" t="s">
        <v>1977</v>
      </c>
      <c r="C84" s="7" t="str">
        <f t="shared" si="1"/>
        <v>🔊</v>
      </c>
      <c r="D84" s="8" t="s">
        <v>1978</v>
      </c>
      <c r="E84" s="6" t="s">
        <v>27</v>
      </c>
      <c r="F84" s="12" t="str">
        <f>IFERROR(__xludf.DUMMYFUNCTION("GOOGLETRANSLATE(B84,""zh_cn"",""vi"")"),"áo khoác ngoài")</f>
        <v>áo khoác ngoài</v>
      </c>
      <c r="G84" s="20" t="s">
        <v>1979</v>
      </c>
      <c r="I84" s="11" t="b">
        <f t="shared" si="2"/>
        <v>0</v>
      </c>
      <c r="K84" s="11" t="b">
        <f t="shared" si="3"/>
        <v>0</v>
      </c>
    </row>
    <row r="85" ht="22.5" customHeight="1">
      <c r="A85" s="12">
        <f t="shared" si="4"/>
        <v>583</v>
      </c>
      <c r="B85" s="6" t="s">
        <v>1135</v>
      </c>
      <c r="C85" s="7" t="str">
        <f t="shared" si="1"/>
        <v>🔊</v>
      </c>
      <c r="D85" s="8" t="s">
        <v>1980</v>
      </c>
      <c r="E85" s="6" t="s">
        <v>13</v>
      </c>
      <c r="F85" s="5" t="s">
        <v>1981</v>
      </c>
      <c r="G85" s="20" t="s">
        <v>1982</v>
      </c>
      <c r="I85" s="11" t="b">
        <f t="shared" si="2"/>
        <v>0</v>
      </c>
      <c r="K85" s="11" t="b">
        <f t="shared" si="3"/>
        <v>0</v>
      </c>
    </row>
    <row r="86" ht="22.5" customHeight="1">
      <c r="A86" s="12">
        <f t="shared" si="4"/>
        <v>584</v>
      </c>
      <c r="B86" s="6" t="s">
        <v>1983</v>
      </c>
      <c r="C86" s="7" t="str">
        <f t="shared" si="1"/>
        <v>🔊</v>
      </c>
      <c r="D86" s="8" t="s">
        <v>1984</v>
      </c>
      <c r="E86" s="6" t="s">
        <v>13</v>
      </c>
      <c r="F86" s="5" t="s">
        <v>1985</v>
      </c>
      <c r="G86" s="20" t="s">
        <v>1986</v>
      </c>
      <c r="I86" s="11" t="b">
        <f t="shared" si="2"/>
        <v>0</v>
      </c>
      <c r="K86" s="11" t="b">
        <f t="shared" si="3"/>
        <v>0</v>
      </c>
    </row>
    <row r="87" ht="22.5" customHeight="1">
      <c r="A87" s="12">
        <f t="shared" si="4"/>
        <v>585</v>
      </c>
      <c r="B87" s="6" t="s">
        <v>1987</v>
      </c>
      <c r="C87" s="7" t="str">
        <f t="shared" si="1"/>
        <v>🔊</v>
      </c>
      <c r="D87" s="8" t="s">
        <v>1988</v>
      </c>
      <c r="E87" s="6" t="s">
        <v>232</v>
      </c>
      <c r="F87" s="5" t="s">
        <v>1989</v>
      </c>
      <c r="G87" s="20" t="s">
        <v>1990</v>
      </c>
      <c r="I87" s="11" t="b">
        <f t="shared" si="2"/>
        <v>0</v>
      </c>
      <c r="K87" s="11" t="b">
        <f t="shared" si="3"/>
        <v>0</v>
      </c>
    </row>
    <row r="88" ht="22.5" customHeight="1">
      <c r="A88" s="12">
        <f t="shared" si="4"/>
        <v>586</v>
      </c>
      <c r="B88" s="6" t="s">
        <v>1991</v>
      </c>
      <c r="C88" s="7" t="str">
        <f t="shared" si="1"/>
        <v>🔊</v>
      </c>
      <c r="D88" s="8" t="s">
        <v>1992</v>
      </c>
      <c r="E88" s="6" t="s">
        <v>18</v>
      </c>
      <c r="F88" s="5" t="s">
        <v>1993</v>
      </c>
      <c r="G88" s="20" t="s">
        <v>1994</v>
      </c>
      <c r="I88" s="11" t="b">
        <f t="shared" si="2"/>
        <v>0</v>
      </c>
      <c r="K88" s="11" t="b">
        <f t="shared" si="3"/>
        <v>0</v>
      </c>
    </row>
    <row r="89" ht="22.5" customHeight="1">
      <c r="A89" s="12">
        <f t="shared" si="4"/>
        <v>587</v>
      </c>
      <c r="B89" s="6" t="s">
        <v>1135</v>
      </c>
      <c r="C89" s="7" t="str">
        <f t="shared" si="1"/>
        <v>🔊</v>
      </c>
      <c r="D89" s="8" t="s">
        <v>1995</v>
      </c>
      <c r="E89" s="6" t="s">
        <v>13</v>
      </c>
      <c r="F89" s="5" t="s">
        <v>1996</v>
      </c>
      <c r="G89" s="20" t="s">
        <v>1997</v>
      </c>
      <c r="I89" s="11" t="b">
        <f t="shared" si="2"/>
        <v>0</v>
      </c>
      <c r="K89" s="11" t="b">
        <f t="shared" si="3"/>
        <v>0</v>
      </c>
    </row>
    <row r="90" ht="22.5" customHeight="1">
      <c r="A90" s="12">
        <f t="shared" si="4"/>
        <v>588</v>
      </c>
      <c r="B90" s="6" t="s">
        <v>1998</v>
      </c>
      <c r="C90" s="7" t="str">
        <f t="shared" si="1"/>
        <v>🔊</v>
      </c>
      <c r="D90" s="8" t="s">
        <v>1999</v>
      </c>
      <c r="E90" s="6" t="s">
        <v>27</v>
      </c>
      <c r="F90" s="12" t="str">
        <f>IFERROR(__xludf.DUMMYFUNCTION("GOOGLETRANSLATE(B90,""zh_cn"",""vi"")"),"đèn")</f>
        <v>đèn</v>
      </c>
      <c r="G90" s="20" t="s">
        <v>2000</v>
      </c>
      <c r="I90" s="11" t="b">
        <f t="shared" si="2"/>
        <v>0</v>
      </c>
      <c r="K90" s="11" t="b">
        <f t="shared" si="3"/>
        <v>0</v>
      </c>
    </row>
    <row r="91" ht="22.5" customHeight="1">
      <c r="A91" s="12">
        <f t="shared" si="4"/>
        <v>589</v>
      </c>
      <c r="B91" s="6" t="s">
        <v>1138</v>
      </c>
      <c r="C91" s="7" t="str">
        <f t="shared" si="1"/>
        <v>🔊</v>
      </c>
      <c r="D91" s="8" t="s">
        <v>121</v>
      </c>
      <c r="E91" s="6" t="s">
        <v>27</v>
      </c>
      <c r="F91" s="12" t="str">
        <f>IFERROR(__xludf.DUMMYFUNCTION("GOOGLETRANSLATE(B91,""zh_cn"",""vi"")"),"đất")</f>
        <v>đất</v>
      </c>
      <c r="G91" s="20" t="s">
        <v>2001</v>
      </c>
      <c r="I91" s="11" t="b">
        <f t="shared" si="2"/>
        <v>0</v>
      </c>
      <c r="K91" s="11" t="b">
        <f t="shared" si="3"/>
        <v>0</v>
      </c>
    </row>
    <row r="92" ht="22.5" customHeight="1">
      <c r="A92" s="12">
        <f t="shared" si="4"/>
        <v>590</v>
      </c>
      <c r="B92" s="6" t="s">
        <v>2002</v>
      </c>
      <c r="C92" s="7" t="str">
        <f t="shared" si="1"/>
        <v>🔊</v>
      </c>
      <c r="D92" s="8" t="s">
        <v>126</v>
      </c>
      <c r="E92" s="6" t="s">
        <v>1813</v>
      </c>
      <c r="F92" s="12" t="str">
        <f>IFERROR(__xludf.DUMMYFUNCTION("GOOGLETRANSLATE(B92,""zh_cn"",""vi"")"),"điện")</f>
        <v>điện</v>
      </c>
      <c r="G92" s="20" t="s">
        <v>2003</v>
      </c>
      <c r="I92" s="11" t="b">
        <f t="shared" si="2"/>
        <v>0</v>
      </c>
      <c r="K92" s="11" t="b">
        <f t="shared" si="3"/>
        <v>0</v>
      </c>
    </row>
    <row r="93" ht="22.5" customHeight="1">
      <c r="A93" s="12">
        <f t="shared" si="4"/>
        <v>591</v>
      </c>
      <c r="B93" s="6" t="s">
        <v>2004</v>
      </c>
      <c r="C93" s="7" t="str">
        <f t="shared" si="1"/>
        <v>🔊</v>
      </c>
      <c r="D93" s="8" t="s">
        <v>2005</v>
      </c>
      <c r="E93" s="6" t="s">
        <v>27</v>
      </c>
      <c r="F93" s="12" t="str">
        <f>IFERROR(__xludf.DUMMYFUNCTION("GOOGLETRANSLATE(B93,""zh_cn"",""vi"")"),"thang máy")</f>
        <v>thang máy</v>
      </c>
      <c r="G93" s="20" t="s">
        <v>2006</v>
      </c>
      <c r="I93" s="11" t="b">
        <f t="shared" si="2"/>
        <v>0</v>
      </c>
      <c r="K93" s="11" t="b">
        <f t="shared" si="3"/>
        <v>0</v>
      </c>
    </row>
    <row r="94" ht="22.5" customHeight="1">
      <c r="A94" s="12">
        <f t="shared" si="4"/>
        <v>592</v>
      </c>
      <c r="B94" s="6" t="s">
        <v>2007</v>
      </c>
      <c r="C94" s="7" t="str">
        <f t="shared" si="1"/>
        <v>🔊</v>
      </c>
      <c r="D94" s="8" t="s">
        <v>2008</v>
      </c>
      <c r="E94" s="6" t="s">
        <v>27</v>
      </c>
      <c r="F94" s="12" t="str">
        <f>IFERROR(__xludf.DUMMYFUNCTION("GOOGLETRANSLATE(B94,""zh_cn"",""vi"")"),"Sách điện tử")</f>
        <v>Sách điện tử</v>
      </c>
      <c r="G94" s="20" t="s">
        <v>2009</v>
      </c>
      <c r="I94" s="11" t="b">
        <f t="shared" si="2"/>
        <v>0</v>
      </c>
      <c r="K94" s="11" t="b">
        <f t="shared" si="3"/>
        <v>0</v>
      </c>
    </row>
    <row r="95" ht="22.5" customHeight="1">
      <c r="A95" s="12">
        <f t="shared" si="4"/>
        <v>593</v>
      </c>
      <c r="B95" s="6" t="s">
        <v>2010</v>
      </c>
      <c r="C95" s="7" t="str">
        <f t="shared" si="1"/>
        <v>🔊</v>
      </c>
      <c r="D95" s="8" t="s">
        <v>2011</v>
      </c>
      <c r="E95" s="6" t="s">
        <v>27</v>
      </c>
      <c r="F95" s="12" t="str">
        <f>IFERROR(__xludf.DUMMYFUNCTION("GOOGLETRANSLATE(B95,""zh_cn"",""vi"")"),"Địa điểm")</f>
        <v>Địa điểm</v>
      </c>
      <c r="G95" s="20" t="s">
        <v>2012</v>
      </c>
      <c r="I95" s="11" t="b">
        <f t="shared" si="2"/>
        <v>0</v>
      </c>
      <c r="K95" s="11" t="b">
        <f t="shared" si="3"/>
        <v>0</v>
      </c>
    </row>
    <row r="96" ht="22.5" customHeight="1">
      <c r="A96" s="12">
        <f t="shared" si="4"/>
        <v>594</v>
      </c>
      <c r="B96" s="6" t="s">
        <v>2013</v>
      </c>
      <c r="C96" s="7" t="str">
        <f t="shared" si="1"/>
        <v>🔊</v>
      </c>
      <c r="D96" s="8" t="s">
        <v>2014</v>
      </c>
      <c r="E96" s="6" t="s">
        <v>27</v>
      </c>
      <c r="F96" s="5" t="s">
        <v>2015</v>
      </c>
      <c r="G96" s="20" t="s">
        <v>2016</v>
      </c>
      <c r="I96" s="11" t="b">
        <f t="shared" si="2"/>
        <v>0</v>
      </c>
      <c r="K96" s="11" t="b">
        <f t="shared" si="3"/>
        <v>0</v>
      </c>
    </row>
    <row r="97" ht="22.5" customHeight="1">
      <c r="A97" s="12">
        <f t="shared" si="4"/>
        <v>595</v>
      </c>
      <c r="B97" s="6" t="s">
        <v>2017</v>
      </c>
      <c r="C97" s="7" t="str">
        <f t="shared" si="1"/>
        <v>🔊</v>
      </c>
      <c r="D97" s="8" t="s">
        <v>2018</v>
      </c>
      <c r="E97" s="6" t="s">
        <v>27</v>
      </c>
      <c r="F97" s="12" t="str">
        <f>IFERROR(__xludf.DUMMYFUNCTION("GOOGLETRANSLATE(B97,""zh_cn"",""vi"")"),"bản đồ")</f>
        <v>bản đồ</v>
      </c>
      <c r="G97" s="20" t="s">
        <v>2019</v>
      </c>
      <c r="I97" s="11" t="b">
        <f t="shared" si="2"/>
        <v>0</v>
      </c>
      <c r="K97" s="11" t="b">
        <f t="shared" si="3"/>
        <v>0</v>
      </c>
    </row>
    <row r="98" ht="22.5" customHeight="1">
      <c r="A98" s="12">
        <f t="shared" si="4"/>
        <v>596</v>
      </c>
      <c r="B98" s="6" t="s">
        <v>2020</v>
      </c>
      <c r="C98" s="7" t="str">
        <f t="shared" si="1"/>
        <v>🔊</v>
      </c>
      <c r="D98" s="8" t="s">
        <v>2021</v>
      </c>
      <c r="E98" s="6" t="s">
        <v>13</v>
      </c>
      <c r="F98" s="5" t="s">
        <v>2022</v>
      </c>
      <c r="G98" s="20" t="s">
        <v>2023</v>
      </c>
      <c r="I98" s="11" t="b">
        <f t="shared" si="2"/>
        <v>0</v>
      </c>
      <c r="K98" s="11" t="b">
        <f t="shared" si="3"/>
        <v>0</v>
      </c>
    </row>
    <row r="99" ht="22.5" customHeight="1">
      <c r="A99" s="12">
        <f t="shared" si="4"/>
        <v>597</v>
      </c>
      <c r="B99" s="6" t="s">
        <v>2024</v>
      </c>
      <c r="C99" s="7" t="str">
        <f t="shared" si="1"/>
        <v>🔊</v>
      </c>
      <c r="D99" s="8" t="s">
        <v>2025</v>
      </c>
      <c r="E99" s="6" t="s">
        <v>27</v>
      </c>
      <c r="F99" s="5" t="s">
        <v>2026</v>
      </c>
      <c r="G99" s="20" t="s">
        <v>2027</v>
      </c>
      <c r="I99" s="11" t="b">
        <f t="shared" si="2"/>
        <v>0</v>
      </c>
      <c r="K99" s="11" t="b">
        <f t="shared" si="3"/>
        <v>0</v>
      </c>
    </row>
    <row r="100" ht="22.5" customHeight="1">
      <c r="A100" s="12">
        <f t="shared" si="4"/>
        <v>598</v>
      </c>
      <c r="B100" s="6" t="s">
        <v>2028</v>
      </c>
      <c r="C100" s="7" t="str">
        <f t="shared" si="1"/>
        <v>🔊</v>
      </c>
      <c r="D100" s="8" t="s">
        <v>2029</v>
      </c>
      <c r="E100" s="6" t="s">
        <v>27</v>
      </c>
      <c r="F100" s="12" t="str">
        <f>IFERROR(__xludf.DUMMYFUNCTION("GOOGLETRANSLATE(B100,""zh_cn"",""vi"")"),"đông bắc")</f>
        <v>đông bắc</v>
      </c>
      <c r="G100" s="20" t="s">
        <v>2030</v>
      </c>
      <c r="I100" s="11" t="b">
        <f t="shared" si="2"/>
        <v>0</v>
      </c>
      <c r="K100" s="11" t="b">
        <f t="shared" si="3"/>
        <v>0</v>
      </c>
    </row>
    <row r="101" ht="22.5" customHeight="1">
      <c r="A101" s="12">
        <f t="shared" si="4"/>
        <v>599</v>
      </c>
      <c r="B101" s="6" t="s">
        <v>2031</v>
      </c>
      <c r="C101" s="7" t="str">
        <f t="shared" si="1"/>
        <v>🔊</v>
      </c>
      <c r="D101" s="8" t="s">
        <v>2032</v>
      </c>
      <c r="E101" s="6" t="s">
        <v>13</v>
      </c>
      <c r="F101" s="5" t="s">
        <v>2033</v>
      </c>
      <c r="G101" s="20" t="s">
        <v>2034</v>
      </c>
      <c r="I101" s="11" t="b">
        <f t="shared" si="2"/>
        <v>0</v>
      </c>
      <c r="K101" s="11" t="b">
        <f t="shared" si="3"/>
        <v>0</v>
      </c>
    </row>
    <row r="102" ht="22.5" customHeight="1">
      <c r="A102" s="12">
        <f t="shared" si="4"/>
        <v>600</v>
      </c>
      <c r="B102" s="6" t="s">
        <v>2035</v>
      </c>
      <c r="C102" s="7" t="str">
        <f t="shared" si="1"/>
        <v>🔊</v>
      </c>
      <c r="D102" s="8" t="s">
        <v>2036</v>
      </c>
      <c r="E102" s="6" t="s">
        <v>27</v>
      </c>
      <c r="F102" s="5" t="s">
        <v>2037</v>
      </c>
      <c r="G102" s="20" t="s">
        <v>2038</v>
      </c>
      <c r="I102" s="11" t="b">
        <f t="shared" si="2"/>
        <v>0</v>
      </c>
      <c r="K102" s="11" t="b">
        <f t="shared" si="3"/>
        <v>0</v>
      </c>
    </row>
    <row r="103" ht="22.5" customHeight="1">
      <c r="A103" s="12">
        <f t="shared" si="4"/>
        <v>601</v>
      </c>
      <c r="B103" s="6" t="s">
        <v>2039</v>
      </c>
      <c r="C103" s="7" t="str">
        <f t="shared" si="1"/>
        <v>🔊</v>
      </c>
      <c r="D103" s="8" t="s">
        <v>2040</v>
      </c>
      <c r="E103" s="6" t="s">
        <v>27</v>
      </c>
      <c r="F103" s="12" t="str">
        <f>IFERROR(__xludf.DUMMYFUNCTION("GOOGLETRANSLATE(B103,""zh_cn"",""vi"")"),"phía đông nam")</f>
        <v>phía đông nam</v>
      </c>
      <c r="G103" s="20" t="s">
        <v>2041</v>
      </c>
      <c r="I103" s="11" t="b">
        <f t="shared" si="2"/>
        <v>0</v>
      </c>
      <c r="K103" s="11" t="b">
        <f t="shared" si="3"/>
        <v>0</v>
      </c>
    </row>
    <row r="104" ht="22.5" customHeight="1">
      <c r="A104" s="12">
        <f t="shared" si="4"/>
        <v>602</v>
      </c>
      <c r="B104" s="6" t="s">
        <v>2042</v>
      </c>
      <c r="C104" s="7" t="str">
        <f t="shared" si="1"/>
        <v>🔊</v>
      </c>
      <c r="D104" s="8" t="s">
        <v>2043</v>
      </c>
      <c r="E104" s="6" t="s">
        <v>27</v>
      </c>
      <c r="F104" s="12" t="str">
        <f>IFERROR(__xludf.DUMMYFUNCTION("GOOGLETRANSLATE(B104,""zh_cn"",""vi"")"),"mùa đông")</f>
        <v>mùa đông</v>
      </c>
      <c r="G104" s="20" t="s">
        <v>2044</v>
      </c>
      <c r="I104" s="11" t="b">
        <f t="shared" si="2"/>
        <v>0</v>
      </c>
      <c r="K104" s="11" t="b">
        <f t="shared" si="3"/>
        <v>0</v>
      </c>
    </row>
    <row r="105" ht="22.5" customHeight="1">
      <c r="A105" s="12">
        <f t="shared" si="4"/>
        <v>603</v>
      </c>
      <c r="B105" s="6" t="s">
        <v>2045</v>
      </c>
      <c r="C105" s="7" t="str">
        <f t="shared" si="1"/>
        <v>🔊</v>
      </c>
      <c r="D105" s="8" t="s">
        <v>2046</v>
      </c>
      <c r="E105" s="6" t="s">
        <v>27</v>
      </c>
      <c r="F105" s="12" t="str">
        <f>IFERROR(__xludf.DUMMYFUNCTION("GOOGLETRANSLATE(B105,""zh_cn"",""vi"")"),"động vật")</f>
        <v>động vật</v>
      </c>
      <c r="G105" s="20" t="s">
        <v>2047</v>
      </c>
      <c r="I105" s="11" t="b">
        <f t="shared" si="2"/>
        <v>0</v>
      </c>
      <c r="K105" s="11" t="b">
        <f t="shared" si="3"/>
        <v>0</v>
      </c>
    </row>
    <row r="106" ht="22.5" customHeight="1">
      <c r="A106" s="12">
        <f t="shared" si="4"/>
        <v>604</v>
      </c>
      <c r="B106" s="6" t="s">
        <v>2048</v>
      </c>
      <c r="C106" s="7" t="str">
        <f t="shared" si="1"/>
        <v>🔊</v>
      </c>
      <c r="D106" s="8" t="s">
        <v>2049</v>
      </c>
      <c r="E106" s="6" t="s">
        <v>27</v>
      </c>
      <c r="F106" s="12" t="str">
        <f>IFERROR(__xludf.DUMMYFUNCTION("GOOGLETRANSLATE(B106,""zh_cn"",""vi"")"),"vườn thú")</f>
        <v>vườn thú</v>
      </c>
      <c r="G106" s="20" t="s">
        <v>2050</v>
      </c>
      <c r="I106" s="11" t="b">
        <f t="shared" si="2"/>
        <v>0</v>
      </c>
      <c r="K106" s="11" t="b">
        <f t="shared" si="3"/>
        <v>0</v>
      </c>
    </row>
    <row r="107" ht="22.5" customHeight="1">
      <c r="A107" s="12">
        <f t="shared" si="4"/>
        <v>605</v>
      </c>
      <c r="B107" s="6" t="s">
        <v>2051</v>
      </c>
      <c r="C107" s="7" t="str">
        <f t="shared" si="1"/>
        <v>🔊</v>
      </c>
      <c r="D107" s="8" t="s">
        <v>2052</v>
      </c>
      <c r="E107" s="6" t="s">
        <v>47</v>
      </c>
      <c r="F107" s="5" t="s">
        <v>2053</v>
      </c>
      <c r="G107" s="20" t="s">
        <v>2054</v>
      </c>
      <c r="I107" s="11" t="b">
        <f t="shared" si="2"/>
        <v>0</v>
      </c>
      <c r="K107" s="11" t="b">
        <f t="shared" si="3"/>
        <v>0</v>
      </c>
    </row>
    <row r="108" ht="22.5" customHeight="1">
      <c r="A108" s="12">
        <f t="shared" si="4"/>
        <v>606</v>
      </c>
      <c r="B108" s="6" t="s">
        <v>2055</v>
      </c>
      <c r="C108" s="7" t="str">
        <f t="shared" si="1"/>
        <v>🔊</v>
      </c>
      <c r="D108" s="8" t="s">
        <v>2056</v>
      </c>
      <c r="E108" s="6" t="s">
        <v>99</v>
      </c>
      <c r="F108" s="12" t="str">
        <f>IFERROR(__xludf.DUMMYFUNCTION("GOOGLETRANSLATE(B108,""zh_cn"",""vi"")"),"ngắn")</f>
        <v>ngắn</v>
      </c>
      <c r="G108" s="20" t="s">
        <v>2057</v>
      </c>
      <c r="I108" s="11" t="b">
        <f t="shared" si="2"/>
        <v>0</v>
      </c>
      <c r="K108" s="11" t="b">
        <f t="shared" si="3"/>
        <v>0</v>
      </c>
    </row>
    <row r="109" ht="22.5" customHeight="1">
      <c r="A109" s="12">
        <f t="shared" si="4"/>
        <v>607</v>
      </c>
      <c r="B109" s="6" t="s">
        <v>2058</v>
      </c>
      <c r="C109" s="7" t="str">
        <f t="shared" si="1"/>
        <v>🔊</v>
      </c>
      <c r="D109" s="8" t="s">
        <v>2059</v>
      </c>
      <c r="E109" s="6" t="s">
        <v>27</v>
      </c>
      <c r="F109" s="12" t="str">
        <f>IFERROR(__xludf.DUMMYFUNCTION("GOOGLETRANSLATE(B109,""zh_cn"",""vi"")"),"quần short")</f>
        <v>quần short</v>
      </c>
      <c r="G109" s="20" t="s">
        <v>2060</v>
      </c>
      <c r="I109" s="11" t="b">
        <f t="shared" si="2"/>
        <v>0</v>
      </c>
      <c r="K109" s="11" t="b">
        <f t="shared" si="3"/>
        <v>0</v>
      </c>
    </row>
    <row r="110" ht="22.5" customHeight="1">
      <c r="A110" s="12">
        <f t="shared" si="4"/>
        <v>608</v>
      </c>
      <c r="B110" s="6" t="s">
        <v>2061</v>
      </c>
      <c r="C110" s="7" t="str">
        <f t="shared" si="1"/>
        <v>🔊</v>
      </c>
      <c r="D110" s="8" t="s">
        <v>2062</v>
      </c>
      <c r="E110" s="6" t="s">
        <v>13</v>
      </c>
      <c r="F110" s="5" t="s">
        <v>2063</v>
      </c>
      <c r="G110" s="20" t="s">
        <v>2064</v>
      </c>
      <c r="I110" s="11" t="b">
        <f t="shared" si="2"/>
        <v>0</v>
      </c>
      <c r="K110" s="11" t="b">
        <f t="shared" si="3"/>
        <v>0</v>
      </c>
    </row>
    <row r="111" ht="22.5" customHeight="1">
      <c r="A111" s="12">
        <f t="shared" si="4"/>
        <v>609</v>
      </c>
      <c r="B111" s="6" t="s">
        <v>2065</v>
      </c>
      <c r="C111" s="7" t="str">
        <f t="shared" si="1"/>
        <v>🔊</v>
      </c>
      <c r="D111" s="8" t="s">
        <v>2066</v>
      </c>
      <c r="E111" s="6" t="s">
        <v>13</v>
      </c>
      <c r="F111" s="12" t="str">
        <f>IFERROR(__xludf.DUMMYFUNCTION("GOOGLETRANSLATE(B111,""zh_cn"",""vi"")"),"đối thoại")</f>
        <v>đối thoại</v>
      </c>
      <c r="G111" s="20" t="s">
        <v>2067</v>
      </c>
      <c r="I111" s="11" t="b">
        <f t="shared" si="2"/>
        <v>0</v>
      </c>
      <c r="K111" s="11" t="b">
        <f t="shared" si="3"/>
        <v>0</v>
      </c>
    </row>
    <row r="112" ht="22.5" customHeight="1">
      <c r="A112" s="12">
        <f t="shared" si="4"/>
        <v>610</v>
      </c>
      <c r="B112" s="6" t="s">
        <v>2068</v>
      </c>
      <c r="C112" s="7" t="str">
        <f t="shared" si="1"/>
        <v>🔊</v>
      </c>
      <c r="D112" s="8" t="s">
        <v>2069</v>
      </c>
      <c r="E112" s="6" t="s">
        <v>99</v>
      </c>
      <c r="F112" s="12" t="str">
        <f>IFERROR(__xludf.DUMMYFUNCTION("GOOGLETRANSLATE(B112,""zh_cn"",""vi"")"),"Đói bụng")</f>
        <v>Đói bụng</v>
      </c>
      <c r="G112" s="20" t="s">
        <v>2070</v>
      </c>
      <c r="I112" s="11" t="b">
        <f t="shared" si="2"/>
        <v>0</v>
      </c>
      <c r="K112" s="11" t="b">
        <f t="shared" si="3"/>
        <v>0</v>
      </c>
    </row>
    <row r="113" ht="22.5" customHeight="1">
      <c r="A113" s="12">
        <f t="shared" si="4"/>
        <v>611</v>
      </c>
      <c r="B113" s="6" t="s">
        <v>2071</v>
      </c>
      <c r="C113" s="7" t="str">
        <f t="shared" si="1"/>
        <v>🔊</v>
      </c>
      <c r="D113" s="8" t="s">
        <v>2072</v>
      </c>
      <c r="E113" s="6" t="s">
        <v>27</v>
      </c>
      <c r="F113" s="12" t="str">
        <f>IFERROR(__xludf.DUMMYFUNCTION("GOOGLETRANSLATE(B113,""zh_cn"",""vi"")"),"tai")</f>
        <v>tai</v>
      </c>
      <c r="G113" s="23" t="s">
        <v>2073</v>
      </c>
      <c r="I113" s="11" t="b">
        <f t="shared" si="2"/>
        <v>0</v>
      </c>
      <c r="K113" s="11" t="b">
        <f t="shared" si="3"/>
        <v>0</v>
      </c>
    </row>
    <row r="114" ht="22.5" customHeight="1">
      <c r="A114" s="12">
        <f t="shared" si="4"/>
        <v>612</v>
      </c>
      <c r="B114" s="6" t="s">
        <v>2074</v>
      </c>
      <c r="C114" s="7" t="str">
        <f t="shared" si="1"/>
        <v>🔊</v>
      </c>
      <c r="D114" s="8" t="s">
        <v>2075</v>
      </c>
      <c r="E114" s="6" t="s">
        <v>27</v>
      </c>
      <c r="F114" s="12" t="str">
        <f>IFERROR(__xludf.DUMMYFUNCTION("GOOGLETRANSLATE(B114,""zh_cn"",""vi"")"),"tai nghe")</f>
        <v>tai nghe</v>
      </c>
      <c r="G114" s="20" t="s">
        <v>2076</v>
      </c>
      <c r="I114" s="11" t="b">
        <f t="shared" si="2"/>
        <v>0</v>
      </c>
      <c r="K114" s="11" t="b">
        <f t="shared" si="3"/>
        <v>0</v>
      </c>
    </row>
    <row r="115" ht="22.5" customHeight="1">
      <c r="A115" s="12">
        <f t="shared" si="4"/>
        <v>613</v>
      </c>
      <c r="B115" s="6" t="s">
        <v>2077</v>
      </c>
      <c r="C115" s="7" t="str">
        <f t="shared" si="1"/>
        <v>🔊</v>
      </c>
      <c r="D115" s="8" t="s">
        <v>2078</v>
      </c>
      <c r="E115" s="6" t="s">
        <v>1132</v>
      </c>
      <c r="F115" s="5" t="s">
        <v>2079</v>
      </c>
      <c r="G115" s="20" t="s">
        <v>2080</v>
      </c>
      <c r="I115" s="11" t="b">
        <f t="shared" si="2"/>
        <v>0</v>
      </c>
      <c r="K115" s="11" t="b">
        <f t="shared" si="3"/>
        <v>0</v>
      </c>
    </row>
    <row r="116" ht="22.5" customHeight="1">
      <c r="A116" s="12">
        <f t="shared" si="4"/>
        <v>614</v>
      </c>
      <c r="B116" s="6" t="s">
        <v>2081</v>
      </c>
      <c r="C116" s="7" t="str">
        <f t="shared" si="1"/>
        <v>🔊</v>
      </c>
      <c r="D116" s="8" t="s">
        <v>2082</v>
      </c>
      <c r="E116" s="6" t="s">
        <v>13</v>
      </c>
      <c r="F116" s="5" t="s">
        <v>2083</v>
      </c>
      <c r="G116" s="20" t="s">
        <v>2084</v>
      </c>
      <c r="I116" s="11" t="b">
        <f t="shared" si="2"/>
        <v>0</v>
      </c>
      <c r="K116" s="11" t="b">
        <f t="shared" si="3"/>
        <v>0</v>
      </c>
    </row>
    <row r="117" ht="22.5" customHeight="1">
      <c r="A117" s="12">
        <f t="shared" si="4"/>
        <v>615</v>
      </c>
      <c r="B117" s="6" t="s">
        <v>2085</v>
      </c>
      <c r="C117" s="7" t="str">
        <f t="shared" si="1"/>
        <v>🔊</v>
      </c>
      <c r="D117" s="8" t="s">
        <v>2086</v>
      </c>
      <c r="E117" s="6" t="s">
        <v>13</v>
      </c>
      <c r="F117" s="5" t="s">
        <v>2087</v>
      </c>
      <c r="G117" s="20" t="s">
        <v>2088</v>
      </c>
      <c r="I117" s="11" t="b">
        <f t="shared" si="2"/>
        <v>0</v>
      </c>
      <c r="K117" s="11" t="b">
        <f t="shared" si="3"/>
        <v>0</v>
      </c>
    </row>
    <row r="118" ht="22.5" customHeight="1">
      <c r="A118" s="12">
        <f t="shared" si="4"/>
        <v>616</v>
      </c>
      <c r="B118" s="6" t="s">
        <v>2089</v>
      </c>
      <c r="C118" s="7" t="str">
        <f t="shared" si="1"/>
        <v>🔊</v>
      </c>
      <c r="D118" s="8" t="s">
        <v>2090</v>
      </c>
      <c r="E118" s="6" t="s">
        <v>99</v>
      </c>
      <c r="F118" s="12" t="str">
        <f>IFERROR(__xludf.DUMMYFUNCTION("GOOGLETRANSLATE(B118,""zh_cn"",""vi"")"),"thuận lợi")</f>
        <v>thuận lợi</v>
      </c>
      <c r="G118" s="20" t="s">
        <v>2091</v>
      </c>
      <c r="I118" s="11" t="b">
        <f t="shared" si="2"/>
        <v>0</v>
      </c>
      <c r="K118" s="11" t="b">
        <f t="shared" si="3"/>
        <v>0</v>
      </c>
    </row>
    <row r="119" ht="22.5" customHeight="1">
      <c r="A119" s="12">
        <f t="shared" si="4"/>
        <v>617</v>
      </c>
      <c r="B119" s="6" t="s">
        <v>2092</v>
      </c>
      <c r="C119" s="7" t="str">
        <f t="shared" si="1"/>
        <v>🔊</v>
      </c>
      <c r="D119" s="8" t="s">
        <v>2093</v>
      </c>
      <c r="E119" s="6" t="s">
        <v>27</v>
      </c>
      <c r="F119" s="12" t="str">
        <f>IFERROR(__xludf.DUMMYFUNCTION("GOOGLETRANSLATE(B119,""zh_cn"",""vi"")"),"mì ăn liền")</f>
        <v>mì ăn liền</v>
      </c>
      <c r="G119" s="20" t="s">
        <v>2094</v>
      </c>
      <c r="I119" s="11" t="b">
        <f t="shared" si="2"/>
        <v>0</v>
      </c>
      <c r="K119" s="11" t="b">
        <f t="shared" si="3"/>
        <v>0</v>
      </c>
    </row>
    <row r="120" ht="22.5" customHeight="1">
      <c r="A120" s="12">
        <f t="shared" si="4"/>
        <v>618</v>
      </c>
      <c r="B120" s="6" t="s">
        <v>2095</v>
      </c>
      <c r="C120" s="7" t="str">
        <f t="shared" si="1"/>
        <v>🔊</v>
      </c>
      <c r="D120" s="8" t="s">
        <v>2096</v>
      </c>
      <c r="E120" s="6" t="s">
        <v>27</v>
      </c>
      <c r="F120" s="12" t="str">
        <f>IFERROR(__xludf.DUMMYFUNCTION("GOOGLETRANSLATE(B120,""zh_cn"",""vi"")"),"phương pháp")</f>
        <v>phương pháp</v>
      </c>
      <c r="G120" s="20" t="s">
        <v>2097</v>
      </c>
      <c r="I120" s="11" t="b">
        <f t="shared" si="2"/>
        <v>0</v>
      </c>
      <c r="K120" s="11" t="b">
        <f t="shared" si="3"/>
        <v>0</v>
      </c>
    </row>
    <row r="121" ht="22.5" customHeight="1">
      <c r="A121" s="12">
        <f t="shared" si="4"/>
        <v>619</v>
      </c>
      <c r="B121" s="6" t="s">
        <v>2098</v>
      </c>
      <c r="C121" s="7" t="str">
        <f t="shared" si="1"/>
        <v>🔊</v>
      </c>
      <c r="D121" s="8" t="s">
        <v>2099</v>
      </c>
      <c r="E121" s="6" t="s">
        <v>13</v>
      </c>
      <c r="F121" s="12" t="str">
        <f>IFERROR(__xludf.DUMMYFUNCTION("GOOGLETRANSLATE(B121,""zh_cn"",""vi"")"),"Chúc bạn có một kỳ nghỉ vui vẻ!")</f>
        <v>Chúc bạn có một kỳ nghỉ vui vẻ!</v>
      </c>
      <c r="G121" s="20" t="s">
        <v>2100</v>
      </c>
      <c r="I121" s="11" t="b">
        <f t="shared" si="2"/>
        <v>0</v>
      </c>
      <c r="K121" s="11" t="b">
        <f t="shared" si="3"/>
        <v>0</v>
      </c>
    </row>
    <row r="122" ht="22.5" customHeight="1">
      <c r="A122" s="12">
        <f t="shared" si="4"/>
        <v>620</v>
      </c>
      <c r="B122" s="6" t="s">
        <v>2101</v>
      </c>
      <c r="C122" s="7" t="str">
        <f t="shared" si="1"/>
        <v>🔊</v>
      </c>
      <c r="D122" s="8" t="s">
        <v>2102</v>
      </c>
      <c r="E122" s="6" t="s">
        <v>27</v>
      </c>
      <c r="F122" s="12" t="str">
        <f>IFERROR(__xludf.DUMMYFUNCTION("GOOGLETRANSLATE(B122,""zh_cn"",""vi"")"),"phương hướng")</f>
        <v>phương hướng</v>
      </c>
      <c r="G122" s="20" t="s">
        <v>2103</v>
      </c>
      <c r="I122" s="11" t="b">
        <f t="shared" si="2"/>
        <v>0</v>
      </c>
      <c r="K122" s="11" t="b">
        <f t="shared" si="3"/>
        <v>0</v>
      </c>
    </row>
    <row r="123" ht="22.5" customHeight="1">
      <c r="A123" s="12">
        <f t="shared" si="4"/>
        <v>621</v>
      </c>
      <c r="B123" s="6" t="s">
        <v>2104</v>
      </c>
      <c r="C123" s="7" t="str">
        <f t="shared" si="1"/>
        <v>🔊</v>
      </c>
      <c r="D123" s="8" t="s">
        <v>2105</v>
      </c>
      <c r="E123" s="6" t="s">
        <v>13</v>
      </c>
      <c r="F123" s="12" t="str">
        <f>IFERROR(__xludf.DUMMYFUNCTION("GOOGLETRANSLATE(B123,""zh_cn"",""vi"")"),"yên tâm")</f>
        <v>yên tâm</v>
      </c>
      <c r="G123" s="20" t="s">
        <v>2106</v>
      </c>
      <c r="I123" s="11" t="b">
        <f t="shared" si="2"/>
        <v>0</v>
      </c>
      <c r="K123" s="11" t="b">
        <f t="shared" si="3"/>
        <v>0</v>
      </c>
    </row>
    <row r="124" ht="22.5" customHeight="1">
      <c r="A124" s="12">
        <f t="shared" si="4"/>
        <v>622</v>
      </c>
      <c r="B124" s="6" t="s">
        <v>2107</v>
      </c>
      <c r="C124" s="7" t="str">
        <f t="shared" si="1"/>
        <v>🔊</v>
      </c>
      <c r="D124" s="8" t="s">
        <v>2108</v>
      </c>
      <c r="E124" s="6" t="s">
        <v>13</v>
      </c>
      <c r="F124" s="5" t="s">
        <v>781</v>
      </c>
      <c r="G124" s="20" t="s">
        <v>2109</v>
      </c>
      <c r="I124" s="11" t="b">
        <f t="shared" si="2"/>
        <v>0</v>
      </c>
      <c r="K124" s="11" t="b">
        <f t="shared" si="3"/>
        <v>0</v>
      </c>
    </row>
    <row r="125" ht="22.5" customHeight="1">
      <c r="A125" s="12">
        <f t="shared" si="4"/>
        <v>623</v>
      </c>
      <c r="B125" s="6" t="s">
        <v>2110</v>
      </c>
      <c r="C125" s="7" t="str">
        <f t="shared" si="1"/>
        <v>🔊</v>
      </c>
      <c r="D125" s="8" t="s">
        <v>2111</v>
      </c>
      <c r="E125" s="6" t="s">
        <v>27</v>
      </c>
      <c r="F125" s="12" t="str">
        <f>IFERROR(__xludf.DUMMYFUNCTION("GOOGLETRANSLATE(B125,""zh_cn"",""vi"")"),"căn nhà")</f>
        <v>căn nhà</v>
      </c>
      <c r="G125" s="20" t="s">
        <v>2112</v>
      </c>
      <c r="I125" s="11" t="b">
        <f t="shared" si="2"/>
        <v>0</v>
      </c>
      <c r="K125" s="11" t="b">
        <f t="shared" si="3"/>
        <v>0</v>
      </c>
    </row>
    <row r="126" ht="22.5" customHeight="1">
      <c r="A126" s="12">
        <f t="shared" si="4"/>
        <v>624</v>
      </c>
      <c r="B126" s="6" t="s">
        <v>2113</v>
      </c>
      <c r="C126" s="7" t="str">
        <f t="shared" si="1"/>
        <v>🔊</v>
      </c>
      <c r="D126" s="8" t="s">
        <v>2114</v>
      </c>
      <c r="E126" s="6" t="s">
        <v>13</v>
      </c>
      <c r="F126" s="12" t="str">
        <f>IFERROR(__xludf.DUMMYFUNCTION("GOOGLETRANSLATE(B126,""zh_cn"",""vi"")"),"sốt")</f>
        <v>sốt</v>
      </c>
      <c r="G126" s="20" t="s">
        <v>2115</v>
      </c>
      <c r="I126" s="11" t="b">
        <f t="shared" si="2"/>
        <v>0</v>
      </c>
      <c r="K126" s="11" t="b">
        <f t="shared" si="3"/>
        <v>0</v>
      </c>
    </row>
    <row r="127" ht="22.5" customHeight="1">
      <c r="A127" s="12">
        <f t="shared" si="4"/>
        <v>625</v>
      </c>
      <c r="B127" s="6" t="s">
        <v>2116</v>
      </c>
      <c r="C127" s="7" t="str">
        <f t="shared" si="1"/>
        <v>🔊</v>
      </c>
      <c r="D127" s="8" t="s">
        <v>2117</v>
      </c>
      <c r="E127" s="6" t="s">
        <v>13</v>
      </c>
      <c r="F127" s="12" t="str">
        <f>IFERROR(__xludf.DUMMYFUNCTION("GOOGLETRANSLATE(B127,""zh_cn"",""vi"")"),"xảy ra")</f>
        <v>xảy ra</v>
      </c>
      <c r="G127" s="20" t="s">
        <v>2118</v>
      </c>
      <c r="I127" s="11" t="b">
        <f t="shared" si="2"/>
        <v>0</v>
      </c>
      <c r="K127" s="11" t="b">
        <f t="shared" si="3"/>
        <v>0</v>
      </c>
    </row>
    <row r="128" ht="22.5" customHeight="1">
      <c r="A128" s="12">
        <f t="shared" si="4"/>
        <v>626</v>
      </c>
      <c r="B128" s="6" t="s">
        <v>2119</v>
      </c>
      <c r="C128" s="7" t="str">
        <f t="shared" si="1"/>
        <v>🔊</v>
      </c>
      <c r="D128" s="8" t="s">
        <v>2120</v>
      </c>
      <c r="E128" s="6" t="s">
        <v>13</v>
      </c>
      <c r="F128" s="12" t="str">
        <f>IFERROR(__xludf.DUMMYFUNCTION("GOOGLETRANSLATE(B128,""zh_cn"",""vi"")"),"Phát hiện")</f>
        <v>Phát hiện</v>
      </c>
      <c r="G128" s="20" t="s">
        <v>2121</v>
      </c>
      <c r="I128" s="11" t="b">
        <f t="shared" si="2"/>
        <v>0</v>
      </c>
      <c r="K128" s="11" t="b">
        <f t="shared" si="3"/>
        <v>0</v>
      </c>
    </row>
    <row r="129" ht="22.5" customHeight="1">
      <c r="A129" s="12">
        <f t="shared" si="4"/>
        <v>627</v>
      </c>
      <c r="B129" s="6" t="s">
        <v>2122</v>
      </c>
      <c r="C129" s="7" t="str">
        <f t="shared" si="1"/>
        <v>🔊</v>
      </c>
      <c r="D129" s="8" t="s">
        <v>2123</v>
      </c>
      <c r="E129" s="6" t="s">
        <v>13</v>
      </c>
      <c r="F129" s="12" t="str">
        <f>IFERROR(__xludf.DUMMYFUNCTION("GOOGLETRANSLATE(B129,""zh_cn"",""vi"")"),"phát triển")</f>
        <v>phát triển</v>
      </c>
      <c r="G129" s="20" t="s">
        <v>2124</v>
      </c>
      <c r="I129" s="11" t="b">
        <f t="shared" si="2"/>
        <v>0</v>
      </c>
      <c r="K129" s="11" t="b">
        <f t="shared" si="3"/>
        <v>0</v>
      </c>
    </row>
    <row r="130" ht="22.5" customHeight="1">
      <c r="A130" s="12">
        <f t="shared" si="4"/>
        <v>628</v>
      </c>
      <c r="B130" s="6" t="s">
        <v>2125</v>
      </c>
      <c r="C130" s="7" t="str">
        <f t="shared" si="1"/>
        <v>🔊</v>
      </c>
      <c r="D130" s="8" t="s">
        <v>2126</v>
      </c>
      <c r="E130" s="6" t="s">
        <v>27</v>
      </c>
      <c r="F130" s="12" t="str">
        <f>IFERROR(__xludf.DUMMYFUNCTION("GOOGLETRANSLATE(B130,""zh_cn"",""vi"")"),"gió")</f>
        <v>gió</v>
      </c>
      <c r="G130" s="20" t="s">
        <v>2127</v>
      </c>
      <c r="I130" s="11" t="b">
        <f t="shared" si="2"/>
        <v>0</v>
      </c>
      <c r="K130" s="11" t="b">
        <f t="shared" si="3"/>
        <v>0</v>
      </c>
    </row>
    <row r="131" ht="22.5" customHeight="1">
      <c r="A131" s="12">
        <f t="shared" si="4"/>
        <v>629</v>
      </c>
      <c r="B131" s="6" t="s">
        <v>2128</v>
      </c>
      <c r="C131" s="7" t="str">
        <f t="shared" si="1"/>
        <v>🔊</v>
      </c>
      <c r="D131" s="8" t="s">
        <v>2126</v>
      </c>
      <c r="E131" s="6" t="s">
        <v>2129</v>
      </c>
      <c r="F131" s="5" t="s">
        <v>2130</v>
      </c>
      <c r="G131" s="20" t="s">
        <v>2131</v>
      </c>
      <c r="I131" s="11" t="b">
        <f t="shared" si="2"/>
        <v>0</v>
      </c>
      <c r="K131" s="11" t="b">
        <f t="shared" si="3"/>
        <v>0</v>
      </c>
    </row>
    <row r="132" ht="22.5" customHeight="1">
      <c r="A132" s="12">
        <f t="shared" si="4"/>
        <v>630</v>
      </c>
      <c r="B132" s="6" t="s">
        <v>2132</v>
      </c>
      <c r="C132" s="7" t="str">
        <f t="shared" si="1"/>
        <v>🔊</v>
      </c>
      <c r="D132" s="8" t="s">
        <v>2133</v>
      </c>
      <c r="E132" s="6" t="s">
        <v>13</v>
      </c>
      <c r="F132" s="5" t="s">
        <v>2134</v>
      </c>
      <c r="G132" s="20" t="s">
        <v>2135</v>
      </c>
      <c r="I132" s="11" t="b">
        <f t="shared" si="2"/>
        <v>0</v>
      </c>
      <c r="K132" s="11" t="b">
        <f t="shared" si="3"/>
        <v>0</v>
      </c>
    </row>
    <row r="133" ht="22.5" customHeight="1">
      <c r="A133" s="12">
        <f t="shared" si="4"/>
        <v>631</v>
      </c>
      <c r="B133" s="6" t="s">
        <v>2136</v>
      </c>
      <c r="C133" s="7" t="str">
        <f t="shared" si="1"/>
        <v>🔊</v>
      </c>
      <c r="D133" s="8" t="s">
        <v>2137</v>
      </c>
      <c r="E133" s="6" t="s">
        <v>27</v>
      </c>
      <c r="F133" s="12" t="str">
        <f>IFERROR(__xludf.DUMMYFUNCTION("GOOGLETRANSLATE(B133,""zh_cn"",""vi"")"),"gần đó")</f>
        <v>gần đó</v>
      </c>
      <c r="G133" s="20" t="s">
        <v>2138</v>
      </c>
      <c r="I133" s="11" t="b">
        <f t="shared" si="2"/>
        <v>0</v>
      </c>
      <c r="K133" s="11" t="b">
        <f t="shared" si="3"/>
        <v>0</v>
      </c>
    </row>
    <row r="134" ht="22.5" customHeight="1">
      <c r="A134" s="12">
        <f t="shared" si="4"/>
        <v>632</v>
      </c>
      <c r="B134" s="6" t="s">
        <v>2139</v>
      </c>
      <c r="C134" s="7" t="str">
        <f t="shared" si="1"/>
        <v>🔊</v>
      </c>
      <c r="D134" s="8" t="s">
        <v>2140</v>
      </c>
      <c r="E134" s="6" t="s">
        <v>27</v>
      </c>
      <c r="F134" s="5" t="s">
        <v>2141</v>
      </c>
      <c r="G134" s="20" t="s">
        <v>2142</v>
      </c>
      <c r="I134" s="11" t="b">
        <f t="shared" si="2"/>
        <v>0</v>
      </c>
      <c r="K134" s="11" t="b">
        <f t="shared" si="3"/>
        <v>0</v>
      </c>
    </row>
    <row r="135" ht="22.5" customHeight="1">
      <c r="A135" s="12">
        <f t="shared" si="4"/>
        <v>633</v>
      </c>
      <c r="B135" s="6" t="s">
        <v>2143</v>
      </c>
      <c r="C135" s="7" t="str">
        <f t="shared" si="1"/>
        <v>🔊</v>
      </c>
      <c r="D135" s="8" t="s">
        <v>2144</v>
      </c>
      <c r="E135" s="6" t="s">
        <v>13</v>
      </c>
      <c r="F135" s="12" t="str">
        <f>IFERROR(__xludf.DUMMYFUNCTION("GOOGLETRANSLATE(B135,""zh_cn"",""vi"")"),"Phục vụ")</f>
        <v>Phục vụ</v>
      </c>
      <c r="G135" s="20" t="s">
        <v>2145</v>
      </c>
      <c r="I135" s="11" t="b">
        <f t="shared" si="2"/>
        <v>0</v>
      </c>
      <c r="K135" s="11" t="b">
        <f t="shared" si="3"/>
        <v>0</v>
      </c>
    </row>
    <row r="136" ht="22.5" customHeight="1">
      <c r="A136" s="12">
        <f t="shared" si="4"/>
        <v>634</v>
      </c>
      <c r="B136" s="6" t="s">
        <v>2146</v>
      </c>
      <c r="C136" s="7" t="str">
        <f t="shared" si="1"/>
        <v>🔊</v>
      </c>
      <c r="D136" s="8" t="s">
        <v>2147</v>
      </c>
      <c r="E136" s="6" t="s">
        <v>13</v>
      </c>
      <c r="F136" s="12" t="str">
        <f>IFERROR(__xludf.DUMMYFUNCTION("GOOGLETRANSLATE(B136,""zh_cn"",""vi"")"),"ôn tập")</f>
        <v>ôn tập</v>
      </c>
      <c r="G136" s="20" t="s">
        <v>2148</v>
      </c>
      <c r="I136" s="11" t="b">
        <f t="shared" si="2"/>
        <v>0</v>
      </c>
      <c r="K136" s="11" t="b">
        <f t="shared" si="3"/>
        <v>0</v>
      </c>
    </row>
    <row r="137" ht="22.5" customHeight="1">
      <c r="A137" s="12">
        <f t="shared" si="4"/>
        <v>635</v>
      </c>
      <c r="B137" s="6" t="s">
        <v>2149</v>
      </c>
      <c r="C137" s="7" t="str">
        <f t="shared" si="1"/>
        <v>🔊</v>
      </c>
      <c r="D137" s="8" t="s">
        <v>2150</v>
      </c>
      <c r="E137" s="6" t="s">
        <v>13</v>
      </c>
      <c r="F137" s="5" t="s">
        <v>2151</v>
      </c>
      <c r="G137" s="20" t="s">
        <v>2152</v>
      </c>
      <c r="I137" s="11" t="b">
        <f t="shared" si="2"/>
        <v>0</v>
      </c>
      <c r="K137" s="11" t="b">
        <f t="shared" si="3"/>
        <v>0</v>
      </c>
    </row>
    <row r="138" ht="22.5" customHeight="1">
      <c r="A138" s="12">
        <f t="shared" si="4"/>
        <v>636</v>
      </c>
      <c r="B138" s="6" t="s">
        <v>2153</v>
      </c>
      <c r="C138" s="7" t="str">
        <f t="shared" si="1"/>
        <v>🔊</v>
      </c>
      <c r="D138" s="8" t="s">
        <v>2154</v>
      </c>
      <c r="E138" s="6" t="s">
        <v>13</v>
      </c>
      <c r="F138" s="12" t="str">
        <f>IFERROR(__xludf.DUMMYFUNCTION("GOOGLETRANSLATE(B138,""zh_cn"",""vi"")"),"Khô")</f>
        <v>Khô</v>
      </c>
      <c r="G138" s="20" t="s">
        <v>2155</v>
      </c>
      <c r="I138" s="11" t="b">
        <f t="shared" si="2"/>
        <v>0</v>
      </c>
      <c r="K138" s="11" t="b">
        <f t="shared" si="3"/>
        <v>0</v>
      </c>
    </row>
    <row r="139" ht="22.5" customHeight="1">
      <c r="A139" s="12">
        <f t="shared" si="4"/>
        <v>637</v>
      </c>
      <c r="B139" s="6" t="s">
        <v>2156</v>
      </c>
      <c r="C139" s="7" t="str">
        <f t="shared" si="1"/>
        <v>🔊</v>
      </c>
      <c r="D139" s="8" t="s">
        <v>2157</v>
      </c>
      <c r="E139" s="14"/>
      <c r="F139" s="12" t="str">
        <f>IFERROR(__xludf.DUMMYFUNCTION("GOOGLETRANSLATE(B139,""zh_cn"",""vi"")"),"thú vị")</f>
        <v>thú vị</v>
      </c>
      <c r="G139" s="20" t="s">
        <v>2158</v>
      </c>
      <c r="I139" s="11" t="b">
        <f t="shared" si="2"/>
        <v>0</v>
      </c>
      <c r="K139" s="11" t="b">
        <f t="shared" si="3"/>
        <v>0</v>
      </c>
    </row>
    <row r="140" ht="22.5" customHeight="1">
      <c r="A140" s="12">
        <f t="shared" si="4"/>
        <v>638</v>
      </c>
      <c r="B140" s="6" t="s">
        <v>2159</v>
      </c>
      <c r="C140" s="7" t="str">
        <f t="shared" si="1"/>
        <v>🔊</v>
      </c>
      <c r="D140" s="8" t="s">
        <v>2160</v>
      </c>
      <c r="E140" s="6" t="s">
        <v>13</v>
      </c>
      <c r="F140" s="12" t="str">
        <f>IFERROR(__xludf.DUMMYFUNCTION("GOOGLETRANSLATE(B140,""zh_cn"",""vi"")"),"cảm thấy")</f>
        <v>cảm thấy</v>
      </c>
      <c r="G140" s="20" t="s">
        <v>2161</v>
      </c>
      <c r="I140" s="11" t="b">
        <f t="shared" si="2"/>
        <v>0</v>
      </c>
      <c r="K140" s="11" t="b">
        <f t="shared" si="3"/>
        <v>0</v>
      </c>
    </row>
    <row r="141" ht="22.5" customHeight="1">
      <c r="A141" s="12">
        <f t="shared" si="4"/>
        <v>639</v>
      </c>
      <c r="B141" s="6" t="s">
        <v>2162</v>
      </c>
      <c r="C141" s="7" t="str">
        <f t="shared" si="1"/>
        <v>🔊</v>
      </c>
      <c r="D141" s="8" t="s">
        <v>2163</v>
      </c>
      <c r="E141" s="6" t="s">
        <v>61</v>
      </c>
      <c r="F141" s="5" t="s">
        <v>2164</v>
      </c>
      <c r="G141" s="20" t="s">
        <v>2165</v>
      </c>
      <c r="I141" s="11" t="b">
        <f t="shared" si="2"/>
        <v>0</v>
      </c>
      <c r="K141" s="11" t="b">
        <f t="shared" si="3"/>
        <v>0</v>
      </c>
    </row>
    <row r="142" ht="22.5" customHeight="1">
      <c r="A142" s="12">
        <f t="shared" si="4"/>
        <v>640</v>
      </c>
      <c r="B142" s="6" t="s">
        <v>2166</v>
      </c>
      <c r="C142" s="7" t="str">
        <f t="shared" si="1"/>
        <v>🔊</v>
      </c>
      <c r="D142" s="8" t="s">
        <v>2167</v>
      </c>
      <c r="E142" s="6" t="s">
        <v>27</v>
      </c>
      <c r="F142" s="12" t="str">
        <f>IFERROR(__xludf.DUMMYFUNCTION("GOOGLETRANSLATE(B142,""zh_cn"",""vi"")"),"Vừa nãy")</f>
        <v>Vừa nãy</v>
      </c>
      <c r="G142" s="20" t="s">
        <v>2168</v>
      </c>
      <c r="I142" s="11" t="b">
        <f t="shared" si="2"/>
        <v>0</v>
      </c>
      <c r="K142" s="11" t="b">
        <f t="shared" si="3"/>
        <v>0</v>
      </c>
    </row>
    <row r="143" ht="22.5" customHeight="1">
      <c r="A143" s="12">
        <f t="shared" si="4"/>
        <v>641</v>
      </c>
      <c r="B143" s="6" t="s">
        <v>2169</v>
      </c>
      <c r="C143" s="7" t="str">
        <f t="shared" si="1"/>
        <v>🔊</v>
      </c>
      <c r="D143" s="8" t="s">
        <v>2170</v>
      </c>
      <c r="E143" s="6" t="s">
        <v>61</v>
      </c>
      <c r="F143" s="5" t="s">
        <v>2171</v>
      </c>
      <c r="G143" s="20" t="s">
        <v>2172</v>
      </c>
      <c r="I143" s="11" t="b">
        <f t="shared" si="2"/>
        <v>0</v>
      </c>
      <c r="K143" s="11" t="b">
        <f t="shared" si="3"/>
        <v>0</v>
      </c>
    </row>
    <row r="144" ht="22.5" customHeight="1">
      <c r="A144" s="12">
        <f t="shared" si="4"/>
        <v>642</v>
      </c>
      <c r="B144" s="6" t="s">
        <v>2173</v>
      </c>
      <c r="C144" s="7" t="str">
        <f t="shared" si="1"/>
        <v>🔊</v>
      </c>
      <c r="D144" s="8" t="s">
        <v>2174</v>
      </c>
      <c r="E144" s="6" t="s">
        <v>99</v>
      </c>
      <c r="F144" s="5" t="s">
        <v>2175</v>
      </c>
      <c r="G144" s="20" t="s">
        <v>2176</v>
      </c>
      <c r="I144" s="11" t="b">
        <f t="shared" si="2"/>
        <v>0</v>
      </c>
      <c r="K144" s="11" t="b">
        <f t="shared" si="3"/>
        <v>0</v>
      </c>
    </row>
    <row r="145" ht="22.5" customHeight="1">
      <c r="A145" s="12">
        <f t="shared" si="4"/>
        <v>643</v>
      </c>
      <c r="B145" s="6" t="s">
        <v>2177</v>
      </c>
      <c r="C145" s="7" t="str">
        <f t="shared" si="1"/>
        <v>🔊</v>
      </c>
      <c r="D145" s="8" t="s">
        <v>2178</v>
      </c>
      <c r="E145" s="6" t="s">
        <v>57</v>
      </c>
      <c r="F145" s="5" t="s">
        <v>2179</v>
      </c>
      <c r="G145" s="20" t="s">
        <v>2180</v>
      </c>
      <c r="I145" s="11" t="b">
        <f t="shared" si="2"/>
        <v>0</v>
      </c>
      <c r="K145" s="11" t="b">
        <f t="shared" si="3"/>
        <v>0</v>
      </c>
    </row>
    <row r="146" ht="22.5" customHeight="1">
      <c r="A146" s="12">
        <f t="shared" si="4"/>
        <v>644</v>
      </c>
      <c r="B146" s="6" t="s">
        <v>2181</v>
      </c>
      <c r="C146" s="7" t="str">
        <f t="shared" si="1"/>
        <v>🔊</v>
      </c>
      <c r="D146" s="8" t="s">
        <v>2182</v>
      </c>
      <c r="E146" s="6" t="s">
        <v>27</v>
      </c>
      <c r="F146" s="12" t="str">
        <f>IFERROR(__xludf.DUMMYFUNCTION("GOOGLETRANSLATE(B146,""zh_cn"",""vi"")"),"đường sắt cao tốc")</f>
        <v>đường sắt cao tốc</v>
      </c>
      <c r="G146" s="20" t="s">
        <v>2183</v>
      </c>
      <c r="I146" s="11" t="b">
        <f t="shared" si="2"/>
        <v>0</v>
      </c>
      <c r="K146" s="11" t="b">
        <f t="shared" si="3"/>
        <v>0</v>
      </c>
    </row>
    <row r="147" ht="22.5" customHeight="1">
      <c r="A147" s="12">
        <f t="shared" si="4"/>
        <v>645</v>
      </c>
      <c r="B147" s="6" t="s">
        <v>2184</v>
      </c>
      <c r="C147" s="7" t="str">
        <f t="shared" si="1"/>
        <v>🔊</v>
      </c>
      <c r="D147" s="8" t="s">
        <v>2185</v>
      </c>
      <c r="E147" s="6" t="s">
        <v>61</v>
      </c>
      <c r="F147" s="5" t="s">
        <v>2186</v>
      </c>
      <c r="G147" s="20" t="s">
        <v>2187</v>
      </c>
      <c r="I147" s="11" t="b">
        <f t="shared" si="2"/>
        <v>0</v>
      </c>
      <c r="K147" s="11" t="b">
        <f t="shared" si="3"/>
        <v>0</v>
      </c>
    </row>
    <row r="148" ht="22.5" customHeight="1">
      <c r="A148" s="12">
        <f t="shared" si="4"/>
        <v>646</v>
      </c>
      <c r="B148" s="6" t="s">
        <v>2188</v>
      </c>
      <c r="C148" s="7" t="str">
        <f t="shared" si="1"/>
        <v>🔊</v>
      </c>
      <c r="D148" s="8" t="s">
        <v>2189</v>
      </c>
      <c r="E148" s="6" t="s">
        <v>2190</v>
      </c>
      <c r="F148" s="12" t="str">
        <f>IFERROR(__xludf.DUMMYFUNCTION("GOOGLETRANSLATE(B148,""zh_cn"",""vi"")"),"theo")</f>
        <v>theo</v>
      </c>
      <c r="G148" s="20" t="s">
        <v>2191</v>
      </c>
      <c r="I148" s="11" t="b">
        <f t="shared" si="2"/>
        <v>0</v>
      </c>
      <c r="K148" s="11" t="b">
        <f t="shared" si="3"/>
        <v>0</v>
      </c>
    </row>
    <row r="149" ht="22.5" customHeight="1">
      <c r="A149" s="12">
        <f t="shared" si="4"/>
        <v>647</v>
      </c>
      <c r="B149" s="6" t="s">
        <v>2192</v>
      </c>
      <c r="C149" s="7" t="str">
        <f t="shared" si="1"/>
        <v>🔊</v>
      </c>
      <c r="D149" s="8" t="s">
        <v>2193</v>
      </c>
      <c r="E149" s="6" t="s">
        <v>47</v>
      </c>
      <c r="F149" s="12" t="str">
        <f>IFERROR(__xludf.DUMMYFUNCTION("GOOGLETRANSLATE(B149,""zh_cn"",""vi"")"),"Kilogram")</f>
        <v>Kilogram</v>
      </c>
      <c r="G149" s="20" t="s">
        <v>2194</v>
      </c>
      <c r="I149" s="11" t="b">
        <f t="shared" si="2"/>
        <v>0</v>
      </c>
      <c r="K149" s="11" t="b">
        <f t="shared" si="3"/>
        <v>0</v>
      </c>
    </row>
    <row r="150" ht="22.5" customHeight="1">
      <c r="A150" s="12">
        <f t="shared" si="4"/>
        <v>648</v>
      </c>
      <c r="B150" s="6" t="s">
        <v>2195</v>
      </c>
      <c r="C150" s="7" t="str">
        <f t="shared" si="1"/>
        <v>🔊</v>
      </c>
      <c r="D150" s="8" t="s">
        <v>2196</v>
      </c>
      <c r="E150" s="6" t="s">
        <v>27</v>
      </c>
      <c r="F150" s="5" t="s">
        <v>2197</v>
      </c>
      <c r="G150" s="20" t="s">
        <v>2198</v>
      </c>
      <c r="I150" s="11" t="b">
        <f t="shared" si="2"/>
        <v>0</v>
      </c>
      <c r="K150" s="11" t="b">
        <f t="shared" si="3"/>
        <v>0</v>
      </c>
    </row>
    <row r="151" ht="22.5" customHeight="1">
      <c r="A151" s="12">
        <f t="shared" si="4"/>
        <v>649</v>
      </c>
      <c r="B151" s="6" t="s">
        <v>2199</v>
      </c>
      <c r="C151" s="7" t="str">
        <f t="shared" si="1"/>
        <v>🔊</v>
      </c>
      <c r="D151" s="8" t="s">
        <v>2200</v>
      </c>
      <c r="E151" s="6" t="s">
        <v>27</v>
      </c>
      <c r="F151" s="5" t="s">
        <v>2201</v>
      </c>
      <c r="G151" s="20" t="s">
        <v>2202</v>
      </c>
      <c r="I151" s="11" t="b">
        <f t="shared" si="2"/>
        <v>0</v>
      </c>
      <c r="K151" s="11" t="b">
        <f t="shared" si="3"/>
        <v>0</v>
      </c>
    </row>
    <row r="152" ht="22.5" customHeight="1">
      <c r="A152" s="12">
        <f t="shared" si="4"/>
        <v>650</v>
      </c>
      <c r="B152" s="6" t="s">
        <v>2203</v>
      </c>
      <c r="C152" s="7" t="str">
        <f t="shared" si="1"/>
        <v>🔊</v>
      </c>
      <c r="D152" s="8" t="s">
        <v>2204</v>
      </c>
      <c r="E152" s="6" t="s">
        <v>13</v>
      </c>
      <c r="F152" s="5" t="s">
        <v>2205</v>
      </c>
      <c r="G152" s="20" t="s">
        <v>2206</v>
      </c>
      <c r="I152" s="11" t="b">
        <f t="shared" si="2"/>
        <v>0</v>
      </c>
      <c r="K152" s="11" t="b">
        <f t="shared" si="3"/>
        <v>0</v>
      </c>
    </row>
    <row r="153" ht="22.5" customHeight="1">
      <c r="A153" s="12">
        <f t="shared" si="4"/>
        <v>651</v>
      </c>
      <c r="B153" s="6" t="s">
        <v>2207</v>
      </c>
      <c r="C153" s="7" t="str">
        <f t="shared" si="1"/>
        <v>🔊</v>
      </c>
      <c r="D153" s="8" t="s">
        <v>2208</v>
      </c>
      <c r="E153" s="6" t="s">
        <v>1946</v>
      </c>
      <c r="F153" s="12" t="str">
        <f>IFERROR(__xludf.DUMMYFUNCTION("GOOGLETRANSLATE(B153,""zh_cn"",""vi"")"),"đóng")</f>
        <v>đóng</v>
      </c>
      <c r="G153" s="20" t="s">
        <v>2209</v>
      </c>
      <c r="I153" s="11" t="b">
        <f t="shared" si="2"/>
        <v>0</v>
      </c>
      <c r="K153" s="11" t="b">
        <f t="shared" si="3"/>
        <v>0</v>
      </c>
    </row>
    <row r="154" ht="22.5" customHeight="1">
      <c r="A154" s="12">
        <f t="shared" si="4"/>
        <v>652</v>
      </c>
      <c r="B154" s="6" t="s">
        <v>2210</v>
      </c>
      <c r="C154" s="7" t="str">
        <f t="shared" si="1"/>
        <v>🔊</v>
      </c>
      <c r="D154" s="8" t="s">
        <v>2211</v>
      </c>
      <c r="E154" s="6" t="s">
        <v>13</v>
      </c>
      <c r="F154" s="12" t="str">
        <f>IFERROR(__xludf.DUMMYFUNCTION("GOOGLETRANSLATE(B154,""zh_cn"",""vi"")"),"Tắt nguồn")</f>
        <v>Tắt nguồn</v>
      </c>
      <c r="G154" s="20" t="s">
        <v>2212</v>
      </c>
      <c r="I154" s="11" t="b">
        <f t="shared" si="2"/>
        <v>0</v>
      </c>
      <c r="K154" s="11" t="b">
        <f t="shared" si="3"/>
        <v>0</v>
      </c>
    </row>
    <row r="155" ht="22.5" customHeight="1">
      <c r="A155" s="12">
        <f t="shared" si="4"/>
        <v>653</v>
      </c>
      <c r="B155" s="6" t="s">
        <v>2213</v>
      </c>
      <c r="C155" s="7" t="str">
        <f t="shared" si="1"/>
        <v>🔊</v>
      </c>
      <c r="D155" s="8" t="s">
        <v>2214</v>
      </c>
      <c r="E155" s="6" t="s">
        <v>1813</v>
      </c>
      <c r="F155" s="12" t="str">
        <f>IFERROR(__xludf.DUMMYFUNCTION("GOOGLETRANSLATE(B155,""zh_cn"",""vi"")"),"mối quan hệ")</f>
        <v>mối quan hệ</v>
      </c>
      <c r="G155" s="20" t="s">
        <v>2215</v>
      </c>
      <c r="I155" s="11" t="b">
        <f t="shared" si="2"/>
        <v>0</v>
      </c>
      <c r="K155" s="11" t="b">
        <f t="shared" si="3"/>
        <v>0</v>
      </c>
    </row>
    <row r="156" ht="22.5" customHeight="1">
      <c r="A156" s="12">
        <f t="shared" si="4"/>
        <v>654</v>
      </c>
      <c r="B156" s="6" t="s">
        <v>2216</v>
      </c>
      <c r="C156" s="7" t="str">
        <f t="shared" si="1"/>
        <v>🔊</v>
      </c>
      <c r="D156" s="8" t="s">
        <v>2217</v>
      </c>
      <c r="E156" s="6" t="s">
        <v>13</v>
      </c>
      <c r="F156" s="5" t="s">
        <v>2218</v>
      </c>
      <c r="G156" s="20" t="s">
        <v>2219</v>
      </c>
      <c r="I156" s="11" t="b">
        <f t="shared" si="2"/>
        <v>0</v>
      </c>
      <c r="K156" s="11" t="b">
        <f t="shared" si="3"/>
        <v>0</v>
      </c>
    </row>
    <row r="157" ht="22.5" customHeight="1">
      <c r="A157" s="12">
        <f t="shared" si="4"/>
        <v>655</v>
      </c>
      <c r="B157" s="6" t="s">
        <v>2220</v>
      </c>
      <c r="C157" s="7" t="str">
        <f t="shared" si="1"/>
        <v>🔊</v>
      </c>
      <c r="D157" s="8" t="s">
        <v>2221</v>
      </c>
      <c r="E157" s="6" t="s">
        <v>1766</v>
      </c>
      <c r="F157" s="5" t="s">
        <v>2222</v>
      </c>
      <c r="G157" s="20" t="s">
        <v>2223</v>
      </c>
      <c r="I157" s="11" t="b">
        <f t="shared" si="2"/>
        <v>0</v>
      </c>
      <c r="K157" s="11" t="b">
        <f t="shared" si="3"/>
        <v>0</v>
      </c>
    </row>
    <row r="158" ht="22.5" customHeight="1">
      <c r="A158" s="12">
        <f t="shared" si="4"/>
        <v>656</v>
      </c>
      <c r="B158" s="6" t="s">
        <v>2224</v>
      </c>
      <c r="C158" s="7" t="str">
        <f t="shared" si="1"/>
        <v>🔊</v>
      </c>
      <c r="D158" s="8" t="s">
        <v>2225</v>
      </c>
      <c r="E158" s="6" t="s">
        <v>13</v>
      </c>
      <c r="F158" s="12" t="str">
        <f>IFERROR(__xludf.DUMMYFUNCTION("GOOGLETRANSLATE(B158,""zh_cn"",""vi"")"),"tập trung vào")</f>
        <v>tập trung vào</v>
      </c>
      <c r="G158" s="20" t="s">
        <v>2226</v>
      </c>
      <c r="I158" s="11" t="b">
        <f t="shared" si="2"/>
        <v>0</v>
      </c>
      <c r="K158" s="11" t="b">
        <f t="shared" si="3"/>
        <v>0</v>
      </c>
    </row>
    <row r="159" ht="22.5" customHeight="1">
      <c r="A159" s="12">
        <f t="shared" si="4"/>
        <v>657</v>
      </c>
      <c r="B159" s="6" t="s">
        <v>2227</v>
      </c>
      <c r="C159" s="7" t="str">
        <f t="shared" si="1"/>
        <v>🔊</v>
      </c>
      <c r="D159" s="8" t="s">
        <v>2228</v>
      </c>
      <c r="E159" s="6" t="s">
        <v>27</v>
      </c>
      <c r="F159" s="12" t="str">
        <f>IFERROR(__xludf.DUMMYFUNCTION("GOOGLETRANSLATE(B159,""zh_cn"",""vi"")"),"Quốc gia")</f>
        <v>Quốc gia</v>
      </c>
      <c r="G159" s="20" t="s">
        <v>2229</v>
      </c>
      <c r="I159" s="11" t="b">
        <f t="shared" si="2"/>
        <v>0</v>
      </c>
      <c r="K159" s="11" t="b">
        <f t="shared" si="3"/>
        <v>0</v>
      </c>
    </row>
    <row r="160" ht="22.5" customHeight="1">
      <c r="A160" s="12">
        <f t="shared" si="4"/>
        <v>658</v>
      </c>
      <c r="B160" s="6" t="s">
        <v>2230</v>
      </c>
      <c r="C160" s="7" t="str">
        <f t="shared" si="1"/>
        <v>🔊</v>
      </c>
      <c r="D160" s="8" t="s">
        <v>2231</v>
      </c>
      <c r="E160" s="6" t="s">
        <v>13</v>
      </c>
      <c r="F160" s="12" t="str">
        <f>IFERROR(__xludf.DUMMYFUNCTION("GOOGLETRANSLATE(B160,""zh_cn"",""vi"")"),"Ngày lễ")</f>
        <v>Ngày lễ</v>
      </c>
      <c r="G160" s="20" t="s">
        <v>2232</v>
      </c>
      <c r="I160" s="11" t="b">
        <f t="shared" si="2"/>
        <v>0</v>
      </c>
      <c r="K160" s="11" t="b">
        <f t="shared" si="3"/>
        <v>0</v>
      </c>
    </row>
    <row r="161" ht="22.5" customHeight="1">
      <c r="A161" s="12">
        <f t="shared" si="4"/>
        <v>659</v>
      </c>
      <c r="B161" s="6" t="s">
        <v>1198</v>
      </c>
      <c r="C161" s="7" t="str">
        <f t="shared" si="1"/>
        <v>🔊</v>
      </c>
      <c r="D161" s="8" t="s">
        <v>1199</v>
      </c>
      <c r="E161" s="6" t="s">
        <v>27</v>
      </c>
      <c r="F161" s="12" t="str">
        <f>IFERROR(__xludf.DUMMYFUNCTION("GOOGLETRANSLATE(B161,""zh_cn"",""vi"")"),"quá khứ")</f>
        <v>quá khứ</v>
      </c>
      <c r="G161" s="20" t="s">
        <v>2233</v>
      </c>
      <c r="I161" s="11" t="b">
        <f t="shared" si="2"/>
        <v>0</v>
      </c>
      <c r="K161" s="11" t="b">
        <f t="shared" si="3"/>
        <v>0</v>
      </c>
    </row>
    <row r="162" ht="22.5" customHeight="1">
      <c r="A162" s="12">
        <f t="shared" si="4"/>
        <v>660</v>
      </c>
      <c r="B162" s="6" t="s">
        <v>2234</v>
      </c>
      <c r="C162" s="7" t="str">
        <f t="shared" si="1"/>
        <v>🔊</v>
      </c>
      <c r="D162" s="8" t="s">
        <v>2235</v>
      </c>
      <c r="E162" s="6" t="s">
        <v>27</v>
      </c>
      <c r="F162" s="12" t="str">
        <f>IFERROR(__xludf.DUMMYFUNCTION("GOOGLETRANSLATE(B162,""zh_cn"",""vi"")"),"câu chuyện")</f>
        <v>câu chuyện</v>
      </c>
      <c r="G162" s="20" t="s">
        <v>2236</v>
      </c>
      <c r="I162" s="11" t="b">
        <f t="shared" si="2"/>
        <v>0</v>
      </c>
      <c r="K162" s="11" t="b">
        <f t="shared" si="3"/>
        <v>0</v>
      </c>
    </row>
    <row r="163" ht="22.5" customHeight="1">
      <c r="A163" s="12">
        <f t="shared" si="4"/>
        <v>661</v>
      </c>
      <c r="B163" s="6" t="s">
        <v>2237</v>
      </c>
      <c r="C163" s="7" t="str">
        <f t="shared" si="1"/>
        <v>🔊</v>
      </c>
      <c r="D163" s="8" t="s">
        <v>2238</v>
      </c>
      <c r="E163" s="6" t="s">
        <v>27</v>
      </c>
      <c r="F163" s="12" t="str">
        <f>IFERROR(__xludf.DUMMYFUNCTION("GOOGLETRANSLATE(B163,""zh_cn"",""vi"")"),"đại dương")</f>
        <v>đại dương</v>
      </c>
      <c r="G163" s="20" t="s">
        <v>2239</v>
      </c>
      <c r="I163" s="11" t="b">
        <f t="shared" si="2"/>
        <v>0</v>
      </c>
      <c r="K163" s="11" t="b">
        <f t="shared" si="3"/>
        <v>0</v>
      </c>
    </row>
    <row r="164" ht="22.5" customHeight="1">
      <c r="A164" s="12">
        <f t="shared" si="4"/>
        <v>662</v>
      </c>
      <c r="B164" s="6" t="s">
        <v>2240</v>
      </c>
      <c r="C164" s="7" t="str">
        <f t="shared" si="1"/>
        <v>🔊</v>
      </c>
      <c r="D164" s="8" t="s">
        <v>2241</v>
      </c>
      <c r="E164" s="6" t="s">
        <v>13</v>
      </c>
      <c r="F164" s="5" t="s">
        <v>2242</v>
      </c>
      <c r="G164" s="20" t="s">
        <v>2243</v>
      </c>
      <c r="I164" s="11" t="b">
        <f t="shared" si="2"/>
        <v>0</v>
      </c>
      <c r="K164" s="11" t="b">
        <f t="shared" si="3"/>
        <v>0</v>
      </c>
    </row>
    <row r="165" ht="22.5" customHeight="1">
      <c r="A165" s="12">
        <f t="shared" si="4"/>
        <v>663</v>
      </c>
      <c r="B165" s="6" t="s">
        <v>2244</v>
      </c>
      <c r="C165" s="7" t="str">
        <f t="shared" si="1"/>
        <v>🔊</v>
      </c>
      <c r="D165" s="8" t="s">
        <v>2245</v>
      </c>
      <c r="E165" s="6" t="s">
        <v>23</v>
      </c>
      <c r="F165" s="5" t="s">
        <v>2246</v>
      </c>
      <c r="G165" s="20" t="s">
        <v>2247</v>
      </c>
      <c r="I165" s="11" t="b">
        <f t="shared" si="2"/>
        <v>0</v>
      </c>
      <c r="K165" s="11" t="b">
        <f t="shared" si="3"/>
        <v>0</v>
      </c>
    </row>
    <row r="166" ht="22.5" customHeight="1">
      <c r="A166" s="12">
        <f t="shared" si="4"/>
        <v>664</v>
      </c>
      <c r="B166" s="6" t="s">
        <v>2248</v>
      </c>
      <c r="C166" s="7" t="str">
        <f t="shared" si="1"/>
        <v>🔊</v>
      </c>
      <c r="D166" s="8" t="s">
        <v>2249</v>
      </c>
      <c r="E166" s="6" t="s">
        <v>99</v>
      </c>
      <c r="F166" s="5" t="s">
        <v>1754</v>
      </c>
      <c r="G166" s="20" t="s">
        <v>2250</v>
      </c>
      <c r="I166" s="11" t="b">
        <f t="shared" si="2"/>
        <v>0</v>
      </c>
      <c r="K166" s="11" t="b">
        <f t="shared" si="3"/>
        <v>0</v>
      </c>
    </row>
    <row r="167" ht="22.5" customHeight="1">
      <c r="A167" s="12">
        <f t="shared" si="4"/>
        <v>665</v>
      </c>
      <c r="B167" s="6" t="s">
        <v>2251</v>
      </c>
      <c r="C167" s="7" t="str">
        <f t="shared" si="1"/>
        <v>🔊</v>
      </c>
      <c r="D167" s="8" t="s">
        <v>2252</v>
      </c>
      <c r="E167" s="6" t="s">
        <v>27</v>
      </c>
      <c r="F167" s="12" t="str">
        <f>IFERROR(__xludf.DUMMYFUNCTION("GOOGLETRANSLATE(B167,""zh_cn"",""vi"")"),"Con số")</f>
        <v>Con số</v>
      </c>
      <c r="G167" s="20" t="s">
        <v>2253</v>
      </c>
      <c r="I167" s="11" t="b">
        <f t="shared" si="2"/>
        <v>0</v>
      </c>
      <c r="K167" s="11" t="b">
        <f t="shared" si="3"/>
        <v>0</v>
      </c>
    </row>
    <row r="168" ht="22.5" customHeight="1">
      <c r="A168" s="12">
        <f t="shared" si="4"/>
        <v>666</v>
      </c>
      <c r="B168" s="6" t="s">
        <v>2254</v>
      </c>
      <c r="C168" s="7" t="str">
        <f t="shared" si="1"/>
        <v>🔊</v>
      </c>
      <c r="D168" s="8" t="s">
        <v>2255</v>
      </c>
      <c r="E168" s="6" t="s">
        <v>433</v>
      </c>
      <c r="F168" s="5" t="s">
        <v>2256</v>
      </c>
      <c r="G168" s="20" t="s">
        <v>2257</v>
      </c>
      <c r="I168" s="11" t="b">
        <f t="shared" si="2"/>
        <v>0</v>
      </c>
      <c r="K168" s="11" t="b">
        <f t="shared" si="3"/>
        <v>0</v>
      </c>
    </row>
    <row r="169" ht="22.5" customHeight="1">
      <c r="A169" s="12">
        <f t="shared" si="4"/>
        <v>667</v>
      </c>
      <c r="B169" s="6" t="s">
        <v>2258</v>
      </c>
      <c r="C169" s="7" t="str">
        <f t="shared" si="1"/>
        <v>🔊</v>
      </c>
      <c r="D169" s="8" t="s">
        <v>280</v>
      </c>
      <c r="E169" s="6" t="s">
        <v>27</v>
      </c>
      <c r="F169" s="12" t="str">
        <f>IFERROR(__xludf.DUMMYFUNCTION("GOOGLETRANSLATE(B169,""zh_cn"",""vi"")"),"dòng sông")</f>
        <v>dòng sông</v>
      </c>
      <c r="G169" s="20" t="s">
        <v>2259</v>
      </c>
      <c r="I169" s="11" t="b">
        <f t="shared" si="2"/>
        <v>0</v>
      </c>
      <c r="K169" s="11" t="b">
        <f t="shared" si="3"/>
        <v>0</v>
      </c>
    </row>
    <row r="170" ht="22.5" customHeight="1">
      <c r="A170" s="12">
        <f t="shared" si="4"/>
        <v>668</v>
      </c>
      <c r="B170" s="6" t="s">
        <v>2260</v>
      </c>
      <c r="C170" s="7" t="str">
        <f t="shared" si="1"/>
        <v>🔊</v>
      </c>
      <c r="D170" s="8" t="s">
        <v>2261</v>
      </c>
      <c r="E170" s="6" t="s">
        <v>27</v>
      </c>
      <c r="F170" s="12" t="str">
        <f>IFERROR(__xludf.DUMMYFUNCTION("GOOGLETRANSLATE(B170,""zh_cn"",""vi"")"),"bảng đen")</f>
        <v>bảng đen</v>
      </c>
      <c r="G170" s="20" t="s">
        <v>2262</v>
      </c>
      <c r="I170" s="11" t="b">
        <f t="shared" si="2"/>
        <v>0</v>
      </c>
      <c r="K170" s="11" t="b">
        <f t="shared" si="3"/>
        <v>0</v>
      </c>
    </row>
    <row r="171" ht="22.5" customHeight="1">
      <c r="A171" s="12">
        <f t="shared" si="4"/>
        <v>669</v>
      </c>
      <c r="B171" s="6" t="s">
        <v>2263</v>
      </c>
      <c r="C171" s="7" t="str">
        <f t="shared" si="1"/>
        <v>🔊</v>
      </c>
      <c r="D171" s="8" t="s">
        <v>2264</v>
      </c>
      <c r="E171" s="6" t="s">
        <v>99</v>
      </c>
      <c r="F171" s="12" t="str">
        <f>IFERROR(__xludf.DUMMYFUNCTION("GOOGLETRANSLATE(B171,""zh_cn"",""vi"")"),"thích hợp")</f>
        <v>thích hợp</v>
      </c>
      <c r="G171" s="20" t="s">
        <v>2265</v>
      </c>
      <c r="I171" s="11" t="b">
        <f t="shared" si="2"/>
        <v>0</v>
      </c>
      <c r="K171" s="11" t="b">
        <f t="shared" si="3"/>
        <v>0</v>
      </c>
    </row>
    <row r="172" ht="22.5" customHeight="1">
      <c r="A172" s="12">
        <f t="shared" si="4"/>
        <v>670</v>
      </c>
      <c r="B172" s="6" t="s">
        <v>2266</v>
      </c>
      <c r="C172" s="7" t="str">
        <f t="shared" si="1"/>
        <v>🔊</v>
      </c>
      <c r="D172" s="8" t="s">
        <v>2267</v>
      </c>
      <c r="E172" s="6" t="s">
        <v>27</v>
      </c>
      <c r="F172" s="12" t="str">
        <f>IFERROR(__xludf.DUMMYFUNCTION("GOOGLETRANSLATE(B172,""zh_cn"",""vi"")"),"đèn giao thông")</f>
        <v>đèn giao thông</v>
      </c>
      <c r="G172" s="20" t="s">
        <v>2268</v>
      </c>
      <c r="I172" s="11" t="b">
        <f t="shared" si="2"/>
        <v>0</v>
      </c>
      <c r="K172" s="11" t="b">
        <f t="shared" si="3"/>
        <v>0</v>
      </c>
    </row>
    <row r="173" ht="22.5" customHeight="1">
      <c r="A173" s="12">
        <f t="shared" si="4"/>
        <v>671</v>
      </c>
      <c r="B173" s="6" t="s">
        <v>2269</v>
      </c>
      <c r="C173" s="7" t="str">
        <f t="shared" si="1"/>
        <v>🔊</v>
      </c>
      <c r="D173" s="8" t="s">
        <v>2270</v>
      </c>
      <c r="E173" s="6" t="s">
        <v>27</v>
      </c>
      <c r="F173" s="12" t="str">
        <f>IFERROR(__xludf.DUMMYFUNCTION("GOOGLETRANSLATE(B173,""zh_cn"",""vi"")"),"sau đó")</f>
        <v>sau đó</v>
      </c>
      <c r="G173" s="20" t="s">
        <v>2271</v>
      </c>
      <c r="I173" s="11" t="b">
        <f t="shared" si="2"/>
        <v>0</v>
      </c>
      <c r="K173" s="11" t="b">
        <f t="shared" si="3"/>
        <v>0</v>
      </c>
    </row>
    <row r="174" ht="22.5" customHeight="1">
      <c r="A174" s="12">
        <f t="shared" si="4"/>
        <v>672</v>
      </c>
      <c r="B174" s="6" t="s">
        <v>2272</v>
      </c>
      <c r="C174" s="7" t="str">
        <f t="shared" si="1"/>
        <v>🔊</v>
      </c>
      <c r="D174" s="8" t="s">
        <v>2273</v>
      </c>
      <c r="E174" s="6" t="s">
        <v>27</v>
      </c>
      <c r="F174" s="12" t="str">
        <f>IFERROR(__xludf.DUMMYFUNCTION("GOOGLETRANSLATE(B174,""zh_cn"",""vi"")"),"Năm sau nữa")</f>
        <v>Năm sau nữa</v>
      </c>
      <c r="G174" s="20" t="s">
        <v>2274</v>
      </c>
      <c r="I174" s="11" t="b">
        <f t="shared" si="2"/>
        <v>0</v>
      </c>
      <c r="K174" s="11" t="b">
        <f t="shared" si="3"/>
        <v>0</v>
      </c>
    </row>
    <row r="175" ht="22.5" customHeight="1">
      <c r="A175" s="12">
        <f t="shared" si="4"/>
        <v>673</v>
      </c>
      <c r="B175" s="6" t="s">
        <v>2275</v>
      </c>
      <c r="C175" s="7" t="str">
        <f t="shared" si="1"/>
        <v>🔊</v>
      </c>
      <c r="D175" s="8" t="s">
        <v>2276</v>
      </c>
      <c r="E175" s="6" t="s">
        <v>27</v>
      </c>
      <c r="F175" s="12" t="str">
        <f>IFERROR(__xludf.DUMMYFUNCTION("GOOGLETRANSLATE(B175,""zh_cn"",""vi"")"),"ngày kia")</f>
        <v>ngày kia</v>
      </c>
      <c r="G175" s="20" t="s">
        <v>2277</v>
      </c>
      <c r="I175" s="11" t="b">
        <f t="shared" si="2"/>
        <v>0</v>
      </c>
      <c r="K175" s="11" t="b">
        <f t="shared" si="3"/>
        <v>0</v>
      </c>
    </row>
    <row r="176" ht="22.5" customHeight="1">
      <c r="A176" s="12">
        <f t="shared" si="4"/>
        <v>674</v>
      </c>
      <c r="B176" s="6" t="s">
        <v>2278</v>
      </c>
      <c r="C176" s="7" t="str">
        <f t="shared" si="1"/>
        <v>🔊</v>
      </c>
      <c r="D176" s="8" t="s">
        <v>2279</v>
      </c>
      <c r="E176" s="6" t="s">
        <v>27</v>
      </c>
      <c r="F176" s="12" t="str">
        <f>IFERROR(__xludf.DUMMYFUNCTION("GOOGLETRANSLATE(B176,""zh_cn"",""vi"")"),"họa sĩ")</f>
        <v>họa sĩ</v>
      </c>
      <c r="G176" s="20" t="s">
        <v>2280</v>
      </c>
      <c r="I176" s="11" t="b">
        <f t="shared" si="2"/>
        <v>0</v>
      </c>
      <c r="K176" s="11" t="b">
        <f t="shared" si="3"/>
        <v>0</v>
      </c>
    </row>
    <row r="177" ht="22.5" customHeight="1">
      <c r="A177" s="12">
        <f t="shared" si="4"/>
        <v>675</v>
      </c>
      <c r="B177" s="6" t="s">
        <v>243</v>
      </c>
      <c r="C177" s="7" t="str">
        <f t="shared" si="1"/>
        <v>🔊</v>
      </c>
      <c r="D177" s="8" t="s">
        <v>2281</v>
      </c>
      <c r="E177" s="6" t="s">
        <v>13</v>
      </c>
      <c r="F177" s="5" t="s">
        <v>2282</v>
      </c>
      <c r="G177" s="20" t="s">
        <v>2283</v>
      </c>
      <c r="I177" s="11" t="b">
        <f t="shared" si="2"/>
        <v>0</v>
      </c>
      <c r="K177" s="11" t="b">
        <f t="shared" si="3"/>
        <v>0</v>
      </c>
    </row>
    <row r="178" ht="22.5" customHeight="1">
      <c r="A178" s="12">
        <f t="shared" si="4"/>
        <v>676</v>
      </c>
      <c r="B178" s="6" t="s">
        <v>2284</v>
      </c>
      <c r="C178" s="7" t="str">
        <f t="shared" si="1"/>
        <v>🔊</v>
      </c>
      <c r="D178" s="8" t="s">
        <v>2285</v>
      </c>
      <c r="E178" s="6" t="s">
        <v>13</v>
      </c>
      <c r="F178" s="5" t="s">
        <v>2286</v>
      </c>
      <c r="G178" s="20" t="s">
        <v>2287</v>
      </c>
      <c r="I178" s="11" t="b">
        <f t="shared" si="2"/>
        <v>0</v>
      </c>
      <c r="K178" s="11" t="b">
        <f t="shared" si="3"/>
        <v>0</v>
      </c>
    </row>
    <row r="179" ht="22.5" customHeight="1">
      <c r="A179" s="12">
        <f t="shared" si="4"/>
        <v>677</v>
      </c>
      <c r="B179" s="6" t="s">
        <v>2288</v>
      </c>
      <c r="C179" s="7" t="str">
        <f t="shared" si="1"/>
        <v>🔊</v>
      </c>
      <c r="D179" s="8" t="s">
        <v>2289</v>
      </c>
      <c r="E179" s="6" t="s">
        <v>27</v>
      </c>
      <c r="F179" s="12" t="str">
        <f>IFERROR(__xludf.DUMMYFUNCTION("GOOGLETRANSLATE(B179,""zh_cn"",""vi"")"),"màu vàng")</f>
        <v>màu vàng</v>
      </c>
      <c r="G179" s="20" t="s">
        <v>2290</v>
      </c>
      <c r="I179" s="11" t="b">
        <f t="shared" si="2"/>
        <v>0</v>
      </c>
      <c r="K179" s="11" t="b">
        <f t="shared" si="3"/>
        <v>0</v>
      </c>
    </row>
    <row r="180" ht="22.5" customHeight="1">
      <c r="A180" s="12">
        <f t="shared" si="4"/>
        <v>678</v>
      </c>
      <c r="B180" s="6" t="s">
        <v>2291</v>
      </c>
      <c r="C180" s="7" t="str">
        <f t="shared" si="1"/>
        <v>🔊</v>
      </c>
      <c r="D180" s="8" t="s">
        <v>2292</v>
      </c>
      <c r="E180" s="6" t="s">
        <v>27</v>
      </c>
      <c r="F180" s="12" t="str">
        <f>IFERROR(__xludf.DUMMYFUNCTION("GOOGLETRANSLATE(B180,""zh_cn"",""vi"")"),"môi trường")</f>
        <v>môi trường</v>
      </c>
      <c r="G180" s="20" t="s">
        <v>2293</v>
      </c>
      <c r="I180" s="11" t="b">
        <f t="shared" si="2"/>
        <v>0</v>
      </c>
      <c r="K180" s="11" t="b">
        <f t="shared" si="3"/>
        <v>0</v>
      </c>
    </row>
    <row r="181" ht="22.5" customHeight="1">
      <c r="A181" s="12">
        <f t="shared" si="4"/>
        <v>679</v>
      </c>
      <c r="B181" s="6" t="s">
        <v>2294</v>
      </c>
      <c r="C181" s="7" t="str">
        <f t="shared" si="1"/>
        <v>🔊</v>
      </c>
      <c r="D181" s="8" t="s">
        <v>2295</v>
      </c>
      <c r="E181" s="6" t="s">
        <v>13</v>
      </c>
      <c r="F181" s="12" t="str">
        <f>IFERROR(__xludf.DUMMYFUNCTION("GOOGLETRANSLATE(B181,""zh_cn"",""vi"")"),"Chào mừng")</f>
        <v>Chào mừng</v>
      </c>
      <c r="G181" s="20" t="s">
        <v>2296</v>
      </c>
      <c r="I181" s="11" t="b">
        <f t="shared" si="2"/>
        <v>0</v>
      </c>
      <c r="K181" s="11" t="b">
        <f t="shared" si="3"/>
        <v>0</v>
      </c>
    </row>
    <row r="182" ht="22.5" customHeight="1">
      <c r="A182" s="12">
        <f t="shared" si="4"/>
        <v>680</v>
      </c>
      <c r="B182" s="6" t="s">
        <v>2297</v>
      </c>
      <c r="C182" s="7" t="str">
        <f t="shared" si="1"/>
        <v>🔊</v>
      </c>
      <c r="D182" s="8" t="s">
        <v>2298</v>
      </c>
      <c r="E182" s="6" t="s">
        <v>27</v>
      </c>
      <c r="F182" s="5" t="s">
        <v>2299</v>
      </c>
      <c r="G182" s="20" t="s">
        <v>2300</v>
      </c>
      <c r="I182" s="11" t="b">
        <f t="shared" si="2"/>
        <v>0</v>
      </c>
      <c r="K182" s="11" t="b">
        <f t="shared" si="3"/>
        <v>0</v>
      </c>
    </row>
    <row r="183" ht="22.5" customHeight="1">
      <c r="A183" s="12">
        <f t="shared" si="4"/>
        <v>681</v>
      </c>
      <c r="B183" s="6" t="s">
        <v>296</v>
      </c>
      <c r="C183" s="7" t="str">
        <f t="shared" si="1"/>
        <v>🔊</v>
      </c>
      <c r="D183" s="8" t="s">
        <v>297</v>
      </c>
      <c r="E183" s="6" t="s">
        <v>27</v>
      </c>
      <c r="F183" s="5" t="s">
        <v>2301</v>
      </c>
      <c r="G183" s="20" t="s">
        <v>2302</v>
      </c>
      <c r="I183" s="11" t="b">
        <f t="shared" si="2"/>
        <v>0</v>
      </c>
      <c r="K183" s="11" t="b">
        <f t="shared" si="3"/>
        <v>0</v>
      </c>
    </row>
    <row r="184" ht="22.5" customHeight="1">
      <c r="A184" s="12">
        <f t="shared" si="4"/>
        <v>682</v>
      </c>
      <c r="B184" s="6" t="s">
        <v>2303</v>
      </c>
      <c r="C184" s="7" t="str">
        <f t="shared" si="1"/>
        <v>🔊</v>
      </c>
      <c r="D184" s="8" t="s">
        <v>2304</v>
      </c>
      <c r="E184" s="6" t="s">
        <v>13</v>
      </c>
      <c r="F184" s="12" t="str">
        <f>IFERROR(__xludf.DUMMYFUNCTION("GOOGLETRANSLATE(B184,""zh_cn"",""vi"")"),"trả lời")</f>
        <v>trả lời</v>
      </c>
      <c r="G184" s="20" t="s">
        <v>2305</v>
      </c>
      <c r="I184" s="11" t="b">
        <f t="shared" si="2"/>
        <v>0</v>
      </c>
      <c r="K184" s="11" t="b">
        <f t="shared" si="3"/>
        <v>0</v>
      </c>
    </row>
    <row r="185" ht="22.5" customHeight="1">
      <c r="A185" s="12">
        <f t="shared" si="4"/>
        <v>683</v>
      </c>
      <c r="B185" s="6" t="s">
        <v>2306</v>
      </c>
      <c r="C185" s="7" t="str">
        <f t="shared" si="1"/>
        <v>🔊</v>
      </c>
      <c r="D185" s="8" t="s">
        <v>2307</v>
      </c>
      <c r="E185" s="6" t="s">
        <v>27</v>
      </c>
      <c r="F185" s="5" t="s">
        <v>2308</v>
      </c>
      <c r="G185" s="20" t="s">
        <v>2309</v>
      </c>
      <c r="I185" s="11" t="b">
        <f t="shared" si="2"/>
        <v>0</v>
      </c>
      <c r="K185" s="11" t="b">
        <f t="shared" si="3"/>
        <v>0</v>
      </c>
    </row>
    <row r="186" ht="22.5" customHeight="1">
      <c r="A186" s="12">
        <f t="shared" si="4"/>
        <v>684</v>
      </c>
      <c r="B186" s="6" t="s">
        <v>2310</v>
      </c>
      <c r="C186" s="7" t="str">
        <f t="shared" si="1"/>
        <v>🔊</v>
      </c>
      <c r="D186" s="8" t="s">
        <v>2311</v>
      </c>
      <c r="E186" s="6" t="s">
        <v>1128</v>
      </c>
      <c r="F186" s="12" t="str">
        <f>IFERROR(__xludf.DUMMYFUNCTION("GOOGLETRANSLATE(B186,""zh_cn"",""vi"")"),"hoặc")</f>
        <v>hoặc</v>
      </c>
      <c r="G186" s="20" t="s">
        <v>2312</v>
      </c>
      <c r="I186" s="11" t="b">
        <f t="shared" si="2"/>
        <v>0</v>
      </c>
      <c r="K186" s="11" t="b">
        <f t="shared" si="3"/>
        <v>0</v>
      </c>
    </row>
    <row r="187" ht="22.5" customHeight="1">
      <c r="A187" s="12">
        <f t="shared" si="4"/>
        <v>685</v>
      </c>
      <c r="B187" s="6" t="s">
        <v>2313</v>
      </c>
      <c r="C187" s="7" t="str">
        <f t="shared" si="1"/>
        <v>🔊</v>
      </c>
      <c r="D187" s="8" t="s">
        <v>2314</v>
      </c>
      <c r="E187" s="6" t="s">
        <v>1132</v>
      </c>
      <c r="F187" s="12" t="str">
        <f>IFERROR(__xludf.DUMMYFUNCTION("GOOGLETRANSLATE(B187,""zh_cn"",""vi"")"),"hoặc")</f>
        <v>hoặc</v>
      </c>
      <c r="G187" s="20" t="s">
        <v>2315</v>
      </c>
      <c r="I187" s="11" t="b">
        <f t="shared" si="2"/>
        <v>0</v>
      </c>
      <c r="K187" s="11" t="b">
        <f t="shared" si="3"/>
        <v>0</v>
      </c>
    </row>
    <row r="188" ht="22.5" customHeight="1">
      <c r="A188" s="12">
        <f t="shared" si="4"/>
        <v>686</v>
      </c>
      <c r="B188" s="6" t="s">
        <v>2316</v>
      </c>
      <c r="C188" s="7" t="str">
        <f t="shared" si="1"/>
        <v>🔊</v>
      </c>
      <c r="D188" s="8" t="s">
        <v>2317</v>
      </c>
      <c r="E188" s="6" t="s">
        <v>27</v>
      </c>
      <c r="F188" s="12" t="str">
        <f>IFERROR(__xludf.DUMMYFUNCTION("GOOGLETRANSLATE(B188,""zh_cn"",""vi"")"),"hộ chiếu")</f>
        <v>hộ chiếu</v>
      </c>
      <c r="G188" s="20" t="s">
        <v>2318</v>
      </c>
      <c r="I188" s="11" t="b">
        <f t="shared" si="2"/>
        <v>0</v>
      </c>
      <c r="K188" s="11" t="b">
        <f t="shared" si="3"/>
        <v>0</v>
      </c>
    </row>
    <row r="189" ht="22.5" customHeight="1">
      <c r="A189" s="12">
        <f t="shared" si="4"/>
        <v>687</v>
      </c>
      <c r="B189" s="6" t="s">
        <v>2319</v>
      </c>
      <c r="C189" s="7" t="str">
        <f t="shared" si="1"/>
        <v>🔊</v>
      </c>
      <c r="D189" s="8" t="s">
        <v>2320</v>
      </c>
      <c r="E189" s="6" t="s">
        <v>61</v>
      </c>
      <c r="F189" s="5" t="s">
        <v>2321</v>
      </c>
      <c r="G189" s="20" t="s">
        <v>2322</v>
      </c>
      <c r="I189" s="11" t="b">
        <f t="shared" si="2"/>
        <v>0</v>
      </c>
      <c r="K189" s="11" t="b">
        <f t="shared" si="3"/>
        <v>0</v>
      </c>
    </row>
    <row r="190" ht="22.5" customHeight="1">
      <c r="A190" s="12">
        <f t="shared" si="4"/>
        <v>688</v>
      </c>
      <c r="B190" s="6" t="s">
        <v>2323</v>
      </c>
      <c r="C190" s="7" t="str">
        <f t="shared" si="1"/>
        <v>🔊</v>
      </c>
      <c r="D190" s="8" t="s">
        <v>2320</v>
      </c>
      <c r="E190" s="6" t="s">
        <v>416</v>
      </c>
      <c r="F190" s="12" t="str">
        <f>IFERROR(__xludf.DUMMYFUNCTION("GOOGLETRANSLATE(B190,""zh_cn"",""vi"")"),"cấp bách")</f>
        <v>cấp bách</v>
      </c>
      <c r="G190" s="20" t="s">
        <v>2324</v>
      </c>
      <c r="I190" s="11" t="b">
        <f t="shared" si="2"/>
        <v>0</v>
      </c>
      <c r="K190" s="11" t="b">
        <f t="shared" si="3"/>
        <v>0</v>
      </c>
    </row>
    <row r="191" ht="22.5" customHeight="1">
      <c r="A191" s="12">
        <f t="shared" si="4"/>
        <v>689</v>
      </c>
      <c r="B191" s="6" t="s">
        <v>2325</v>
      </c>
      <c r="C191" s="7" t="str">
        <f t="shared" si="1"/>
        <v>🔊</v>
      </c>
      <c r="D191" s="8" t="s">
        <v>2326</v>
      </c>
      <c r="E191" s="6" t="s">
        <v>13</v>
      </c>
      <c r="F191" s="12" t="str">
        <f>IFERROR(__xludf.DUMMYFUNCTION("GOOGLETRANSLATE(B191,""zh_cn"",""vi"")"),"nhớ")</f>
        <v>nhớ</v>
      </c>
      <c r="G191" s="20" t="s">
        <v>2327</v>
      </c>
      <c r="I191" s="11" t="b">
        <f t="shared" si="2"/>
        <v>0</v>
      </c>
      <c r="K191" s="11" t="b">
        <f t="shared" si="3"/>
        <v>0</v>
      </c>
    </row>
    <row r="192" ht="22.5" customHeight="1">
      <c r="A192" s="12">
        <f t="shared" si="4"/>
        <v>690</v>
      </c>
      <c r="B192" s="6" t="s">
        <v>2328</v>
      </c>
      <c r="C192" s="7" t="str">
        <f t="shared" si="1"/>
        <v>🔊</v>
      </c>
      <c r="D192" s="8" t="s">
        <v>2326</v>
      </c>
      <c r="E192" s="6" t="s">
        <v>27</v>
      </c>
      <c r="F192" s="12" t="str">
        <f>IFERROR(__xludf.DUMMYFUNCTION("GOOGLETRANSLATE(B192,""zh_cn"",""vi"")"),"mùa")</f>
        <v>mùa</v>
      </c>
      <c r="G192" s="20" t="s">
        <v>2329</v>
      </c>
      <c r="I192" s="11" t="b">
        <f t="shared" si="2"/>
        <v>0</v>
      </c>
      <c r="K192" s="11" t="b">
        <f t="shared" si="3"/>
        <v>0</v>
      </c>
    </row>
    <row r="193" ht="22.5" customHeight="1">
      <c r="A193" s="12">
        <f t="shared" si="4"/>
        <v>691</v>
      </c>
      <c r="B193" s="6" t="s">
        <v>2330</v>
      </c>
      <c r="C193" s="7" t="str">
        <f t="shared" si="1"/>
        <v>🔊</v>
      </c>
      <c r="D193" s="8" t="s">
        <v>2331</v>
      </c>
      <c r="E193" s="6" t="s">
        <v>27</v>
      </c>
      <c r="F193" s="5" t="s">
        <v>2332</v>
      </c>
      <c r="G193" s="20" t="s">
        <v>2333</v>
      </c>
      <c r="I193" s="11" t="b">
        <f t="shared" si="2"/>
        <v>0</v>
      </c>
      <c r="K193" s="11" t="b">
        <f t="shared" si="3"/>
        <v>0</v>
      </c>
    </row>
    <row r="194" ht="22.5" customHeight="1">
      <c r="A194" s="12">
        <f t="shared" si="4"/>
        <v>692</v>
      </c>
      <c r="B194" s="6" t="s">
        <v>2334</v>
      </c>
      <c r="C194" s="7" t="str">
        <f t="shared" si="1"/>
        <v>🔊</v>
      </c>
      <c r="D194" s="8" t="s">
        <v>308</v>
      </c>
      <c r="E194" s="6" t="s">
        <v>13</v>
      </c>
      <c r="F194" s="12" t="str">
        <f>IFERROR(__xludf.DUMMYFUNCTION("GOOGLETRANSLATE(B194,""zh_cn"",""vi"")"),"thêm vào")</f>
        <v>thêm vào</v>
      </c>
      <c r="G194" s="20" t="s">
        <v>2335</v>
      </c>
      <c r="I194" s="11" t="b">
        <f t="shared" si="2"/>
        <v>0</v>
      </c>
      <c r="K194" s="11" t="b">
        <f t="shared" si="3"/>
        <v>0</v>
      </c>
    </row>
    <row r="195" ht="22.5" customHeight="1">
      <c r="A195" s="12">
        <f t="shared" si="4"/>
        <v>693</v>
      </c>
      <c r="B195" s="6" t="s">
        <v>2336</v>
      </c>
      <c r="C195" s="7" t="str">
        <f t="shared" si="1"/>
        <v>🔊</v>
      </c>
      <c r="D195" s="8" t="s">
        <v>2337</v>
      </c>
      <c r="E195" s="6" t="s">
        <v>13</v>
      </c>
      <c r="F195" s="5" t="s">
        <v>2338</v>
      </c>
      <c r="G195" s="20" t="s">
        <v>2339</v>
      </c>
      <c r="I195" s="11" t="b">
        <f t="shared" si="2"/>
        <v>0</v>
      </c>
      <c r="K195" s="11" t="b">
        <f t="shared" si="3"/>
        <v>0</v>
      </c>
    </row>
    <row r="196" ht="22.5" customHeight="1">
      <c r="A196" s="12">
        <f t="shared" si="4"/>
        <v>694</v>
      </c>
      <c r="B196" s="6" t="s">
        <v>2340</v>
      </c>
      <c r="C196" s="7" t="str">
        <f t="shared" si="1"/>
        <v>🔊</v>
      </c>
      <c r="D196" s="8" t="s">
        <v>2341</v>
      </c>
      <c r="E196" s="6" t="s">
        <v>13</v>
      </c>
      <c r="F196" s="5" t="s">
        <v>2342</v>
      </c>
      <c r="G196" s="20" t="s">
        <v>2343</v>
      </c>
      <c r="I196" s="11" t="b">
        <f t="shared" si="2"/>
        <v>0</v>
      </c>
      <c r="K196" s="11" t="b">
        <f t="shared" si="3"/>
        <v>0</v>
      </c>
    </row>
    <row r="197" ht="22.5" customHeight="1">
      <c r="A197" s="12">
        <f t="shared" si="4"/>
        <v>695</v>
      </c>
      <c r="B197" s="6" t="s">
        <v>2344</v>
      </c>
      <c r="C197" s="7" t="str">
        <f t="shared" si="1"/>
        <v>🔊</v>
      </c>
      <c r="D197" s="8" t="s">
        <v>2345</v>
      </c>
      <c r="E197" s="6" t="s">
        <v>99</v>
      </c>
      <c r="F197" s="12" t="str">
        <f>IFERROR(__xludf.DUMMYFUNCTION("GOOGLETRANSLATE(B197,""zh_cn"",""vi"")"),"Đơn giản")</f>
        <v>Đơn giản</v>
      </c>
      <c r="G197" s="20" t="s">
        <v>2346</v>
      </c>
      <c r="I197" s="11" t="b">
        <f t="shared" si="2"/>
        <v>0</v>
      </c>
      <c r="K197" s="11" t="b">
        <f t="shared" si="3"/>
        <v>0</v>
      </c>
    </row>
    <row r="198" ht="22.5" customHeight="1">
      <c r="A198" s="12">
        <f t="shared" si="4"/>
        <v>696</v>
      </c>
      <c r="B198" s="6" t="s">
        <v>2347</v>
      </c>
      <c r="C198" s="7" t="str">
        <f t="shared" si="1"/>
        <v>🔊</v>
      </c>
      <c r="D198" s="8" t="s">
        <v>2348</v>
      </c>
      <c r="E198" s="6" t="s">
        <v>13</v>
      </c>
      <c r="F198" s="5" t="s">
        <v>2349</v>
      </c>
      <c r="G198" s="20" t="s">
        <v>2350</v>
      </c>
      <c r="I198" s="11" t="b">
        <f t="shared" si="2"/>
        <v>0</v>
      </c>
      <c r="K198" s="11" t="b">
        <f t="shared" si="3"/>
        <v>0</v>
      </c>
    </row>
    <row r="199" ht="22.5" customHeight="1">
      <c r="A199" s="12">
        <f t="shared" si="4"/>
        <v>697</v>
      </c>
      <c r="B199" s="6" t="s">
        <v>2351</v>
      </c>
      <c r="C199" s="7" t="str">
        <f t="shared" si="1"/>
        <v>🔊</v>
      </c>
      <c r="D199" s="8" t="s">
        <v>2352</v>
      </c>
      <c r="E199" s="6" t="s">
        <v>99</v>
      </c>
      <c r="F199" s="12" t="str">
        <f>IFERROR(__xludf.DUMMYFUNCTION("GOOGLETRANSLATE(B199,""zh_cn"",""vi"")"),"khỏe mạnh")</f>
        <v>khỏe mạnh</v>
      </c>
      <c r="G199" s="20" t="s">
        <v>2353</v>
      </c>
      <c r="I199" s="11" t="b">
        <f t="shared" si="2"/>
        <v>0</v>
      </c>
      <c r="K199" s="11" t="b">
        <f t="shared" si="3"/>
        <v>0</v>
      </c>
    </row>
    <row r="200" ht="22.5" customHeight="1">
      <c r="A200" s="12">
        <f t="shared" si="4"/>
        <v>698</v>
      </c>
      <c r="B200" s="6" t="s">
        <v>2354</v>
      </c>
      <c r="C200" s="7" t="str">
        <f t="shared" si="1"/>
        <v>🔊</v>
      </c>
      <c r="D200" s="8" t="s">
        <v>2355</v>
      </c>
      <c r="E200" s="6" t="s">
        <v>13</v>
      </c>
      <c r="F200" s="5" t="s">
        <v>2356</v>
      </c>
      <c r="G200" s="20" t="s">
        <v>2357</v>
      </c>
      <c r="I200" s="11" t="b">
        <f t="shared" si="2"/>
        <v>0</v>
      </c>
      <c r="K200" s="11" t="b">
        <f t="shared" si="3"/>
        <v>0</v>
      </c>
    </row>
    <row r="201" ht="22.5" customHeight="1">
      <c r="A201" s="12">
        <f t="shared" si="4"/>
        <v>699</v>
      </c>
      <c r="B201" s="6" t="s">
        <v>2358</v>
      </c>
      <c r="C201" s="7" t="str">
        <f t="shared" si="1"/>
        <v>🔊</v>
      </c>
      <c r="D201" s="8" t="s">
        <v>2359</v>
      </c>
      <c r="E201" s="6" t="s">
        <v>13</v>
      </c>
      <c r="F201" s="12" t="str">
        <f>IFERROR(__xludf.DUMMYFUNCTION("GOOGLETRANSLATE(B201,""zh_cn"",""vi"")"),"Kiểm tra vé")</f>
        <v>Kiểm tra vé</v>
      </c>
      <c r="G201" s="20" t="s">
        <v>2360</v>
      </c>
      <c r="I201" s="11" t="b">
        <f t="shared" si="2"/>
        <v>0</v>
      </c>
      <c r="K201" s="11" t="b">
        <f t="shared" si="3"/>
        <v>0</v>
      </c>
    </row>
    <row r="202" ht="22.5" customHeight="1">
      <c r="A202" s="12">
        <f t="shared" si="4"/>
        <v>700</v>
      </c>
      <c r="B202" s="6" t="s">
        <v>2361</v>
      </c>
      <c r="C202" s="7" t="str">
        <f t="shared" si="1"/>
        <v>🔊</v>
      </c>
      <c r="D202" s="8" t="s">
        <v>2362</v>
      </c>
      <c r="E202" s="6" t="s">
        <v>47</v>
      </c>
      <c r="F202" s="5" t="s">
        <v>2363</v>
      </c>
      <c r="G202" s="20" t="s">
        <v>2364</v>
      </c>
      <c r="I202" s="11" t="b">
        <f t="shared" si="2"/>
        <v>0</v>
      </c>
      <c r="K202" s="11" t="b">
        <f t="shared" si="3"/>
        <v>0</v>
      </c>
    </row>
    <row r="203" ht="22.5" customHeight="1">
      <c r="A203" s="12">
        <f t="shared" si="4"/>
        <v>701</v>
      </c>
      <c r="B203" s="6" t="s">
        <v>2365</v>
      </c>
      <c r="C203" s="7" t="str">
        <f t="shared" si="1"/>
        <v>🔊</v>
      </c>
      <c r="D203" s="8" t="s">
        <v>2362</v>
      </c>
      <c r="E203" s="6" t="s">
        <v>27</v>
      </c>
      <c r="F203" s="12" t="str">
        <f>IFERROR(__xludf.DUMMYFUNCTION("GOOGLETRANSLATE(B203,""zh_cn"",""vi"")"),"chân")</f>
        <v>chân</v>
      </c>
      <c r="G203" s="20" t="s">
        <v>2366</v>
      </c>
      <c r="I203" s="11" t="b">
        <f t="shared" si="2"/>
        <v>0</v>
      </c>
      <c r="K203" s="11" t="b">
        <f t="shared" si="3"/>
        <v>0</v>
      </c>
    </row>
    <row r="204" ht="22.5" customHeight="1">
      <c r="A204" s="12">
        <f t="shared" si="4"/>
        <v>702</v>
      </c>
      <c r="B204" s="6" t="s">
        <v>2367</v>
      </c>
      <c r="C204" s="7" t="str">
        <f t="shared" si="1"/>
        <v>🔊</v>
      </c>
      <c r="D204" s="8" t="s">
        <v>2368</v>
      </c>
      <c r="E204" s="6" t="s">
        <v>27</v>
      </c>
      <c r="F204" s="12" t="str">
        <f>IFERROR(__xludf.DUMMYFUNCTION("GOOGLETRANSLATE(B204,""zh_cn"",""vi"")"),"ngày lễ")</f>
        <v>ngày lễ</v>
      </c>
      <c r="G204" s="20" t="s">
        <v>2369</v>
      </c>
      <c r="I204" s="11" t="b">
        <f t="shared" si="2"/>
        <v>0</v>
      </c>
      <c r="K204" s="11" t="b">
        <f t="shared" si="3"/>
        <v>0</v>
      </c>
    </row>
    <row r="205" ht="22.5" customHeight="1">
      <c r="A205" s="12">
        <f t="shared" si="4"/>
        <v>703</v>
      </c>
      <c r="B205" s="6" t="s">
        <v>2370</v>
      </c>
      <c r="C205" s="7" t="str">
        <f t="shared" si="1"/>
        <v>🔊</v>
      </c>
      <c r="D205" s="8" t="s">
        <v>2371</v>
      </c>
      <c r="E205" s="6" t="s">
        <v>2372</v>
      </c>
      <c r="F205" s="12" t="str">
        <f>IFERROR(__xludf.DUMMYFUNCTION("GOOGLETRANSLATE(B205,""zh_cn"",""vi"")"),"Lễ hội")</f>
        <v>Lễ hội</v>
      </c>
      <c r="G205" s="20" t="s">
        <v>2373</v>
      </c>
      <c r="I205" s="11" t="b">
        <f t="shared" si="2"/>
        <v>0</v>
      </c>
      <c r="K205" s="11" t="b">
        <f t="shared" si="3"/>
        <v>0</v>
      </c>
    </row>
    <row r="206" ht="22.5" customHeight="1">
      <c r="A206" s="12">
        <f t="shared" si="4"/>
        <v>704</v>
      </c>
      <c r="B206" s="6" t="s">
        <v>2374</v>
      </c>
      <c r="C206" s="7" t="str">
        <f t="shared" si="1"/>
        <v>🔊</v>
      </c>
      <c r="D206" s="8" t="s">
        <v>2375</v>
      </c>
      <c r="E206" s="6" t="s">
        <v>13</v>
      </c>
      <c r="F206" s="12" t="str">
        <f>IFERROR(__xludf.DUMMYFUNCTION("GOOGLETRANSLATE(B206,""zh_cn"",""vi"")"),"vay mượn")</f>
        <v>vay mượn</v>
      </c>
      <c r="G206" s="20" t="s">
        <v>2376</v>
      </c>
      <c r="I206" s="11" t="b">
        <f t="shared" si="2"/>
        <v>0</v>
      </c>
      <c r="K206" s="11" t="b">
        <f t="shared" si="3"/>
        <v>0</v>
      </c>
    </row>
    <row r="207" ht="22.5" customHeight="1">
      <c r="A207" s="12">
        <f t="shared" si="4"/>
        <v>705</v>
      </c>
      <c r="B207" s="6" t="s">
        <v>2377</v>
      </c>
      <c r="C207" s="7" t="str">
        <f t="shared" si="1"/>
        <v>🔊</v>
      </c>
      <c r="D207" s="8" t="s">
        <v>2378</v>
      </c>
      <c r="E207" s="6" t="s">
        <v>13</v>
      </c>
      <c r="F207" s="5" t="s">
        <v>2379</v>
      </c>
      <c r="G207" s="20" t="s">
        <v>2380</v>
      </c>
      <c r="I207" s="11" t="b">
        <f t="shared" si="2"/>
        <v>0</v>
      </c>
      <c r="K207" s="11" t="b">
        <f t="shared" si="3"/>
        <v>0</v>
      </c>
    </row>
    <row r="208" ht="22.5" customHeight="1">
      <c r="A208" s="12">
        <f t="shared" si="4"/>
        <v>706</v>
      </c>
      <c r="B208" s="6" t="s">
        <v>2381</v>
      </c>
      <c r="C208" s="7" t="str">
        <f t="shared" si="1"/>
        <v>🔊</v>
      </c>
      <c r="D208" s="8" t="s">
        <v>2378</v>
      </c>
      <c r="E208" s="6" t="s">
        <v>27</v>
      </c>
      <c r="F208" s="12" t="str">
        <f>IFERROR(__xludf.DUMMYFUNCTION("GOOGLETRANSLATE(B208,""zh_cn"",""vi"")"),"đường phố")</f>
        <v>đường phố</v>
      </c>
      <c r="G208" s="20" t="s">
        <v>2382</v>
      </c>
      <c r="I208" s="11" t="b">
        <f t="shared" si="2"/>
        <v>0</v>
      </c>
      <c r="K208" s="11" t="b">
        <f t="shared" si="3"/>
        <v>0</v>
      </c>
    </row>
    <row r="209" ht="22.5" customHeight="1">
      <c r="A209" s="12">
        <f t="shared" si="4"/>
        <v>707</v>
      </c>
      <c r="B209" s="6" t="s">
        <v>2383</v>
      </c>
      <c r="C209" s="7" t="str">
        <f t="shared" si="1"/>
        <v>🔊</v>
      </c>
      <c r="D209" s="8" t="s">
        <v>2384</v>
      </c>
      <c r="E209" s="6" t="s">
        <v>13</v>
      </c>
      <c r="F209" s="12" t="str">
        <f>IFERROR(__xludf.DUMMYFUNCTION("GOOGLETRANSLATE(B209,""zh_cn"",""vi"")"),"kết hôn")</f>
        <v>kết hôn</v>
      </c>
      <c r="G209" s="20" t="s">
        <v>2385</v>
      </c>
      <c r="I209" s="11" t="b">
        <f t="shared" si="2"/>
        <v>0</v>
      </c>
      <c r="K209" s="11" t="b">
        <f t="shared" si="3"/>
        <v>0</v>
      </c>
    </row>
    <row r="210" ht="22.5" customHeight="1">
      <c r="A210" s="12">
        <f t="shared" si="4"/>
        <v>708</v>
      </c>
      <c r="B210" s="6" t="s">
        <v>2386</v>
      </c>
      <c r="C210" s="7" t="str">
        <f t="shared" si="1"/>
        <v>🔊</v>
      </c>
      <c r="D210" s="8" t="s">
        <v>2387</v>
      </c>
      <c r="E210" s="6" t="s">
        <v>13</v>
      </c>
      <c r="F210" s="12" t="str">
        <f>IFERROR(__xludf.DUMMYFUNCTION("GOOGLETRANSLATE(B210,""zh_cn"",""vi"")"),"gỡ rối")</f>
        <v>gỡ rối</v>
      </c>
      <c r="G210" s="20" t="s">
        <v>2388</v>
      </c>
      <c r="I210" s="11" t="b">
        <f t="shared" si="2"/>
        <v>0</v>
      </c>
      <c r="K210" s="11" t="b">
        <f t="shared" si="3"/>
        <v>0</v>
      </c>
    </row>
    <row r="211" ht="22.5" customHeight="1">
      <c r="A211" s="12">
        <f t="shared" si="4"/>
        <v>709</v>
      </c>
      <c r="B211" s="6" t="s">
        <v>2389</v>
      </c>
      <c r="C211" s="7" t="str">
        <f t="shared" si="1"/>
        <v>🔊</v>
      </c>
      <c r="D211" s="8" t="s">
        <v>2390</v>
      </c>
      <c r="E211" s="6" t="s">
        <v>27</v>
      </c>
      <c r="F211" s="12" t="str">
        <f>IFERROR(__xludf.DUMMYFUNCTION("GOOGLETRANSLATE(B211,""zh_cn"",""vi"")"),"chị em gái")</f>
        <v>chị em gái</v>
      </c>
      <c r="G211" s="20" t="s">
        <v>2391</v>
      </c>
      <c r="I211" s="11" t="b">
        <f t="shared" si="2"/>
        <v>0</v>
      </c>
      <c r="K211" s="11" t="b">
        <f t="shared" si="3"/>
        <v>0</v>
      </c>
    </row>
    <row r="212" ht="22.5" customHeight="1">
      <c r="A212" s="12">
        <f t="shared" si="4"/>
        <v>710</v>
      </c>
      <c r="B212" s="6" t="s">
        <v>2392</v>
      </c>
      <c r="C212" s="7" t="str">
        <f t="shared" si="1"/>
        <v>🔊</v>
      </c>
      <c r="D212" s="8" t="s">
        <v>2393</v>
      </c>
      <c r="E212" s="6" t="s">
        <v>27</v>
      </c>
      <c r="F212" s="12" t="str">
        <f>IFERROR(__xludf.DUMMYFUNCTION("GOOGLETRANSLATE(B212,""zh_cn"",""vi"")"),"chương trình")</f>
        <v>chương trình</v>
      </c>
      <c r="G212" s="20" t="s">
        <v>2394</v>
      </c>
      <c r="I212" s="11" t="b">
        <f t="shared" si="2"/>
        <v>0</v>
      </c>
      <c r="K212" s="11" t="b">
        <f t="shared" si="3"/>
        <v>0</v>
      </c>
    </row>
    <row r="213" ht="22.5" customHeight="1">
      <c r="A213" s="12">
        <f t="shared" si="4"/>
        <v>711</v>
      </c>
      <c r="B213" s="6" t="s">
        <v>2395</v>
      </c>
      <c r="C213" s="7" t="str">
        <f t="shared" si="1"/>
        <v>🔊</v>
      </c>
      <c r="D213" s="8" t="s">
        <v>2396</v>
      </c>
      <c r="E213" s="6" t="s">
        <v>27</v>
      </c>
      <c r="F213" s="5" t="s">
        <v>2397</v>
      </c>
      <c r="G213" s="20" t="s">
        <v>2398</v>
      </c>
      <c r="I213" s="11" t="b">
        <f t="shared" si="2"/>
        <v>0</v>
      </c>
      <c r="K213" s="11" t="b">
        <f t="shared" si="3"/>
        <v>0</v>
      </c>
    </row>
    <row r="214" ht="22.5" customHeight="1">
      <c r="A214" s="12">
        <f t="shared" si="4"/>
        <v>712</v>
      </c>
      <c r="B214" s="6" t="s">
        <v>2399</v>
      </c>
      <c r="C214" s="7" t="str">
        <f t="shared" si="1"/>
        <v>🔊</v>
      </c>
      <c r="D214" s="8" t="s">
        <v>2400</v>
      </c>
      <c r="E214" s="6" t="s">
        <v>13</v>
      </c>
      <c r="F214" s="5" t="s">
        <v>2401</v>
      </c>
      <c r="G214" s="20" t="s">
        <v>2402</v>
      </c>
      <c r="I214" s="11" t="b">
        <f t="shared" si="2"/>
        <v>0</v>
      </c>
      <c r="K214" s="11" t="b">
        <f t="shared" si="3"/>
        <v>0</v>
      </c>
    </row>
    <row r="215" ht="22.5" customHeight="1">
      <c r="A215" s="12">
        <f t="shared" si="4"/>
        <v>713</v>
      </c>
      <c r="B215" s="6" t="s">
        <v>2403</v>
      </c>
      <c r="C215" s="7" t="str">
        <f t="shared" si="1"/>
        <v>🔊</v>
      </c>
      <c r="D215" s="8" t="s">
        <v>2404</v>
      </c>
      <c r="E215" s="6" t="s">
        <v>61</v>
      </c>
      <c r="F215" s="5" t="s">
        <v>2405</v>
      </c>
      <c r="G215" s="20" t="s">
        <v>2406</v>
      </c>
      <c r="I215" s="11" t="b">
        <f t="shared" si="2"/>
        <v>0</v>
      </c>
      <c r="K215" s="11" t="b">
        <f t="shared" si="3"/>
        <v>0</v>
      </c>
    </row>
    <row r="216" ht="22.5" customHeight="1">
      <c r="A216" s="12">
        <f t="shared" si="4"/>
        <v>714</v>
      </c>
      <c r="B216" s="6" t="s">
        <v>2407</v>
      </c>
      <c r="C216" s="7" t="str">
        <f t="shared" si="1"/>
        <v>🔊</v>
      </c>
      <c r="D216" s="8" t="s">
        <v>2408</v>
      </c>
      <c r="E216" s="6" t="s">
        <v>27</v>
      </c>
      <c r="F216" s="12" t="str">
        <f>IFERROR(__xludf.DUMMYFUNCTION("GOOGLETRANSLATE(B216,""zh_cn"",""vi"")"),"Cơ hội")</f>
        <v>Cơ hội</v>
      </c>
      <c r="G216" s="20" t="s">
        <v>2409</v>
      </c>
      <c r="I216" s="11" t="b">
        <f t="shared" si="2"/>
        <v>0</v>
      </c>
      <c r="K216" s="11" t="b">
        <f t="shared" si="3"/>
        <v>0</v>
      </c>
    </row>
    <row r="217" ht="22.5" customHeight="1">
      <c r="A217" s="12">
        <f t="shared" si="4"/>
        <v>715</v>
      </c>
      <c r="B217" s="6" t="s">
        <v>2410</v>
      </c>
      <c r="C217" s="7" t="str">
        <f t="shared" si="1"/>
        <v>🔊</v>
      </c>
      <c r="D217" s="8" t="s">
        <v>2411</v>
      </c>
      <c r="E217" s="6" t="s">
        <v>27</v>
      </c>
      <c r="F217" s="5" t="s">
        <v>2412</v>
      </c>
      <c r="G217" s="20" t="s">
        <v>2413</v>
      </c>
      <c r="I217" s="11" t="b">
        <f t="shared" si="2"/>
        <v>0</v>
      </c>
      <c r="K217" s="11" t="b">
        <f t="shared" si="3"/>
        <v>0</v>
      </c>
    </row>
    <row r="218" ht="22.5" customHeight="1">
      <c r="A218" s="12">
        <f t="shared" si="4"/>
        <v>716</v>
      </c>
      <c r="B218" s="6" t="s">
        <v>2414</v>
      </c>
      <c r="C218" s="7" t="str">
        <f t="shared" si="1"/>
        <v>🔊</v>
      </c>
      <c r="D218" s="8" t="s">
        <v>2415</v>
      </c>
      <c r="E218" s="6" t="s">
        <v>47</v>
      </c>
      <c r="F218" s="5" t="s">
        <v>2416</v>
      </c>
      <c r="G218" s="20" t="s">
        <v>2417</v>
      </c>
      <c r="I218" s="11" t="b">
        <f t="shared" si="2"/>
        <v>0</v>
      </c>
      <c r="K218" s="11" t="b">
        <f t="shared" si="3"/>
        <v>0</v>
      </c>
    </row>
    <row r="219" ht="22.5" customHeight="1">
      <c r="A219" s="12">
        <f t="shared" si="4"/>
        <v>717</v>
      </c>
      <c r="B219" s="6" t="s">
        <v>2418</v>
      </c>
      <c r="C219" s="7" t="str">
        <f t="shared" si="1"/>
        <v>🔊</v>
      </c>
      <c r="D219" s="8" t="s">
        <v>2419</v>
      </c>
      <c r="E219" s="6" t="s">
        <v>232</v>
      </c>
      <c r="F219" s="12" t="str">
        <f>IFERROR(__xludf.DUMMYFUNCTION("GOOGLETRANSLATE(B219,""zh_cn"",""vi"")"),"đi qua")</f>
        <v>đi qua</v>
      </c>
      <c r="G219" s="20" t="s">
        <v>2420</v>
      </c>
      <c r="I219" s="11" t="b">
        <f t="shared" si="2"/>
        <v>0</v>
      </c>
      <c r="K219" s="11" t="b">
        <f t="shared" si="3"/>
        <v>0</v>
      </c>
    </row>
    <row r="220" ht="22.5" customHeight="1">
      <c r="A220" s="12">
        <f t="shared" si="4"/>
        <v>718</v>
      </c>
      <c r="B220" s="6" t="s">
        <v>2421</v>
      </c>
      <c r="C220" s="7" t="str">
        <f t="shared" si="1"/>
        <v>🔊</v>
      </c>
      <c r="D220" s="8" t="s">
        <v>2422</v>
      </c>
      <c r="E220" s="6" t="s">
        <v>27</v>
      </c>
      <c r="F220" s="12" t="str">
        <f>IFERROR(__xludf.DUMMYFUNCTION("GOOGLETRANSLATE(B220,""zh_cn"",""vi"")"),"giám đốc")</f>
        <v>giám đốc</v>
      </c>
      <c r="G220" s="20" t="s">
        <v>2423</v>
      </c>
      <c r="I220" s="11" t="b">
        <f t="shared" si="2"/>
        <v>0</v>
      </c>
      <c r="K220" s="11" t="b">
        <f t="shared" si="3"/>
        <v>0</v>
      </c>
    </row>
    <row r="221" ht="22.5" customHeight="1">
      <c r="A221" s="12">
        <f t="shared" si="4"/>
        <v>719</v>
      </c>
      <c r="B221" s="6" t="s">
        <v>2424</v>
      </c>
      <c r="C221" s="7" t="str">
        <f t="shared" si="1"/>
        <v>🔊</v>
      </c>
      <c r="D221" s="8" t="s">
        <v>1280</v>
      </c>
      <c r="E221" s="6" t="s">
        <v>99</v>
      </c>
      <c r="F221" s="12" t="str">
        <f>IFERROR(__xludf.DUMMYFUNCTION("GOOGLETRANSLATE(B221,""zh_cn"",""vi"")"),"cũ")</f>
        <v>cũ</v>
      </c>
      <c r="G221" s="20" t="s">
        <v>2425</v>
      </c>
      <c r="I221" s="11" t="b">
        <f t="shared" si="2"/>
        <v>0</v>
      </c>
      <c r="K221" s="11" t="b">
        <f t="shared" si="3"/>
        <v>0</v>
      </c>
    </row>
    <row r="222" ht="22.5" customHeight="1">
      <c r="A222" s="12">
        <f t="shared" si="4"/>
        <v>720</v>
      </c>
      <c r="B222" s="6" t="s">
        <v>2426</v>
      </c>
      <c r="C222" s="7" t="str">
        <f t="shared" si="1"/>
        <v>🔊</v>
      </c>
      <c r="D222" s="8" t="s">
        <v>342</v>
      </c>
      <c r="E222" s="6" t="s">
        <v>99</v>
      </c>
      <c r="F222" s="5" t="s">
        <v>2427</v>
      </c>
      <c r="G222" s="20" t="s">
        <v>2428</v>
      </c>
      <c r="I222" s="11" t="b">
        <f t="shared" si="2"/>
        <v>0</v>
      </c>
      <c r="K222" s="11" t="b">
        <f t="shared" si="3"/>
        <v>0</v>
      </c>
    </row>
    <row r="223" ht="22.5" customHeight="1">
      <c r="A223" s="12">
        <f t="shared" si="4"/>
        <v>721</v>
      </c>
      <c r="B223" s="6" t="s">
        <v>2429</v>
      </c>
      <c r="C223" s="7" t="str">
        <f t="shared" si="1"/>
        <v>🔊</v>
      </c>
      <c r="D223" s="8" t="s">
        <v>342</v>
      </c>
      <c r="E223" s="6" t="s">
        <v>27</v>
      </c>
      <c r="F223" s="12" t="str">
        <f>IFERROR(__xludf.DUMMYFUNCTION("GOOGLETRANSLATE(B223,""zh_cn"",""vi"")"),"rượu")</f>
        <v>rượu</v>
      </c>
      <c r="G223" s="20" t="s">
        <v>2430</v>
      </c>
      <c r="I223" s="11" t="b">
        <f t="shared" si="2"/>
        <v>0</v>
      </c>
      <c r="K223" s="11" t="b">
        <f t="shared" si="3"/>
        <v>0</v>
      </c>
    </row>
    <row r="224" ht="22.5" customHeight="1">
      <c r="A224" s="12">
        <f t="shared" si="4"/>
        <v>722</v>
      </c>
      <c r="B224" s="6" t="s">
        <v>2431</v>
      </c>
      <c r="C224" s="7" t="str">
        <f t="shared" si="1"/>
        <v>🔊</v>
      </c>
      <c r="D224" s="8" t="s">
        <v>2432</v>
      </c>
      <c r="E224" s="6" t="s">
        <v>47</v>
      </c>
      <c r="F224" s="12" t="str">
        <f>IFERROR(__xludf.DUMMYFUNCTION("GOOGLETRANSLATE(B224,""zh_cn"",""vi"")"),"câu")</f>
        <v>câu</v>
      </c>
      <c r="G224" s="20" t="s">
        <v>2433</v>
      </c>
      <c r="I224" s="11" t="b">
        <f t="shared" si="2"/>
        <v>0</v>
      </c>
      <c r="K224" s="11" t="b">
        <f t="shared" si="3"/>
        <v>0</v>
      </c>
    </row>
    <row r="225" ht="22.5" customHeight="1">
      <c r="A225" s="12">
        <f t="shared" si="4"/>
        <v>723</v>
      </c>
      <c r="B225" s="6" t="s">
        <v>2434</v>
      </c>
      <c r="C225" s="7" t="str">
        <f t="shared" si="1"/>
        <v>🔊</v>
      </c>
      <c r="D225" s="8" t="s">
        <v>2435</v>
      </c>
      <c r="E225" s="6" t="s">
        <v>232</v>
      </c>
      <c r="F225" s="12" t="str">
        <f>IFERROR(__xludf.DUMMYFUNCTION("GOOGLETRANSLATE(B225,""zh_cn"",""vi"")"),"Quyết định")</f>
        <v>Quyết định</v>
      </c>
      <c r="G225" s="20" t="s">
        <v>2436</v>
      </c>
      <c r="I225" s="11" t="b">
        <f t="shared" si="2"/>
        <v>0</v>
      </c>
      <c r="K225" s="11" t="b">
        <f t="shared" si="3"/>
        <v>0</v>
      </c>
    </row>
    <row r="226" ht="22.5" customHeight="1">
      <c r="A226" s="12">
        <f t="shared" si="4"/>
        <v>724</v>
      </c>
      <c r="B226" s="6" t="s">
        <v>2437</v>
      </c>
      <c r="C226" s="7" t="str">
        <f t="shared" si="1"/>
        <v>🔊</v>
      </c>
      <c r="D226" s="8" t="s">
        <v>2438</v>
      </c>
      <c r="E226" s="6" t="s">
        <v>27</v>
      </c>
      <c r="F226" s="12" t="str">
        <f>IFERROR(__xludf.DUMMYFUNCTION("GOOGLETRANSLATE(B226,""zh_cn"",""vi"")"),"câu")</f>
        <v>câu</v>
      </c>
      <c r="G226" s="20" t="s">
        <v>2439</v>
      </c>
      <c r="I226" s="11" t="b">
        <f t="shared" si="2"/>
        <v>0</v>
      </c>
      <c r="K226" s="11" t="b">
        <f t="shared" si="3"/>
        <v>0</v>
      </c>
    </row>
    <row r="227" ht="22.5" customHeight="1">
      <c r="A227" s="12">
        <f t="shared" si="4"/>
        <v>725</v>
      </c>
      <c r="B227" s="6" t="s">
        <v>2440</v>
      </c>
      <c r="C227" s="7" t="str">
        <f t="shared" si="1"/>
        <v>🔊</v>
      </c>
      <c r="D227" s="8" t="s">
        <v>2441</v>
      </c>
      <c r="E227" s="6" t="s">
        <v>27</v>
      </c>
      <c r="F227" s="12" t="str">
        <f>IFERROR(__xludf.DUMMYFUNCTION("GOOGLETRANSLATE(B227,""zh_cn"",""vi"")"),"Thẻ")</f>
        <v>Thẻ</v>
      </c>
      <c r="G227" s="20" t="s">
        <v>2442</v>
      </c>
      <c r="I227" s="11" t="b">
        <f t="shared" si="2"/>
        <v>0</v>
      </c>
      <c r="K227" s="11" t="b">
        <f t="shared" si="3"/>
        <v>0</v>
      </c>
    </row>
    <row r="228" ht="22.5" customHeight="1">
      <c r="A228" s="12">
        <f t="shared" si="4"/>
        <v>726</v>
      </c>
      <c r="B228" s="6" t="s">
        <v>2443</v>
      </c>
      <c r="C228" s="7" t="str">
        <f t="shared" si="1"/>
        <v>🔊</v>
      </c>
      <c r="D228" s="8" t="s">
        <v>2444</v>
      </c>
      <c r="E228" s="6" t="s">
        <v>13</v>
      </c>
      <c r="F228" s="12" t="str">
        <f>IFERROR(__xludf.DUMMYFUNCTION("GOOGLETRANSLATE(B228,""zh_cn"",""vi"")"),"ra hoa")</f>
        <v>ra hoa</v>
      </c>
      <c r="G228" s="20" t="s">
        <v>2445</v>
      </c>
      <c r="I228" s="11" t="b">
        <f t="shared" si="2"/>
        <v>0</v>
      </c>
      <c r="K228" s="11" t="b">
        <f t="shared" si="3"/>
        <v>0</v>
      </c>
    </row>
    <row r="229" ht="22.5" customHeight="1">
      <c r="A229" s="12">
        <f t="shared" si="4"/>
        <v>727</v>
      </c>
      <c r="B229" s="6" t="s">
        <v>2446</v>
      </c>
      <c r="C229" s="7" t="str">
        <f t="shared" si="1"/>
        <v>🔊</v>
      </c>
      <c r="D229" s="8" t="s">
        <v>2447</v>
      </c>
      <c r="E229" s="6" t="s">
        <v>13</v>
      </c>
      <c r="F229" s="12" t="str">
        <f>IFERROR(__xludf.DUMMYFUNCTION("GOOGLETRANSLATE(B229,""zh_cn"",""vi"")"),"Cuộc họp")</f>
        <v>Cuộc họp</v>
      </c>
      <c r="G229" s="20" t="s">
        <v>2448</v>
      </c>
      <c r="I229" s="11" t="b">
        <f t="shared" si="2"/>
        <v>0</v>
      </c>
      <c r="K229" s="11" t="b">
        <f t="shared" si="3"/>
        <v>0</v>
      </c>
    </row>
    <row r="230" ht="22.5" customHeight="1">
      <c r="A230" s="12">
        <f t="shared" si="4"/>
        <v>728</v>
      </c>
      <c r="B230" s="6" t="s">
        <v>2449</v>
      </c>
      <c r="C230" s="7" t="str">
        <f t="shared" si="1"/>
        <v>🔊</v>
      </c>
      <c r="D230" s="8" t="s">
        <v>2450</v>
      </c>
      <c r="E230" s="6" t="s">
        <v>13</v>
      </c>
      <c r="F230" s="12" t="str">
        <f>IFERROR(__xludf.DUMMYFUNCTION("GOOGLETRANSLATE(B230,""zh_cn"",""vi"")"),"Bật nguồn")</f>
        <v>Bật nguồn</v>
      </c>
      <c r="G230" s="20" t="s">
        <v>2451</v>
      </c>
      <c r="I230" s="11" t="b">
        <f t="shared" si="2"/>
        <v>0</v>
      </c>
      <c r="K230" s="11" t="b">
        <f t="shared" si="3"/>
        <v>0</v>
      </c>
    </row>
    <row r="231" ht="22.5" customHeight="1">
      <c r="A231" s="12">
        <f t="shared" si="4"/>
        <v>729</v>
      </c>
      <c r="B231" s="6" t="s">
        <v>2452</v>
      </c>
      <c r="C231" s="7" t="str">
        <f t="shared" si="1"/>
        <v>🔊</v>
      </c>
      <c r="D231" s="8" t="s">
        <v>2453</v>
      </c>
      <c r="E231" s="6" t="s">
        <v>99</v>
      </c>
      <c r="F231" s="12" t="str">
        <f>IFERROR(__xludf.DUMMYFUNCTION("GOOGLETRANSLATE(B231,""zh_cn"",""vi"")"),"vui mừng")</f>
        <v>vui mừng</v>
      </c>
      <c r="G231" s="20" t="s">
        <v>2454</v>
      </c>
      <c r="I231" s="11" t="b">
        <f t="shared" si="2"/>
        <v>0</v>
      </c>
      <c r="K231" s="11" t="b">
        <f t="shared" si="3"/>
        <v>0</v>
      </c>
    </row>
    <row r="232" ht="22.5" customHeight="1">
      <c r="A232" s="12">
        <f t="shared" si="4"/>
        <v>730</v>
      </c>
      <c r="B232" s="6" t="s">
        <v>2455</v>
      </c>
      <c r="C232" s="7" t="str">
        <f t="shared" si="1"/>
        <v>🔊</v>
      </c>
      <c r="D232" s="8" t="s">
        <v>2456</v>
      </c>
      <c r="E232" s="6" t="s">
        <v>13</v>
      </c>
      <c r="F232" s="5" t="s">
        <v>2457</v>
      </c>
      <c r="G232" s="20" t="s">
        <v>2458</v>
      </c>
      <c r="I232" s="11" t="b">
        <f t="shared" si="2"/>
        <v>0</v>
      </c>
      <c r="K232" s="11" t="b">
        <f t="shared" si="3"/>
        <v>0</v>
      </c>
    </row>
    <row r="233" ht="22.5" customHeight="1">
      <c r="A233" s="12">
        <f t="shared" si="4"/>
        <v>731</v>
      </c>
      <c r="B233" s="6" t="s">
        <v>2459</v>
      </c>
      <c r="C233" s="7" t="str">
        <f t="shared" si="1"/>
        <v>🔊</v>
      </c>
      <c r="D233" s="8" t="s">
        <v>363</v>
      </c>
      <c r="E233" s="6" t="s">
        <v>2129</v>
      </c>
      <c r="F233" s="5" t="s">
        <v>2460</v>
      </c>
      <c r="G233" s="20" t="s">
        <v>2461</v>
      </c>
      <c r="I233" s="11" t="b">
        <f t="shared" si="2"/>
        <v>0</v>
      </c>
      <c r="K233" s="11" t="b">
        <f t="shared" si="3"/>
        <v>0</v>
      </c>
    </row>
    <row r="234" ht="22.5" customHeight="1">
      <c r="A234" s="12">
        <f t="shared" si="4"/>
        <v>732</v>
      </c>
      <c r="B234" s="6" t="s">
        <v>2462</v>
      </c>
      <c r="C234" s="7" t="str">
        <f t="shared" si="1"/>
        <v>🔊</v>
      </c>
      <c r="D234" s="8" t="s">
        <v>2463</v>
      </c>
      <c r="E234" s="6" t="s">
        <v>1128</v>
      </c>
      <c r="F234" s="12" t="str">
        <f>IFERROR(__xludf.DUMMYFUNCTION("GOOGLETRANSLATE(B234,""zh_cn"",""vi"")"),"Có thể")</f>
        <v>Có thể</v>
      </c>
      <c r="G234" s="20" t="s">
        <v>2464</v>
      </c>
      <c r="I234" s="11" t="b">
        <f t="shared" si="2"/>
        <v>0</v>
      </c>
      <c r="K234" s="11" t="b">
        <f t="shared" si="3"/>
        <v>0</v>
      </c>
    </row>
    <row r="235" ht="22.5" customHeight="1">
      <c r="A235" s="12">
        <f t="shared" si="4"/>
        <v>733</v>
      </c>
      <c r="B235" s="6" t="s">
        <v>2465</v>
      </c>
      <c r="C235" s="7" t="str">
        <f t="shared" si="1"/>
        <v>🔊</v>
      </c>
      <c r="D235" s="8" t="s">
        <v>2463</v>
      </c>
      <c r="E235" s="6" t="s">
        <v>99</v>
      </c>
      <c r="F235" s="12" t="str">
        <f>IFERROR(__xludf.DUMMYFUNCTION("GOOGLETRANSLATE(B235,""zh_cn"",""vi"")"),"khát")</f>
        <v>khát</v>
      </c>
      <c r="G235" s="20" t="s">
        <v>2466</v>
      </c>
      <c r="I235" s="11" t="b">
        <f t="shared" si="2"/>
        <v>0</v>
      </c>
      <c r="K235" s="11" t="b">
        <f t="shared" si="3"/>
        <v>0</v>
      </c>
    </row>
    <row r="236" ht="22.5" customHeight="1">
      <c r="A236" s="12">
        <f t="shared" si="4"/>
        <v>734</v>
      </c>
      <c r="B236" s="6" t="s">
        <v>2467</v>
      </c>
      <c r="C236" s="7" t="str">
        <f t="shared" si="1"/>
        <v>🔊</v>
      </c>
      <c r="D236" s="8" t="s">
        <v>2468</v>
      </c>
      <c r="E236" s="6" t="s">
        <v>99</v>
      </c>
      <c r="F236" s="12" t="str">
        <f>IFERROR(__xludf.DUMMYFUNCTION("GOOGLETRANSLATE(B236,""zh_cn"",""vi"")"),"dễ thương")</f>
        <v>dễ thương</v>
      </c>
      <c r="G236" s="20" t="s">
        <v>2469</v>
      </c>
      <c r="I236" s="11" t="b">
        <f t="shared" si="2"/>
        <v>0</v>
      </c>
      <c r="K236" s="11" t="b">
        <f t="shared" si="3"/>
        <v>0</v>
      </c>
    </row>
    <row r="237" ht="22.5" customHeight="1">
      <c r="A237" s="12">
        <f t="shared" si="4"/>
        <v>735</v>
      </c>
      <c r="B237" s="6" t="s">
        <v>2470</v>
      </c>
      <c r="C237" s="7" t="str">
        <f t="shared" si="1"/>
        <v>🔊</v>
      </c>
      <c r="D237" s="8" t="s">
        <v>2471</v>
      </c>
      <c r="E237" s="6" t="s">
        <v>27</v>
      </c>
      <c r="F237" s="12" t="str">
        <f>IFERROR(__xludf.DUMMYFUNCTION("GOOGLETRANSLATE(B237,""zh_cn"",""vi"")"),"sách giáo khoa")</f>
        <v>sách giáo khoa</v>
      </c>
      <c r="G237" s="20" t="s">
        <v>2472</v>
      </c>
      <c r="I237" s="11" t="b">
        <f t="shared" si="2"/>
        <v>0</v>
      </c>
      <c r="K237" s="11" t="b">
        <f t="shared" si="3"/>
        <v>0</v>
      </c>
    </row>
    <row r="238" ht="22.5" customHeight="1">
      <c r="A238" s="12">
        <f t="shared" si="4"/>
        <v>736</v>
      </c>
      <c r="B238" s="6" t="s">
        <v>2473</v>
      </c>
      <c r="C238" s="7" t="str">
        <f t="shared" si="1"/>
        <v>🔊</v>
      </c>
      <c r="D238" s="8" t="s">
        <v>2474</v>
      </c>
      <c r="E238" s="6" t="s">
        <v>27</v>
      </c>
      <c r="F238" s="12" t="str">
        <f>IFERROR(__xludf.DUMMYFUNCTION("GOOGLETRANSLATE(B238,""zh_cn"",""vi"")"),"khách mời")</f>
        <v>khách mời</v>
      </c>
      <c r="G238" s="20" t="s">
        <v>2475</v>
      </c>
      <c r="I238" s="11" t="b">
        <f t="shared" si="2"/>
        <v>0</v>
      </c>
      <c r="K238" s="11" t="b">
        <f t="shared" si="3"/>
        <v>0</v>
      </c>
    </row>
    <row r="239" ht="22.5" customHeight="1">
      <c r="A239" s="12">
        <f t="shared" si="4"/>
        <v>737</v>
      </c>
      <c r="B239" s="6" t="s">
        <v>2476</v>
      </c>
      <c r="C239" s="7" t="str">
        <f t="shared" si="1"/>
        <v>🔊</v>
      </c>
      <c r="D239" s="8" t="s">
        <v>2477</v>
      </c>
      <c r="E239" s="6" t="s">
        <v>1132</v>
      </c>
      <c r="F239" s="12" t="str">
        <f>IFERROR(__xludf.DUMMYFUNCTION("GOOGLETRANSLATE(B239,""zh_cn"",""vi"")"),"Nhưng")</f>
        <v>Nhưng</v>
      </c>
      <c r="G239" s="20" t="s">
        <v>2478</v>
      </c>
      <c r="I239" s="11" t="b">
        <f t="shared" si="2"/>
        <v>0</v>
      </c>
      <c r="K239" s="11" t="b">
        <f t="shared" si="3"/>
        <v>0</v>
      </c>
    </row>
    <row r="240" ht="22.5" customHeight="1">
      <c r="A240" s="12">
        <f t="shared" si="4"/>
        <v>738</v>
      </c>
      <c r="B240" s="6" t="s">
        <v>2479</v>
      </c>
      <c r="C240" s="7" t="str">
        <f t="shared" si="1"/>
        <v>🔊</v>
      </c>
      <c r="D240" s="8" t="s">
        <v>2480</v>
      </c>
      <c r="E240" s="6" t="s">
        <v>27</v>
      </c>
      <c r="F240" s="5" t="s">
        <v>2481</v>
      </c>
      <c r="G240" s="20" t="s">
        <v>2482</v>
      </c>
      <c r="I240" s="11" t="b">
        <f t="shared" si="2"/>
        <v>0</v>
      </c>
      <c r="K240" s="11" t="b">
        <f t="shared" si="3"/>
        <v>0</v>
      </c>
    </row>
    <row r="241" ht="22.5" customHeight="1">
      <c r="A241" s="12">
        <f t="shared" si="4"/>
        <v>739</v>
      </c>
      <c r="B241" s="6" t="s">
        <v>2483</v>
      </c>
      <c r="C241" s="7" t="str">
        <f t="shared" si="1"/>
        <v>🔊</v>
      </c>
      <c r="D241" s="8" t="s">
        <v>2484</v>
      </c>
      <c r="E241" s="6" t="s">
        <v>27</v>
      </c>
      <c r="F241" s="12" t="str">
        <f>IFERROR(__xludf.DUMMYFUNCTION("GOOGLETRANSLATE(B241,""zh_cn"",""vi"")"),"máy điều hòa không khí")</f>
        <v>máy điều hòa không khí</v>
      </c>
      <c r="G241" s="20" t="s">
        <v>2485</v>
      </c>
      <c r="I241" s="11" t="b">
        <f t="shared" si="2"/>
        <v>0</v>
      </c>
      <c r="K241" s="11" t="b">
        <f t="shared" si="3"/>
        <v>0</v>
      </c>
    </row>
    <row r="242" ht="22.5" customHeight="1">
      <c r="A242" s="12">
        <f t="shared" si="4"/>
        <v>740</v>
      </c>
      <c r="B242" s="6" t="s">
        <v>2486</v>
      </c>
      <c r="C242" s="7" t="str">
        <f t="shared" si="1"/>
        <v>🔊</v>
      </c>
      <c r="D242" s="8" t="s">
        <v>2487</v>
      </c>
      <c r="E242" s="6" t="s">
        <v>13</v>
      </c>
      <c r="F242" s="12" t="str">
        <f>IFERROR(__xludf.DUMMYFUNCTION("GOOGLETRANSLATE(B242,""zh_cn"",""vi"")"),"khóc")</f>
        <v>khóc</v>
      </c>
      <c r="G242" s="20" t="s">
        <v>2488</v>
      </c>
      <c r="I242" s="11" t="b">
        <f t="shared" si="2"/>
        <v>0</v>
      </c>
      <c r="K242" s="11" t="b">
        <f t="shared" si="3"/>
        <v>0</v>
      </c>
    </row>
    <row r="243" ht="22.5" customHeight="1">
      <c r="A243" s="12">
        <f t="shared" si="4"/>
        <v>741</v>
      </c>
      <c r="B243" s="6" t="s">
        <v>2489</v>
      </c>
      <c r="C243" s="7" t="str">
        <f t="shared" si="1"/>
        <v>🔊</v>
      </c>
      <c r="D243" s="8" t="s">
        <v>2490</v>
      </c>
      <c r="E243" s="6" t="s">
        <v>27</v>
      </c>
      <c r="F243" s="12" t="str">
        <f>IFERROR(__xludf.DUMMYFUNCTION("GOOGLETRANSLATE(B243,""zh_cn"",""vi"")"),"Đũa")</f>
        <v>Đũa</v>
      </c>
      <c r="G243" s="20" t="s">
        <v>2491</v>
      </c>
      <c r="I243" s="11" t="b">
        <f t="shared" si="2"/>
        <v>0</v>
      </c>
      <c r="K243" s="11" t="b">
        <f t="shared" si="3"/>
        <v>0</v>
      </c>
    </row>
    <row r="244" ht="22.5" customHeight="1">
      <c r="A244" s="12">
        <f t="shared" si="4"/>
        <v>742</v>
      </c>
      <c r="B244" s="6" t="s">
        <v>2492</v>
      </c>
      <c r="C244" s="7" t="str">
        <f t="shared" si="1"/>
        <v>🔊</v>
      </c>
      <c r="D244" s="8" t="s">
        <v>2493</v>
      </c>
      <c r="E244" s="6" t="s">
        <v>27</v>
      </c>
      <c r="F244" s="12" t="str">
        <f>IFERROR(__xludf.DUMMYFUNCTION("GOOGLETRANSLATE(B244,""zh_cn"",""vi"")"),"nước khoáng")</f>
        <v>nước khoáng</v>
      </c>
      <c r="G244" s="20" t="s">
        <v>2494</v>
      </c>
      <c r="I244" s="11" t="b">
        <f t="shared" si="2"/>
        <v>0</v>
      </c>
      <c r="K244" s="11" t="b">
        <f t="shared" si="3"/>
        <v>0</v>
      </c>
    </row>
    <row r="245" ht="22.5" customHeight="1">
      <c r="A245" s="12">
        <f t="shared" si="4"/>
        <v>743</v>
      </c>
      <c r="B245" s="6" t="s">
        <v>2495</v>
      </c>
      <c r="C245" s="7" t="str">
        <f t="shared" si="1"/>
        <v>🔊</v>
      </c>
      <c r="D245" s="8" t="s">
        <v>2496</v>
      </c>
      <c r="E245" s="6" t="s">
        <v>13</v>
      </c>
      <c r="F245" s="5" t="s">
        <v>2497</v>
      </c>
      <c r="G245" s="20" t="s">
        <v>2498</v>
      </c>
      <c r="I245" s="11" t="b">
        <f t="shared" si="2"/>
        <v>0</v>
      </c>
      <c r="K245" s="11" t="b">
        <f t="shared" si="3"/>
        <v>0</v>
      </c>
    </row>
    <row r="246" ht="22.5" customHeight="1">
      <c r="A246" s="12">
        <f t="shared" si="4"/>
        <v>744</v>
      </c>
      <c r="B246" s="6" t="s">
        <v>2499</v>
      </c>
      <c r="C246" s="7" t="str">
        <f t="shared" si="1"/>
        <v>🔊</v>
      </c>
      <c r="D246" s="8" t="s">
        <v>2500</v>
      </c>
      <c r="E246" s="6" t="s">
        <v>99</v>
      </c>
      <c r="F246" s="12" t="str">
        <f>IFERROR(__xludf.DUMMYFUNCTION("GOOGLETRANSLATE(B246,""zh_cn"",""vi"")"),"màu xanh da trời")</f>
        <v>màu xanh da trời</v>
      </c>
      <c r="G246" s="20" t="s">
        <v>2501</v>
      </c>
      <c r="I246" s="11" t="b">
        <f t="shared" si="2"/>
        <v>0</v>
      </c>
      <c r="K246" s="11" t="b">
        <f t="shared" si="3"/>
        <v>0</v>
      </c>
    </row>
    <row r="247" ht="22.5" customHeight="1">
      <c r="A247" s="12">
        <f t="shared" si="4"/>
        <v>745</v>
      </c>
      <c r="B247" s="6" t="s">
        <v>2502</v>
      </c>
      <c r="C247" s="7" t="str">
        <f t="shared" si="1"/>
        <v>🔊</v>
      </c>
      <c r="D247" s="8" t="s">
        <v>2503</v>
      </c>
      <c r="E247" s="6" t="s">
        <v>2504</v>
      </c>
      <c r="F247" s="5" t="s">
        <v>2505</v>
      </c>
      <c r="G247" s="20" t="s">
        <v>2506</v>
      </c>
      <c r="I247" s="11" t="b">
        <f t="shared" si="2"/>
        <v>0</v>
      </c>
      <c r="K247" s="11" t="b">
        <f t="shared" si="3"/>
        <v>0</v>
      </c>
    </row>
    <row r="248" ht="22.5" customHeight="1">
      <c r="A248" s="12">
        <f t="shared" si="4"/>
        <v>746</v>
      </c>
      <c r="B248" s="6" t="s">
        <v>2507</v>
      </c>
      <c r="C248" s="7" t="str">
        <f t="shared" si="1"/>
        <v>🔊</v>
      </c>
      <c r="D248" s="8" t="s">
        <v>2508</v>
      </c>
      <c r="E248" s="6" t="s">
        <v>27</v>
      </c>
      <c r="F248" s="5" t="s">
        <v>2509</v>
      </c>
      <c r="G248" s="20" t="s">
        <v>2510</v>
      </c>
      <c r="I248" s="11" t="b">
        <f t="shared" si="2"/>
        <v>0</v>
      </c>
      <c r="K248" s="11" t="b">
        <f t="shared" si="3"/>
        <v>0</v>
      </c>
    </row>
    <row r="249" ht="22.5" customHeight="1">
      <c r="A249" s="12">
        <f t="shared" si="4"/>
        <v>747</v>
      </c>
      <c r="B249" s="6" t="s">
        <v>2511</v>
      </c>
      <c r="C249" s="7" t="str">
        <f t="shared" si="1"/>
        <v>🔊</v>
      </c>
      <c r="D249" s="8" t="s">
        <v>2512</v>
      </c>
      <c r="E249" s="6" t="s">
        <v>13</v>
      </c>
      <c r="F249" s="12" t="str">
        <f>IFERROR(__xludf.DUMMYFUNCTION("GOOGLETRANSLATE(B249,""zh_cn"",""vi"")"),"luyện tập")</f>
        <v>luyện tập</v>
      </c>
      <c r="G249" s="20" t="s">
        <v>2513</v>
      </c>
      <c r="I249" s="11" t="b">
        <f t="shared" si="2"/>
        <v>0</v>
      </c>
      <c r="K249" s="11" t="b">
        <f t="shared" si="3"/>
        <v>0</v>
      </c>
    </row>
    <row r="250" ht="22.5" customHeight="1">
      <c r="A250" s="12">
        <f t="shared" si="4"/>
        <v>748</v>
      </c>
      <c r="B250" s="6" t="s">
        <v>2514</v>
      </c>
      <c r="C250" s="7" t="str">
        <f t="shared" si="1"/>
        <v>🔊</v>
      </c>
      <c r="D250" s="8" t="s">
        <v>2515</v>
      </c>
      <c r="E250" s="6" t="s">
        <v>27</v>
      </c>
      <c r="F250" s="12" t="str">
        <f>IFERROR(__xludf.DUMMYFUNCTION("GOOGLETRANSLATE(B250,""zh_cn"",""vi"")"),"Khuôn mặt")</f>
        <v>Khuôn mặt</v>
      </c>
      <c r="G250" s="20" t="s">
        <v>2516</v>
      </c>
      <c r="I250" s="11" t="b">
        <f t="shared" si="2"/>
        <v>0</v>
      </c>
      <c r="K250" s="11" t="b">
        <f t="shared" si="3"/>
        <v>0</v>
      </c>
    </row>
    <row r="251" ht="22.5" customHeight="1">
      <c r="A251" s="12">
        <f t="shared" si="4"/>
        <v>749</v>
      </c>
      <c r="B251" s="6" t="s">
        <v>2517</v>
      </c>
      <c r="C251" s="7" t="str">
        <f t="shared" si="1"/>
        <v>🔊</v>
      </c>
      <c r="D251" s="8" t="s">
        <v>2518</v>
      </c>
      <c r="E251" s="6" t="s">
        <v>47</v>
      </c>
      <c r="F251" s="5" t="s">
        <v>2519</v>
      </c>
      <c r="G251" s="20" t="s">
        <v>2520</v>
      </c>
      <c r="I251" s="11" t="b">
        <f t="shared" si="2"/>
        <v>0</v>
      </c>
      <c r="K251" s="11" t="b">
        <f t="shared" si="3"/>
        <v>0</v>
      </c>
    </row>
    <row r="252" ht="22.5" customHeight="1">
      <c r="A252" s="12">
        <f t="shared" si="4"/>
        <v>750</v>
      </c>
      <c r="B252" s="6" t="s">
        <v>2521</v>
      </c>
      <c r="C252" s="7" t="str">
        <f t="shared" si="1"/>
        <v>🔊</v>
      </c>
      <c r="D252" s="8" t="s">
        <v>2522</v>
      </c>
      <c r="E252" s="6" t="s">
        <v>99</v>
      </c>
      <c r="F252" s="12" t="str">
        <f>IFERROR(__xludf.DUMMYFUNCTION("GOOGLETRANSLATE(B252,""zh_cn"",""vi"")"),"Mát mẻ")</f>
        <v>Mát mẻ</v>
      </c>
      <c r="G252" s="20" t="s">
        <v>2523</v>
      </c>
      <c r="I252" s="11" t="b">
        <f t="shared" si="2"/>
        <v>0</v>
      </c>
      <c r="K252" s="11" t="b">
        <f t="shared" si="3"/>
        <v>0</v>
      </c>
    </row>
    <row r="253" ht="22.5" customHeight="1">
      <c r="A253" s="12">
        <f t="shared" si="4"/>
        <v>751</v>
      </c>
      <c r="B253" s="6" t="s">
        <v>2524</v>
      </c>
      <c r="C253" s="7" t="str">
        <f t="shared" si="1"/>
        <v>🔊</v>
      </c>
      <c r="D253" s="8" t="s">
        <v>2525</v>
      </c>
      <c r="E253" s="6" t="s">
        <v>232</v>
      </c>
      <c r="F253" s="12" t="str">
        <f>IFERROR(__xludf.DUMMYFUNCTION("GOOGLETRANSLATE(B253,""zh_cn"",""vi"")"),"luyện tập")</f>
        <v>luyện tập</v>
      </c>
      <c r="G253" s="20" t="s">
        <v>2526</v>
      </c>
      <c r="I253" s="11" t="b">
        <f t="shared" si="2"/>
        <v>0</v>
      </c>
      <c r="K253" s="11" t="b">
        <f t="shared" si="3"/>
        <v>0</v>
      </c>
    </row>
    <row r="254" ht="22.5" customHeight="1">
      <c r="A254" s="12">
        <f t="shared" si="4"/>
        <v>752</v>
      </c>
      <c r="B254" s="6" t="s">
        <v>2527</v>
      </c>
      <c r="C254" s="7" t="str">
        <f t="shared" si="1"/>
        <v>🔊</v>
      </c>
      <c r="D254" s="8" t="s">
        <v>2528</v>
      </c>
      <c r="E254" s="6" t="s">
        <v>13</v>
      </c>
      <c r="F254" s="12" t="str">
        <f>IFERROR(__xludf.DUMMYFUNCTION("GOOGLETRANSLATE(B254,""zh_cn"",""vi"")"),"trò chuyện")</f>
        <v>trò chuyện</v>
      </c>
      <c r="G254" s="20" t="s">
        <v>2529</v>
      </c>
      <c r="I254" s="11" t="b">
        <f t="shared" si="2"/>
        <v>0</v>
      </c>
      <c r="K254" s="11" t="b">
        <f t="shared" si="3"/>
        <v>0</v>
      </c>
    </row>
    <row r="255" ht="22.5" customHeight="1">
      <c r="A255" s="12">
        <f t="shared" si="4"/>
        <v>753</v>
      </c>
      <c r="B255" s="6" t="s">
        <v>2530</v>
      </c>
      <c r="C255" s="7" t="str">
        <f t="shared" si="1"/>
        <v>🔊</v>
      </c>
      <c r="D255" s="8" t="s">
        <v>2531</v>
      </c>
      <c r="E255" s="6" t="s">
        <v>13</v>
      </c>
      <c r="F255" s="5" t="s">
        <v>2532</v>
      </c>
      <c r="G255" s="20" t="s">
        <v>2533</v>
      </c>
      <c r="I255" s="11" t="b">
        <f t="shared" si="2"/>
        <v>0</v>
      </c>
      <c r="K255" s="11" t="b">
        <f t="shared" si="3"/>
        <v>0</v>
      </c>
    </row>
    <row r="256" ht="22.5" customHeight="1">
      <c r="A256" s="12">
        <f t="shared" si="4"/>
        <v>754</v>
      </c>
      <c r="B256" s="6" t="s">
        <v>2534</v>
      </c>
      <c r="C256" s="7" t="str">
        <f t="shared" si="1"/>
        <v>🔊</v>
      </c>
      <c r="D256" s="8" t="s">
        <v>2535</v>
      </c>
      <c r="E256" s="6" t="s">
        <v>13</v>
      </c>
      <c r="F256" s="12" t="str">
        <f>IFERROR(__xludf.DUMMYFUNCTION("GOOGLETRANSLATE(B256,""zh_cn"",""vi"")"),"Trò chuyện")</f>
        <v>Trò chuyện</v>
      </c>
      <c r="G256" s="20" t="s">
        <v>2536</v>
      </c>
      <c r="I256" s="11" t="b">
        <f t="shared" si="2"/>
        <v>0</v>
      </c>
      <c r="K256" s="11" t="b">
        <f t="shared" si="3"/>
        <v>0</v>
      </c>
    </row>
    <row r="257" ht="22.5" customHeight="1">
      <c r="A257" s="12">
        <f t="shared" si="4"/>
        <v>755</v>
      </c>
      <c r="B257" s="6" t="s">
        <v>2537</v>
      </c>
      <c r="C257" s="7" t="str">
        <f t="shared" si="1"/>
        <v>🔊</v>
      </c>
      <c r="D257" s="8" t="s">
        <v>2538</v>
      </c>
      <c r="E257" s="6" t="s">
        <v>13</v>
      </c>
      <c r="F257" s="12" t="str">
        <f>IFERROR(__xludf.DUMMYFUNCTION("GOOGLETRANSLATE(B257,""zh_cn"",""vi"")"),"rời khỏi")</f>
        <v>rời khỏi</v>
      </c>
      <c r="G257" s="20" t="s">
        <v>2539</v>
      </c>
      <c r="I257" s="11" t="b">
        <f t="shared" si="2"/>
        <v>0</v>
      </c>
      <c r="K257" s="11" t="b">
        <f t="shared" si="3"/>
        <v>0</v>
      </c>
    </row>
    <row r="258" ht="22.5" customHeight="1">
      <c r="A258" s="12">
        <f t="shared" si="4"/>
        <v>756</v>
      </c>
      <c r="B258" s="6" t="s">
        <v>2540</v>
      </c>
      <c r="C258" s="7" t="str">
        <f t="shared" si="1"/>
        <v>🔊</v>
      </c>
      <c r="D258" s="8" t="s">
        <v>2541</v>
      </c>
      <c r="E258" s="6" t="s">
        <v>27</v>
      </c>
      <c r="F258" s="12" t="str">
        <f>IFERROR(__xludf.DUMMYFUNCTION("GOOGLETRANSLATE(B258,""zh_cn"",""vi"")"),"Hàng xóm")</f>
        <v>Hàng xóm</v>
      </c>
      <c r="G258" s="20" t="s">
        <v>2542</v>
      </c>
      <c r="I258" s="11" t="b">
        <f t="shared" si="2"/>
        <v>0</v>
      </c>
      <c r="K258" s="11" t="b">
        <f t="shared" si="3"/>
        <v>0</v>
      </c>
    </row>
    <row r="259" ht="22.5" customHeight="1">
      <c r="A259" s="12">
        <f t="shared" si="4"/>
        <v>757</v>
      </c>
      <c r="B259" s="6" t="s">
        <v>2543</v>
      </c>
      <c r="C259" s="7" t="str">
        <f t="shared" si="1"/>
        <v>🔊</v>
      </c>
      <c r="D259" s="8" t="s">
        <v>2544</v>
      </c>
      <c r="E259" s="6" t="s">
        <v>27</v>
      </c>
      <c r="F259" s="12" t="str">
        <f>IFERROR(__xludf.DUMMYFUNCTION("GOOGLETRANSLATE(B259,""zh_cn"",""vi"")"),"lịch sử")</f>
        <v>lịch sử</v>
      </c>
      <c r="G259" s="20" t="s">
        <v>2545</v>
      </c>
      <c r="I259" s="11" t="b">
        <f t="shared" si="2"/>
        <v>0</v>
      </c>
      <c r="K259" s="11" t="b">
        <f t="shared" si="3"/>
        <v>0</v>
      </c>
    </row>
    <row r="260" ht="22.5" customHeight="1">
      <c r="A260" s="12">
        <f t="shared" si="4"/>
        <v>758</v>
      </c>
      <c r="B260" s="6" t="s">
        <v>2546</v>
      </c>
      <c r="C260" s="7" t="str">
        <f t="shared" si="1"/>
        <v>🔊</v>
      </c>
      <c r="D260" s="8" t="s">
        <v>2547</v>
      </c>
      <c r="E260" s="6" t="s">
        <v>13</v>
      </c>
      <c r="F260" s="12" t="str">
        <f>IFERROR(__xludf.DUMMYFUNCTION("GOOGLETRANSLATE(B260,""zh_cn"",""vi"")"),"Du học")</f>
        <v>Du học</v>
      </c>
      <c r="G260" s="20" t="s">
        <v>2548</v>
      </c>
      <c r="I260" s="11" t="b">
        <f t="shared" si="2"/>
        <v>0</v>
      </c>
      <c r="K260" s="11" t="b">
        <f t="shared" si="3"/>
        <v>0</v>
      </c>
    </row>
    <row r="261" ht="22.5" customHeight="1">
      <c r="A261" s="12">
        <f t="shared" si="4"/>
        <v>759</v>
      </c>
      <c r="B261" s="6" t="s">
        <v>2549</v>
      </c>
      <c r="C261" s="7" t="str">
        <f t="shared" si="1"/>
        <v>🔊</v>
      </c>
      <c r="D261" s="8" t="s">
        <v>2550</v>
      </c>
      <c r="E261" s="6" t="s">
        <v>27</v>
      </c>
      <c r="F261" s="5" t="s">
        <v>2551</v>
      </c>
      <c r="G261" s="20" t="s">
        <v>2552</v>
      </c>
      <c r="I261" s="11" t="b">
        <f t="shared" si="2"/>
        <v>0</v>
      </c>
      <c r="K261" s="11" t="b">
        <f t="shared" si="3"/>
        <v>0</v>
      </c>
    </row>
    <row r="262" ht="22.5" customHeight="1">
      <c r="A262" s="12">
        <f t="shared" si="4"/>
        <v>760</v>
      </c>
      <c r="B262" s="6" t="s">
        <v>2553</v>
      </c>
      <c r="C262" s="7" t="str">
        <f t="shared" si="1"/>
        <v>🔊</v>
      </c>
      <c r="D262" s="8" t="s">
        <v>2554</v>
      </c>
      <c r="E262" s="6" t="s">
        <v>27</v>
      </c>
      <c r="F262" s="12" t="str">
        <f>IFERROR(__xludf.DUMMYFUNCTION("GOOGLETRANSLATE(B262,""zh_cn"",""vi"")"),"Quà")</f>
        <v>Quà</v>
      </c>
      <c r="G262" s="20" t="s">
        <v>2555</v>
      </c>
      <c r="I262" s="11" t="b">
        <f t="shared" si="2"/>
        <v>0</v>
      </c>
      <c r="K262" s="11" t="b">
        <f t="shared" si="3"/>
        <v>0</v>
      </c>
    </row>
    <row r="263" ht="22.5" customHeight="1">
      <c r="A263" s="12">
        <f t="shared" si="4"/>
        <v>761</v>
      </c>
      <c r="B263" s="6" t="s">
        <v>2556</v>
      </c>
      <c r="C263" s="7" t="str">
        <f t="shared" si="1"/>
        <v>🔊</v>
      </c>
      <c r="D263" s="8" t="s">
        <v>2557</v>
      </c>
      <c r="E263" s="6" t="s">
        <v>27</v>
      </c>
      <c r="F263" s="12" t="str">
        <f>IFERROR(__xludf.DUMMYFUNCTION("GOOGLETRANSLATE(B263,""zh_cn"",""vi"")"),"cầu thang")</f>
        <v>cầu thang</v>
      </c>
      <c r="G263" s="20" t="s">
        <v>2558</v>
      </c>
      <c r="I263" s="11" t="b">
        <f t="shared" si="2"/>
        <v>0</v>
      </c>
      <c r="K263" s="11" t="b">
        <f t="shared" si="3"/>
        <v>0</v>
      </c>
    </row>
    <row r="264" ht="22.5" customHeight="1">
      <c r="A264" s="12">
        <f t="shared" si="4"/>
        <v>762</v>
      </c>
      <c r="B264" s="6" t="s">
        <v>2559</v>
      </c>
      <c r="C264" s="7" t="str">
        <f t="shared" si="1"/>
        <v>🔊</v>
      </c>
      <c r="D264" s="8" t="s">
        <v>2560</v>
      </c>
      <c r="E264" s="6" t="s">
        <v>27</v>
      </c>
      <c r="F264" s="12" t="str">
        <f>IFERROR(__xludf.DUMMYFUNCTION("GOOGLETRANSLATE(B264,""zh_cn"",""vi"")"),"ven đường")</f>
        <v>ven đường</v>
      </c>
      <c r="G264" s="20" t="s">
        <v>2561</v>
      </c>
      <c r="I264" s="11" t="b">
        <f t="shared" si="2"/>
        <v>0</v>
      </c>
      <c r="K264" s="11" t="b">
        <f t="shared" si="3"/>
        <v>0</v>
      </c>
    </row>
    <row r="265" ht="22.5" customHeight="1">
      <c r="A265" s="12">
        <f t="shared" si="4"/>
        <v>763</v>
      </c>
      <c r="B265" s="6" t="s">
        <v>2562</v>
      </c>
      <c r="C265" s="7" t="str">
        <f t="shared" si="1"/>
        <v>🔊</v>
      </c>
      <c r="D265" s="8" t="s">
        <v>2563</v>
      </c>
      <c r="E265" s="6" t="s">
        <v>27</v>
      </c>
      <c r="F265" s="12" t="str">
        <f>IFERROR(__xludf.DUMMYFUNCTION("GOOGLETRANSLATE(B265,""zh_cn"",""vi"")"),"giao lộ")</f>
        <v>giao lộ</v>
      </c>
      <c r="G265" s="20" t="s">
        <v>2564</v>
      </c>
      <c r="I265" s="11" t="b">
        <f t="shared" si="2"/>
        <v>0</v>
      </c>
      <c r="K265" s="11" t="b">
        <f t="shared" si="3"/>
        <v>0</v>
      </c>
    </row>
    <row r="266" ht="22.5" customHeight="1">
      <c r="A266" s="12">
        <f t="shared" si="4"/>
        <v>764</v>
      </c>
      <c r="B266" s="6" t="s">
        <v>2565</v>
      </c>
      <c r="C266" s="7" t="str">
        <f t="shared" si="1"/>
        <v>🔊</v>
      </c>
      <c r="D266" s="8" t="s">
        <v>2566</v>
      </c>
      <c r="E266" s="6" t="s">
        <v>27</v>
      </c>
      <c r="F266" s="12" t="str">
        <f>IFERROR(__xludf.DUMMYFUNCTION("GOOGLETRANSLATE(B266,""zh_cn"",""vi"")"),"ngựa")</f>
        <v>ngựa</v>
      </c>
      <c r="G266" s="20" t="s">
        <v>2567</v>
      </c>
      <c r="I266" s="11" t="b">
        <f t="shared" si="2"/>
        <v>0</v>
      </c>
      <c r="K266" s="11" t="b">
        <f t="shared" si="3"/>
        <v>0</v>
      </c>
    </row>
    <row r="267" ht="22.5" customHeight="1">
      <c r="A267" s="12">
        <f t="shared" si="4"/>
        <v>765</v>
      </c>
      <c r="B267" s="6" t="s">
        <v>2568</v>
      </c>
      <c r="C267" s="7" t="str">
        <f t="shared" si="1"/>
        <v>🔊</v>
      </c>
      <c r="D267" s="8" t="s">
        <v>2569</v>
      </c>
      <c r="E267" s="6" t="s">
        <v>27</v>
      </c>
      <c r="F267" s="5" t="s">
        <v>2570</v>
      </c>
      <c r="G267" s="20" t="s">
        <v>2571</v>
      </c>
      <c r="I267" s="11" t="b">
        <f t="shared" si="2"/>
        <v>0</v>
      </c>
      <c r="K267" s="11" t="b">
        <f t="shared" si="3"/>
        <v>0</v>
      </c>
    </row>
    <row r="268" ht="22.5" customHeight="1">
      <c r="A268" s="12">
        <f t="shared" si="4"/>
        <v>766</v>
      </c>
      <c r="B268" s="6" t="s">
        <v>2572</v>
      </c>
      <c r="C268" s="7" t="str">
        <f t="shared" si="1"/>
        <v>🔊</v>
      </c>
      <c r="D268" s="8" t="s">
        <v>2573</v>
      </c>
      <c r="E268" s="6" t="s">
        <v>13</v>
      </c>
      <c r="F268" s="12" t="str">
        <f>IFERROR(__xludf.DUMMYFUNCTION("GOOGLETRANSLATE(B268,""zh_cn"",""vi"")"),"thỏa mãn")</f>
        <v>thỏa mãn</v>
      </c>
      <c r="G268" s="20" t="s">
        <v>2574</v>
      </c>
      <c r="I268" s="11" t="b">
        <f t="shared" si="2"/>
        <v>0</v>
      </c>
      <c r="K268" s="11" t="b">
        <f t="shared" si="3"/>
        <v>0</v>
      </c>
    </row>
    <row r="269" ht="22.5" customHeight="1">
      <c r="A269" s="12">
        <f t="shared" si="4"/>
        <v>767</v>
      </c>
      <c r="B269" s="6" t="s">
        <v>2575</v>
      </c>
      <c r="C269" s="7" t="str">
        <f t="shared" si="1"/>
        <v>🔊</v>
      </c>
      <c r="D269" s="8" t="s">
        <v>2576</v>
      </c>
      <c r="E269" s="6" t="s">
        <v>130</v>
      </c>
      <c r="F269" s="5" t="s">
        <v>2577</v>
      </c>
      <c r="G269" s="20" t="s">
        <v>2578</v>
      </c>
      <c r="I269" s="11" t="b">
        <f t="shared" si="2"/>
        <v>0</v>
      </c>
      <c r="K269" s="11" t="b">
        <f t="shared" si="3"/>
        <v>0</v>
      </c>
    </row>
    <row r="270" ht="22.5" customHeight="1">
      <c r="A270" s="12">
        <f t="shared" si="4"/>
        <v>768</v>
      </c>
      <c r="B270" s="6" t="s">
        <v>2579</v>
      </c>
      <c r="C270" s="7" t="str">
        <f t="shared" si="1"/>
        <v>🔊</v>
      </c>
      <c r="D270" s="8" t="s">
        <v>2580</v>
      </c>
      <c r="E270" s="6" t="s">
        <v>61</v>
      </c>
      <c r="F270" s="12" t="str">
        <f>IFERROR(__xludf.DUMMYFUNCTION("GOOGLETRANSLATE(B270,""zh_cn"",""vi"")"),"ngay lập tức")</f>
        <v>ngay lập tức</v>
      </c>
      <c r="G270" s="20" t="s">
        <v>2581</v>
      </c>
      <c r="I270" s="11" t="b">
        <f t="shared" si="2"/>
        <v>0</v>
      </c>
      <c r="K270" s="11" t="b">
        <f t="shared" si="3"/>
        <v>0</v>
      </c>
    </row>
    <row r="271" ht="22.5" customHeight="1">
      <c r="A271" s="12">
        <f t="shared" si="4"/>
        <v>769</v>
      </c>
      <c r="B271" s="6" t="s">
        <v>2582</v>
      </c>
      <c r="C271" s="7" t="str">
        <f t="shared" si="1"/>
        <v>🔊</v>
      </c>
      <c r="D271" s="8" t="s">
        <v>2583</v>
      </c>
      <c r="E271" s="6" t="s">
        <v>47</v>
      </c>
      <c r="F271" s="12" t="str">
        <f>IFERROR(__xludf.DUMMYFUNCTION("GOOGLETRANSLATE(B271,""zh_cn"",""vi"")"),"cơm")</f>
        <v>cơm</v>
      </c>
      <c r="G271" s="20" t="s">
        <v>2584</v>
      </c>
      <c r="I271" s="11" t="b">
        <f t="shared" si="2"/>
        <v>0</v>
      </c>
      <c r="K271" s="11" t="b">
        <f t="shared" si="3"/>
        <v>0</v>
      </c>
    </row>
    <row r="272" ht="22.5" customHeight="1">
      <c r="A272" s="12">
        <f t="shared" si="4"/>
        <v>770</v>
      </c>
      <c r="B272" s="6" t="s">
        <v>2585</v>
      </c>
      <c r="C272" s="7" t="str">
        <f t="shared" si="1"/>
        <v>🔊</v>
      </c>
      <c r="D272" s="8" t="s">
        <v>2586</v>
      </c>
      <c r="E272" s="6" t="s">
        <v>27</v>
      </c>
      <c r="F272" s="5" t="s">
        <v>2587</v>
      </c>
      <c r="G272" s="20" t="s">
        <v>2588</v>
      </c>
      <c r="I272" s="11" t="b">
        <f t="shared" si="2"/>
        <v>0</v>
      </c>
      <c r="K272" s="11" t="b">
        <f t="shared" si="3"/>
        <v>0</v>
      </c>
    </row>
    <row r="273" ht="22.5" customHeight="1">
      <c r="A273" s="12">
        <f t="shared" si="4"/>
        <v>771</v>
      </c>
      <c r="B273" s="6" t="s">
        <v>2589</v>
      </c>
      <c r="C273" s="7" t="str">
        <f t="shared" si="1"/>
        <v>🔊</v>
      </c>
      <c r="D273" s="8" t="s">
        <v>2590</v>
      </c>
      <c r="E273" s="6" t="s">
        <v>416</v>
      </c>
      <c r="F273" s="5" t="s">
        <v>2532</v>
      </c>
      <c r="G273" s="20" t="s">
        <v>2591</v>
      </c>
      <c r="I273" s="11" t="b">
        <f t="shared" si="2"/>
        <v>0</v>
      </c>
      <c r="K273" s="11" t="b">
        <f t="shared" si="3"/>
        <v>0</v>
      </c>
    </row>
    <row r="274" ht="22.5" customHeight="1">
      <c r="A274" s="12">
        <f t="shared" si="4"/>
        <v>772</v>
      </c>
      <c r="B274" s="6" t="s">
        <v>2592</v>
      </c>
      <c r="C274" s="7" t="str">
        <f t="shared" si="1"/>
        <v>🔊</v>
      </c>
      <c r="D274" s="8" t="s">
        <v>2593</v>
      </c>
      <c r="E274" s="6" t="s">
        <v>27</v>
      </c>
      <c r="F274" s="12" t="str">
        <f>IFERROR(__xludf.DUMMYFUNCTION("GOOGLETRANSLATE(B274,""zh_cn"",""vi"")"),"Danh sách")</f>
        <v>Danh sách</v>
      </c>
      <c r="G274" s="20" t="s">
        <v>2594</v>
      </c>
      <c r="I274" s="11" t="b">
        <f t="shared" si="2"/>
        <v>0</v>
      </c>
      <c r="K274" s="11" t="b">
        <f t="shared" si="3"/>
        <v>0</v>
      </c>
    </row>
    <row r="275" ht="22.5" customHeight="1">
      <c r="A275" s="12">
        <f t="shared" si="4"/>
        <v>773</v>
      </c>
      <c r="B275" s="6" t="s">
        <v>2595</v>
      </c>
      <c r="C275" s="7" t="str">
        <f t="shared" si="1"/>
        <v>🔊</v>
      </c>
      <c r="D275" s="8" t="s">
        <v>2596</v>
      </c>
      <c r="E275" s="6" t="s">
        <v>27</v>
      </c>
      <c r="F275" s="12" t="str">
        <f>IFERROR(__xludf.DUMMYFUNCTION("GOOGLETRANSLATE(B275,""zh_cn"",""vi"")"),"người nổi tiếng")</f>
        <v>người nổi tiếng</v>
      </c>
      <c r="G275" s="20" t="s">
        <v>2597</v>
      </c>
      <c r="I275" s="11" t="b">
        <f t="shared" si="2"/>
        <v>0</v>
      </c>
      <c r="K275" s="11" t="b">
        <f t="shared" si="3"/>
        <v>0</v>
      </c>
    </row>
    <row r="276" ht="22.5" customHeight="1">
      <c r="A276" s="12">
        <f t="shared" si="4"/>
        <v>774</v>
      </c>
      <c r="B276" s="6" t="s">
        <v>2598</v>
      </c>
      <c r="C276" s="7" t="str">
        <f t="shared" si="1"/>
        <v>🔊</v>
      </c>
      <c r="D276" s="8" t="s">
        <v>487</v>
      </c>
      <c r="E276" s="6" t="s">
        <v>27</v>
      </c>
      <c r="F276" s="12" t="str">
        <f>IFERROR(__xludf.DUMMYFUNCTION("GOOGLETRANSLATE(B276,""zh_cn"",""vi"")"),"Phía nam")</f>
        <v>Phía nam</v>
      </c>
      <c r="G276" s="20" t="s">
        <v>2599</v>
      </c>
      <c r="I276" s="11" t="b">
        <f t="shared" si="2"/>
        <v>0</v>
      </c>
      <c r="K276" s="11" t="b">
        <f t="shared" si="3"/>
        <v>0</v>
      </c>
    </row>
    <row r="277" ht="22.5" customHeight="1">
      <c r="A277" s="12">
        <f t="shared" si="4"/>
        <v>775</v>
      </c>
      <c r="B277" s="6" t="s">
        <v>2600</v>
      </c>
      <c r="C277" s="7" t="str">
        <f t="shared" si="1"/>
        <v>🔊</v>
      </c>
      <c r="D277" s="8" t="s">
        <v>487</v>
      </c>
      <c r="E277" s="6" t="s">
        <v>1502</v>
      </c>
      <c r="F277" s="5" t="s">
        <v>2601</v>
      </c>
      <c r="G277" s="20" t="s">
        <v>2602</v>
      </c>
      <c r="I277" s="11" t="b">
        <f t="shared" si="2"/>
        <v>0</v>
      </c>
      <c r="K277" s="11" t="b">
        <f t="shared" si="3"/>
        <v>0</v>
      </c>
    </row>
    <row r="278" ht="22.5" customHeight="1">
      <c r="A278" s="12">
        <f t="shared" si="4"/>
        <v>776</v>
      </c>
      <c r="B278" s="6" t="s">
        <v>2603</v>
      </c>
      <c r="C278" s="7" t="str">
        <f t="shared" si="1"/>
        <v>🔊</v>
      </c>
      <c r="D278" s="8" t="s">
        <v>2604</v>
      </c>
      <c r="E278" s="6" t="s">
        <v>27</v>
      </c>
      <c r="F278" s="5" t="s">
        <v>2605</v>
      </c>
      <c r="G278" s="20" t="s">
        <v>2606</v>
      </c>
      <c r="I278" s="11" t="b">
        <f t="shared" si="2"/>
        <v>0</v>
      </c>
      <c r="K278" s="11" t="b">
        <f t="shared" si="3"/>
        <v>0</v>
      </c>
    </row>
    <row r="279" ht="22.5" customHeight="1">
      <c r="A279" s="12">
        <f t="shared" si="4"/>
        <v>777</v>
      </c>
      <c r="B279" s="6" t="s">
        <v>2607</v>
      </c>
      <c r="C279" s="7" t="str">
        <f t="shared" si="1"/>
        <v>🔊</v>
      </c>
      <c r="D279" s="8" t="s">
        <v>2608</v>
      </c>
      <c r="E279" s="6" t="s">
        <v>99</v>
      </c>
      <c r="F279" s="12" t="str">
        <f>IFERROR(__xludf.DUMMYFUNCTION("GOOGLETRANSLATE(B279,""zh_cn"",""vi"")"),"buồn")</f>
        <v>buồn</v>
      </c>
      <c r="G279" s="20" t="s">
        <v>2609</v>
      </c>
      <c r="I279" s="11" t="b">
        <f t="shared" si="2"/>
        <v>0</v>
      </c>
      <c r="K279" s="11" t="b">
        <f t="shared" si="3"/>
        <v>0</v>
      </c>
    </row>
    <row r="280" ht="22.5" customHeight="1">
      <c r="A280" s="12">
        <f t="shared" si="4"/>
        <v>778</v>
      </c>
      <c r="B280" s="6" t="s">
        <v>2610</v>
      </c>
      <c r="C280" s="7" t="str">
        <f t="shared" si="1"/>
        <v>🔊</v>
      </c>
      <c r="D280" s="8" t="s">
        <v>2611</v>
      </c>
      <c r="E280" s="6" t="s">
        <v>99</v>
      </c>
      <c r="F280" s="12" t="str">
        <f>IFERROR(__xludf.DUMMYFUNCTION("GOOGLETRANSLATE(B280,""zh_cn"",""vi"")"),"Xấu xí")</f>
        <v>Xấu xí</v>
      </c>
      <c r="G280" s="20" t="s">
        <v>2612</v>
      </c>
      <c r="I280" s="11" t="b">
        <f t="shared" si="2"/>
        <v>0</v>
      </c>
      <c r="K280" s="11" t="b">
        <f t="shared" si="3"/>
        <v>0</v>
      </c>
    </row>
    <row r="281" ht="22.5" customHeight="1">
      <c r="A281" s="12">
        <f t="shared" si="4"/>
        <v>779</v>
      </c>
      <c r="B281" s="6" t="s">
        <v>2613</v>
      </c>
      <c r="C281" s="7" t="str">
        <f t="shared" si="1"/>
        <v>🔊</v>
      </c>
      <c r="D281" s="8" t="s">
        <v>2614</v>
      </c>
      <c r="E281" s="6" t="s">
        <v>27</v>
      </c>
      <c r="F281" s="12" t="str">
        <f>IFERROR(__xludf.DUMMYFUNCTION("GOOGLETRANSLATE(B281,""zh_cn"",""vi"")"),"người đàn ông")</f>
        <v>người đàn ông</v>
      </c>
      <c r="G281" s="20" t="s">
        <v>2615</v>
      </c>
      <c r="I281" s="11" t="b">
        <f t="shared" si="2"/>
        <v>0</v>
      </c>
      <c r="K281" s="11" t="b">
        <f t="shared" si="3"/>
        <v>0</v>
      </c>
    </row>
    <row r="282" ht="22.5" customHeight="1">
      <c r="A282" s="12">
        <f t="shared" si="4"/>
        <v>780</v>
      </c>
      <c r="B282" s="6" t="s">
        <v>2616</v>
      </c>
      <c r="C282" s="7" t="str">
        <f t="shared" si="1"/>
        <v>🔊</v>
      </c>
      <c r="D282" s="8" t="s">
        <v>2617</v>
      </c>
      <c r="E282" s="6" t="s">
        <v>27</v>
      </c>
      <c r="F282" s="5" t="s">
        <v>2618</v>
      </c>
      <c r="G282" s="20" t="s">
        <v>2619</v>
      </c>
      <c r="I282" s="11" t="b">
        <f t="shared" si="2"/>
        <v>0</v>
      </c>
      <c r="K282" s="11" t="b">
        <f t="shared" si="3"/>
        <v>0</v>
      </c>
    </row>
    <row r="283" ht="22.5" customHeight="1">
      <c r="A283" s="12">
        <f t="shared" si="4"/>
        <v>781</v>
      </c>
      <c r="B283" s="6" t="s">
        <v>2620</v>
      </c>
      <c r="C283" s="7" t="str">
        <f t="shared" si="1"/>
        <v>🔊</v>
      </c>
      <c r="D283" s="8" t="s">
        <v>2621</v>
      </c>
      <c r="E283" s="6" t="s">
        <v>27</v>
      </c>
      <c r="F283" s="5" t="s">
        <v>2622</v>
      </c>
      <c r="G283" s="20" t="s">
        <v>2623</v>
      </c>
      <c r="I283" s="11" t="b">
        <f t="shared" si="2"/>
        <v>0</v>
      </c>
      <c r="K283" s="11" t="b">
        <f t="shared" si="3"/>
        <v>0</v>
      </c>
    </row>
    <row r="284" ht="22.5" customHeight="1">
      <c r="A284" s="12">
        <f t="shared" si="4"/>
        <v>782</v>
      </c>
      <c r="B284" s="6" t="s">
        <v>2624</v>
      </c>
      <c r="C284" s="7" t="str">
        <f t="shared" si="1"/>
        <v>🔊</v>
      </c>
      <c r="D284" s="8" t="s">
        <v>2625</v>
      </c>
      <c r="E284" s="6" t="s">
        <v>99</v>
      </c>
      <c r="F284" s="12" t="str">
        <f>IFERROR(__xludf.DUMMYFUNCTION("GOOGLETRANSLATE(B284,""zh_cn"",""vi"")"),"Thật khó chịu khi nghe.")</f>
        <v>Thật khó chịu khi nghe.</v>
      </c>
      <c r="G284" s="20" t="s">
        <v>2626</v>
      </c>
      <c r="I284" s="11" t="b">
        <f t="shared" si="2"/>
        <v>0</v>
      </c>
      <c r="K284" s="11" t="b">
        <f t="shared" si="3"/>
        <v>0</v>
      </c>
    </row>
    <row r="285" ht="22.5" customHeight="1">
      <c r="A285" s="12">
        <f t="shared" si="4"/>
        <v>783</v>
      </c>
      <c r="B285" s="6" t="s">
        <v>2627</v>
      </c>
      <c r="C285" s="7" t="str">
        <f t="shared" si="1"/>
        <v>🔊</v>
      </c>
      <c r="D285" s="8" t="s">
        <v>2628</v>
      </c>
      <c r="E285" s="6" t="s">
        <v>27</v>
      </c>
      <c r="F285" s="12" t="str">
        <f>IFERROR(__xludf.DUMMYFUNCTION("GOOGLETRANSLATE(B285,""zh_cn"",""vi"")"),"cấp")</f>
        <v>cấp</v>
      </c>
      <c r="G285" s="20" t="s">
        <v>2629</v>
      </c>
      <c r="I285" s="11" t="b">
        <f t="shared" si="2"/>
        <v>0</v>
      </c>
      <c r="K285" s="11" t="b">
        <f t="shared" si="3"/>
        <v>0</v>
      </c>
    </row>
    <row r="286" ht="22.5" customHeight="1">
      <c r="A286" s="12">
        <f t="shared" si="4"/>
        <v>784</v>
      </c>
      <c r="B286" s="6" t="s">
        <v>2630</v>
      </c>
      <c r="C286" s="7" t="str">
        <f t="shared" si="1"/>
        <v>🔊</v>
      </c>
      <c r="D286" s="8" t="s">
        <v>2631</v>
      </c>
      <c r="E286" s="6" t="s">
        <v>99</v>
      </c>
      <c r="F286" s="5" t="s">
        <v>2632</v>
      </c>
      <c r="G286" s="20" t="s">
        <v>2633</v>
      </c>
      <c r="I286" s="11" t="b">
        <f t="shared" si="2"/>
        <v>0</v>
      </c>
      <c r="K286" s="11" t="b">
        <f t="shared" si="3"/>
        <v>0</v>
      </c>
    </row>
    <row r="287" ht="22.5" customHeight="1">
      <c r="A287" s="12">
        <f t="shared" si="4"/>
        <v>785</v>
      </c>
      <c r="B287" s="6" t="s">
        <v>2634</v>
      </c>
      <c r="C287" s="7" t="str">
        <f t="shared" si="1"/>
        <v>🔊</v>
      </c>
      <c r="D287" s="8" t="s">
        <v>2635</v>
      </c>
      <c r="E287" s="6" t="s">
        <v>1228</v>
      </c>
      <c r="F287" s="5" t="s">
        <v>2636</v>
      </c>
      <c r="G287" s="20" t="s">
        <v>2637</v>
      </c>
      <c r="I287" s="11" t="b">
        <f t="shared" si="2"/>
        <v>0</v>
      </c>
      <c r="K287" s="11" t="b">
        <f t="shared" si="3"/>
        <v>0</v>
      </c>
    </row>
    <row r="288" ht="22.5" customHeight="1">
      <c r="A288" s="12">
        <f t="shared" si="4"/>
        <v>786</v>
      </c>
      <c r="B288" s="6" t="s">
        <v>2638</v>
      </c>
      <c r="C288" s="7" t="str">
        <f t="shared" si="1"/>
        <v>🔊</v>
      </c>
      <c r="D288" s="8" t="s">
        <v>2639</v>
      </c>
      <c r="E288" s="6" t="s">
        <v>368</v>
      </c>
      <c r="F288" s="12" t="str">
        <f>IFERROR(__xludf.DUMMYFUNCTION("GOOGLETRANSLATE(B288,""zh_cn"",""vi"")"),"cố gắng")</f>
        <v>cố gắng</v>
      </c>
      <c r="G288" s="20" t="s">
        <v>2640</v>
      </c>
      <c r="I288" s="11" t="b">
        <f t="shared" si="2"/>
        <v>0</v>
      </c>
      <c r="K288" s="11" t="b">
        <f t="shared" si="3"/>
        <v>0</v>
      </c>
    </row>
    <row r="289" ht="22.5" customHeight="1">
      <c r="A289" s="12">
        <f t="shared" si="4"/>
        <v>787</v>
      </c>
      <c r="B289" s="6" t="s">
        <v>2641</v>
      </c>
      <c r="C289" s="7" t="str">
        <f t="shared" si="1"/>
        <v>🔊</v>
      </c>
      <c r="D289" s="8" t="s">
        <v>2642</v>
      </c>
      <c r="E289" s="6" t="s">
        <v>27</v>
      </c>
      <c r="F289" s="12" t="str">
        <f>IFERROR(__xludf.DUMMYFUNCTION("GOOGLETRANSLATE(B289,""zh_cn"",""vi"")"),"đàn bà")</f>
        <v>đàn bà</v>
      </c>
      <c r="G289" s="20" t="s">
        <v>2643</v>
      </c>
      <c r="I289" s="11" t="b">
        <f t="shared" si="2"/>
        <v>0</v>
      </c>
      <c r="K289" s="11" t="b">
        <f t="shared" si="3"/>
        <v>0</v>
      </c>
    </row>
    <row r="290" ht="22.5" customHeight="1">
      <c r="A290" s="12">
        <f t="shared" si="4"/>
        <v>788</v>
      </c>
      <c r="B290" s="6" t="s">
        <v>2644</v>
      </c>
      <c r="C290" s="7" t="str">
        <f t="shared" si="1"/>
        <v>🔊</v>
      </c>
      <c r="D290" s="8" t="s">
        <v>2645</v>
      </c>
      <c r="E290" s="6" t="s">
        <v>27</v>
      </c>
      <c r="F290" s="5" t="s">
        <v>2646</v>
      </c>
      <c r="G290" s="20" t="s">
        <v>2647</v>
      </c>
      <c r="I290" s="11" t="b">
        <f t="shared" si="2"/>
        <v>0</v>
      </c>
      <c r="K290" s="11" t="b">
        <f t="shared" si="3"/>
        <v>0</v>
      </c>
    </row>
    <row r="291" ht="22.5" customHeight="1">
      <c r="A291" s="12">
        <f t="shared" si="4"/>
        <v>789</v>
      </c>
      <c r="B291" s="6" t="s">
        <v>2648</v>
      </c>
      <c r="C291" s="7" t="str">
        <f t="shared" si="1"/>
        <v>🔊</v>
      </c>
      <c r="D291" s="8" t="s">
        <v>2649</v>
      </c>
      <c r="E291" s="6" t="s">
        <v>13</v>
      </c>
      <c r="F291" s="12" t="str">
        <f>IFERROR(__xludf.DUMMYFUNCTION("GOOGLETRANSLATE(B291,""zh_cn"",""vi"")"),"leo")</f>
        <v>leo</v>
      </c>
      <c r="G291" s="20" t="s">
        <v>2650</v>
      </c>
      <c r="I291" s="11" t="b">
        <f t="shared" si="2"/>
        <v>0</v>
      </c>
      <c r="K291" s="11" t="b">
        <f t="shared" si="3"/>
        <v>0</v>
      </c>
    </row>
    <row r="292" ht="22.5" customHeight="1">
      <c r="A292" s="12">
        <f t="shared" si="4"/>
        <v>790</v>
      </c>
      <c r="B292" s="6" t="s">
        <v>2651</v>
      </c>
      <c r="C292" s="7" t="str">
        <f t="shared" si="1"/>
        <v>🔊</v>
      </c>
      <c r="D292" s="8" t="s">
        <v>2652</v>
      </c>
      <c r="E292" s="6" t="s">
        <v>2653</v>
      </c>
      <c r="F292" s="12" t="str">
        <f>IFERROR(__xludf.DUMMYFUNCTION("GOOGLETRANSLATE(B292,""zh_cn"",""vi"")"),"Sợ")</f>
        <v>Sợ</v>
      </c>
      <c r="G292" s="20" t="s">
        <v>2654</v>
      </c>
      <c r="I292" s="11" t="b">
        <f t="shared" si="2"/>
        <v>0</v>
      </c>
      <c r="K292" s="11" t="b">
        <f t="shared" si="3"/>
        <v>0</v>
      </c>
    </row>
    <row r="293" ht="22.5" customHeight="1">
      <c r="A293" s="12">
        <f t="shared" si="4"/>
        <v>791</v>
      </c>
      <c r="B293" s="6" t="s">
        <v>2655</v>
      </c>
      <c r="C293" s="7" t="str">
        <f t="shared" si="1"/>
        <v>🔊</v>
      </c>
      <c r="D293" s="8" t="s">
        <v>2656</v>
      </c>
      <c r="E293" s="6" t="s">
        <v>13</v>
      </c>
      <c r="F293" s="5" t="s">
        <v>2657</v>
      </c>
      <c r="G293" s="20" t="s">
        <v>2658</v>
      </c>
      <c r="I293" s="11" t="b">
        <f t="shared" si="2"/>
        <v>0</v>
      </c>
      <c r="K293" s="11" t="b">
        <f t="shared" si="3"/>
        <v>0</v>
      </c>
    </row>
    <row r="294" ht="22.5" customHeight="1">
      <c r="A294" s="12">
        <f t="shared" si="4"/>
        <v>792</v>
      </c>
      <c r="B294" s="6" t="s">
        <v>2659</v>
      </c>
      <c r="C294" s="7" t="str">
        <f t="shared" si="1"/>
        <v>🔊</v>
      </c>
      <c r="D294" s="8" t="s">
        <v>2660</v>
      </c>
      <c r="E294" s="6" t="s">
        <v>99</v>
      </c>
      <c r="F294" s="12" t="str">
        <f>IFERROR(__xludf.DUMMYFUNCTION("GOOGLETRANSLATE(B294,""zh_cn"",""vi"")"),"mập")</f>
        <v>mập</v>
      </c>
      <c r="G294" s="20" t="s">
        <v>2661</v>
      </c>
      <c r="I294" s="11" t="b">
        <f t="shared" si="2"/>
        <v>0</v>
      </c>
      <c r="K294" s="11" t="b">
        <f t="shared" si="3"/>
        <v>0</v>
      </c>
    </row>
    <row r="295" ht="22.5" customHeight="1">
      <c r="A295" s="12">
        <f t="shared" si="4"/>
        <v>793</v>
      </c>
      <c r="B295" s="6" t="s">
        <v>2662</v>
      </c>
      <c r="C295" s="7" t="str">
        <f t="shared" si="1"/>
        <v>🔊</v>
      </c>
      <c r="D295" s="8" t="s">
        <v>2663</v>
      </c>
      <c r="E295" s="6" t="s">
        <v>27</v>
      </c>
      <c r="F295" s="12" t="str">
        <f>IFERROR(__xludf.DUMMYFUNCTION("GOOGLETRANSLATE(B295,""zh_cn"",""vi"")"),"đĩa")</f>
        <v>đĩa</v>
      </c>
      <c r="G295" s="20" t="s">
        <v>2664</v>
      </c>
      <c r="I295" s="11" t="b">
        <f t="shared" si="2"/>
        <v>0</v>
      </c>
      <c r="K295" s="11" t="b">
        <f t="shared" si="3"/>
        <v>0</v>
      </c>
    </row>
    <row r="296" ht="22.5" customHeight="1">
      <c r="A296" s="12">
        <f t="shared" si="4"/>
        <v>794</v>
      </c>
      <c r="B296" s="6" t="s">
        <v>2665</v>
      </c>
      <c r="C296" s="7" t="str">
        <f t="shared" si="1"/>
        <v>🔊</v>
      </c>
      <c r="D296" s="8" t="s">
        <v>2666</v>
      </c>
      <c r="E296" s="6" t="s">
        <v>27</v>
      </c>
      <c r="F296" s="12" t="str">
        <f>IFERROR(__xludf.DUMMYFUNCTION("GOOGLETRANSLATE(B296,""zh_cn"",""vi"")"),"bia")</f>
        <v>bia</v>
      </c>
      <c r="G296" s="20" t="s">
        <v>2667</v>
      </c>
      <c r="I296" s="11" t="b">
        <f t="shared" si="2"/>
        <v>0</v>
      </c>
      <c r="K296" s="11" t="b">
        <f t="shared" si="3"/>
        <v>0</v>
      </c>
    </row>
    <row r="297" ht="22.5" customHeight="1">
      <c r="A297" s="12">
        <f t="shared" si="4"/>
        <v>795</v>
      </c>
      <c r="B297" s="6" t="s">
        <v>2668</v>
      </c>
      <c r="C297" s="7" t="str">
        <f t="shared" si="1"/>
        <v>🔊</v>
      </c>
      <c r="D297" s="8" t="s">
        <v>2669</v>
      </c>
      <c r="E297" s="6" t="s">
        <v>27</v>
      </c>
      <c r="F297" s="5" t="s">
        <v>2670</v>
      </c>
      <c r="G297" s="20" t="s">
        <v>2671</v>
      </c>
      <c r="I297" s="11" t="b">
        <f t="shared" si="2"/>
        <v>0</v>
      </c>
      <c r="K297" s="11" t="b">
        <f t="shared" si="3"/>
        <v>0</v>
      </c>
    </row>
    <row r="298" ht="22.5" customHeight="1">
      <c r="A298" s="12">
        <f t="shared" si="4"/>
        <v>796</v>
      </c>
      <c r="B298" s="6" t="s">
        <v>2672</v>
      </c>
      <c r="C298" s="7" t="str">
        <f t="shared" si="1"/>
        <v>🔊</v>
      </c>
      <c r="D298" s="8" t="s">
        <v>2673</v>
      </c>
      <c r="E298" s="6" t="s">
        <v>27</v>
      </c>
      <c r="F298" s="12" t="str">
        <f>IFERROR(__xludf.DUMMYFUNCTION("GOOGLETRANSLATE(B298,""zh_cn"",""vi"")"),"cái chai")</f>
        <v>cái chai</v>
      </c>
      <c r="G298" s="20" t="s">
        <v>2674</v>
      </c>
      <c r="I298" s="11" t="b">
        <f t="shared" si="2"/>
        <v>0</v>
      </c>
      <c r="K298" s="11" t="b">
        <f t="shared" si="3"/>
        <v>0</v>
      </c>
    </row>
    <row r="299" ht="22.5" customHeight="1">
      <c r="A299" s="12">
        <f t="shared" si="4"/>
        <v>797</v>
      </c>
      <c r="B299" s="6" t="s">
        <v>2675</v>
      </c>
      <c r="C299" s="7" t="str">
        <f t="shared" si="1"/>
        <v>🔊</v>
      </c>
      <c r="D299" s="8" t="s">
        <v>2676</v>
      </c>
      <c r="E299" s="6" t="s">
        <v>13</v>
      </c>
      <c r="F299" s="5" t="s">
        <v>2677</v>
      </c>
      <c r="G299" s="20" t="s">
        <v>2678</v>
      </c>
      <c r="I299" s="11" t="b">
        <f t="shared" si="2"/>
        <v>0</v>
      </c>
      <c r="K299" s="11" t="b">
        <f t="shared" si="3"/>
        <v>0</v>
      </c>
    </row>
    <row r="300" ht="22.5" customHeight="1">
      <c r="A300" s="12">
        <f t="shared" si="4"/>
        <v>798</v>
      </c>
      <c r="B300" s="6" t="s">
        <v>2679</v>
      </c>
      <c r="C300" s="7" t="str">
        <f t="shared" si="1"/>
        <v>🔊</v>
      </c>
      <c r="D300" s="8" t="s">
        <v>2680</v>
      </c>
      <c r="E300" s="6" t="s">
        <v>294</v>
      </c>
      <c r="F300" s="5" t="s">
        <v>2681</v>
      </c>
      <c r="G300" s="20" t="s">
        <v>2682</v>
      </c>
      <c r="I300" s="11" t="b">
        <f t="shared" si="2"/>
        <v>0</v>
      </c>
      <c r="K300" s="11" t="b">
        <f t="shared" si="3"/>
        <v>0</v>
      </c>
    </row>
    <row r="301" ht="22.5" customHeight="1">
      <c r="A301" s="12">
        <f t="shared" si="4"/>
        <v>799</v>
      </c>
      <c r="B301" s="6" t="s">
        <v>2683</v>
      </c>
      <c r="C301" s="7" t="str">
        <f t="shared" si="1"/>
        <v>🔊</v>
      </c>
      <c r="D301" s="8" t="s">
        <v>2684</v>
      </c>
      <c r="E301" s="6" t="s">
        <v>27</v>
      </c>
      <c r="F301" s="12" t="str">
        <f>IFERROR(__xludf.DUMMYFUNCTION("GOOGLETRANSLATE(B301,""zh_cn"",""vi"")"),"bút chì")</f>
        <v>bút chì</v>
      </c>
      <c r="G301" s="20" t="s">
        <v>2685</v>
      </c>
      <c r="I301" s="11" t="b">
        <f t="shared" si="2"/>
        <v>0</v>
      </c>
      <c r="K301" s="11" t="b">
        <f t="shared" si="3"/>
        <v>0</v>
      </c>
    </row>
    <row r="302" ht="22.5" customHeight="1">
      <c r="A302" s="12">
        <f t="shared" si="4"/>
        <v>800</v>
      </c>
      <c r="B302" s="6" t="s">
        <v>2686</v>
      </c>
      <c r="C302" s="7" t="str">
        <f t="shared" si="1"/>
        <v>🔊</v>
      </c>
      <c r="D302" s="8" t="s">
        <v>2687</v>
      </c>
      <c r="E302" s="6" t="s">
        <v>27</v>
      </c>
      <c r="F302" s="12" t="str">
        <f>IFERROR(__xludf.DUMMYFUNCTION("GOOGLETRANSLATE(B302,""zh_cn"",""vi"")"),"năm trước nữa")</f>
        <v>năm trước nữa</v>
      </c>
      <c r="G302" s="20" t="s">
        <v>2688</v>
      </c>
      <c r="I302" s="11" t="b">
        <f t="shared" si="2"/>
        <v>0</v>
      </c>
      <c r="J302" s="24"/>
      <c r="K302" s="11" t="b">
        <f t="shared" si="3"/>
        <v>0</v>
      </c>
    </row>
    <row r="303" ht="22.5" customHeight="1">
      <c r="A303" s="12">
        <f t="shared" si="4"/>
        <v>801</v>
      </c>
      <c r="B303" s="6" t="s">
        <v>2689</v>
      </c>
      <c r="C303" s="7" t="str">
        <f t="shared" si="1"/>
        <v>🔊</v>
      </c>
      <c r="D303" s="8" t="s">
        <v>2690</v>
      </c>
      <c r="E303" s="6" t="s">
        <v>27</v>
      </c>
      <c r="F303" s="12" t="str">
        <f>IFERROR(__xludf.DUMMYFUNCTION("GOOGLETRANSLATE(B303,""zh_cn"",""vi"")"),"Hôm kia")</f>
        <v>Hôm kia</v>
      </c>
      <c r="G303" s="20" t="s">
        <v>2691</v>
      </c>
      <c r="I303" s="11" t="b">
        <f t="shared" si="2"/>
        <v>0</v>
      </c>
      <c r="J303" s="24"/>
      <c r="K303" s="11" t="b">
        <f t="shared" si="3"/>
        <v>0</v>
      </c>
    </row>
    <row r="304" ht="22.5" customHeight="1">
      <c r="A304" s="12">
        <f t="shared" si="4"/>
        <v>802</v>
      </c>
      <c r="B304" s="6" t="s">
        <v>2692</v>
      </c>
      <c r="C304" s="7" t="str">
        <f t="shared" si="1"/>
        <v>🔊</v>
      </c>
      <c r="D304" s="8" t="s">
        <v>2693</v>
      </c>
      <c r="E304" s="6" t="s">
        <v>27</v>
      </c>
      <c r="F304" s="12" t="str">
        <f>IFERROR(__xludf.DUMMYFUNCTION("GOOGLETRANSLATE(B304,""zh_cn"",""vi"")"),"xe hơi")</f>
        <v>xe hơi</v>
      </c>
      <c r="G304" s="20" t="s">
        <v>2694</v>
      </c>
      <c r="I304" s="11" t="b">
        <f t="shared" si="2"/>
        <v>0</v>
      </c>
      <c r="J304" s="24"/>
      <c r="K304" s="11" t="b">
        <f t="shared" si="3"/>
        <v>0</v>
      </c>
    </row>
    <row r="305" ht="22.5" customHeight="1">
      <c r="A305" s="12">
        <f t="shared" si="4"/>
        <v>803</v>
      </c>
      <c r="B305" s="6" t="s">
        <v>2695</v>
      </c>
      <c r="C305" s="7" t="str">
        <f t="shared" si="1"/>
        <v>🔊</v>
      </c>
      <c r="D305" s="8" t="s">
        <v>2696</v>
      </c>
      <c r="E305" s="6" t="s">
        <v>13</v>
      </c>
      <c r="F305" s="5" t="s">
        <v>2697</v>
      </c>
      <c r="G305" s="20" t="s">
        <v>2698</v>
      </c>
      <c r="I305" s="11" t="b">
        <f t="shared" si="2"/>
        <v>0</v>
      </c>
      <c r="J305" s="24"/>
      <c r="K305" s="11" t="b">
        <f t="shared" si="3"/>
        <v>0</v>
      </c>
    </row>
    <row r="306" ht="22.5" customHeight="1">
      <c r="A306" s="12">
        <f t="shared" si="4"/>
        <v>804</v>
      </c>
      <c r="B306" s="6" t="s">
        <v>2699</v>
      </c>
      <c r="C306" s="7" t="str">
        <f t="shared" si="1"/>
        <v>🔊</v>
      </c>
      <c r="D306" s="8" t="s">
        <v>2700</v>
      </c>
      <c r="E306" s="6" t="s">
        <v>99</v>
      </c>
      <c r="F306" s="12" t="str">
        <f>IFERROR(__xludf.DUMMYFUNCTION("GOOGLETRANSLATE(B306,""zh_cn"",""vi"")"),"sự kỳ lạ")</f>
        <v>sự kỳ lạ</v>
      </c>
      <c r="G306" s="20" t="s">
        <v>2701</v>
      </c>
      <c r="I306" s="11" t="b">
        <f t="shared" si="2"/>
        <v>0</v>
      </c>
      <c r="J306" s="24"/>
      <c r="K306" s="11" t="b">
        <f t="shared" si="3"/>
        <v>0</v>
      </c>
    </row>
    <row r="307" ht="22.5" customHeight="1">
      <c r="A307" s="12">
        <f t="shared" si="4"/>
        <v>805</v>
      </c>
      <c r="B307" s="6" t="s">
        <v>2702</v>
      </c>
      <c r="C307" s="7" t="str">
        <f t="shared" si="1"/>
        <v>🔊</v>
      </c>
      <c r="D307" s="8" t="s">
        <v>2703</v>
      </c>
      <c r="E307" s="6" t="s">
        <v>416</v>
      </c>
      <c r="F307" s="5" t="s">
        <v>2704</v>
      </c>
      <c r="G307" s="20" t="s">
        <v>2705</v>
      </c>
      <c r="I307" s="11" t="b">
        <f t="shared" si="2"/>
        <v>0</v>
      </c>
      <c r="J307" s="24"/>
      <c r="K307" s="11" t="b">
        <f t="shared" si="3"/>
        <v>0</v>
      </c>
    </row>
    <row r="308" ht="22.5" customHeight="1">
      <c r="A308" s="12">
        <f t="shared" si="4"/>
        <v>806</v>
      </c>
      <c r="B308" s="6" t="s">
        <v>2706</v>
      </c>
      <c r="C308" s="7" t="str">
        <f t="shared" si="1"/>
        <v>🔊</v>
      </c>
      <c r="D308" s="8" t="s">
        <v>2707</v>
      </c>
      <c r="E308" s="6" t="s">
        <v>13</v>
      </c>
      <c r="F308" s="12" t="str">
        <f>IFERROR(__xludf.DUMMYFUNCTION("GOOGLETRANSLATE(B308,""zh_cn"",""vi"")"),"Xin nghỉ phép")</f>
        <v>Xin nghỉ phép</v>
      </c>
      <c r="G308" s="20" t="s">
        <v>2708</v>
      </c>
      <c r="I308" s="11" t="b">
        <f t="shared" si="2"/>
        <v>0</v>
      </c>
      <c r="J308" s="24"/>
      <c r="K308" s="11" t="b">
        <f t="shared" si="3"/>
        <v>0</v>
      </c>
    </row>
    <row r="309" ht="22.5" customHeight="1">
      <c r="A309" s="12">
        <f t="shared" si="4"/>
        <v>807</v>
      </c>
      <c r="B309" s="6" t="s">
        <v>2709</v>
      </c>
      <c r="C309" s="7" t="str">
        <f t="shared" si="1"/>
        <v>🔊</v>
      </c>
      <c r="D309" s="8" t="s">
        <v>2710</v>
      </c>
      <c r="E309" s="6" t="s">
        <v>13</v>
      </c>
      <c r="F309" s="5" t="s">
        <v>2711</v>
      </c>
      <c r="G309" s="20" t="s">
        <v>2712</v>
      </c>
      <c r="I309" s="11" t="b">
        <f t="shared" si="2"/>
        <v>0</v>
      </c>
      <c r="J309" s="24"/>
      <c r="K309" s="11" t="b">
        <f t="shared" si="3"/>
        <v>0</v>
      </c>
    </row>
    <row r="310" ht="22.5" customHeight="1">
      <c r="A310" s="12">
        <f t="shared" si="4"/>
        <v>808</v>
      </c>
      <c r="B310" s="6" t="s">
        <v>2713</v>
      </c>
      <c r="C310" s="7" t="str">
        <f t="shared" si="1"/>
        <v>🔊</v>
      </c>
      <c r="D310" s="8" t="s">
        <v>2714</v>
      </c>
      <c r="E310" s="6" t="s">
        <v>61</v>
      </c>
      <c r="F310" s="12" t="str">
        <f>IFERROR(__xludf.DUMMYFUNCTION("GOOGLETRANSLATE(B310,""zh_cn"",""vi"")"),"Thực ra")</f>
        <v>Thực ra</v>
      </c>
      <c r="G310" s="20" t="s">
        <v>2715</v>
      </c>
      <c r="I310" s="11" t="b">
        <f t="shared" si="2"/>
        <v>0</v>
      </c>
      <c r="J310" s="24"/>
      <c r="K310" s="11" t="b">
        <f t="shared" si="3"/>
        <v>0</v>
      </c>
    </row>
    <row r="311" ht="22.5" customHeight="1">
      <c r="A311" s="12">
        <f t="shared" si="4"/>
        <v>809</v>
      </c>
      <c r="B311" s="6" t="s">
        <v>2716</v>
      </c>
      <c r="C311" s="7" t="str">
        <f t="shared" si="1"/>
        <v>🔊</v>
      </c>
      <c r="D311" s="8" t="s">
        <v>2717</v>
      </c>
      <c r="E311" s="6" t="s">
        <v>106</v>
      </c>
      <c r="F311" s="5" t="s">
        <v>2718</v>
      </c>
      <c r="G311" s="20" t="s">
        <v>2719</v>
      </c>
      <c r="I311" s="11" t="b">
        <f t="shared" si="2"/>
        <v>0</v>
      </c>
      <c r="J311" s="24"/>
      <c r="K311" s="11" t="b">
        <f t="shared" si="3"/>
        <v>0</v>
      </c>
    </row>
    <row r="312" ht="22.5" customHeight="1">
      <c r="A312" s="12">
        <f t="shared" si="4"/>
        <v>810</v>
      </c>
      <c r="B312" s="6" t="s">
        <v>2720</v>
      </c>
      <c r="C312" s="7" t="str">
        <f t="shared" si="1"/>
        <v>🔊</v>
      </c>
      <c r="D312" s="8" t="s">
        <v>2721</v>
      </c>
      <c r="E312" s="6" t="s">
        <v>27</v>
      </c>
      <c r="F312" s="5" t="s">
        <v>2722</v>
      </c>
      <c r="G312" s="20" t="s">
        <v>2723</v>
      </c>
      <c r="I312" s="11" t="b">
        <f t="shared" si="2"/>
        <v>0</v>
      </c>
      <c r="J312" s="24"/>
      <c r="K312" s="11" t="b">
        <f t="shared" si="3"/>
        <v>0</v>
      </c>
    </row>
    <row r="313" ht="22.5" customHeight="1">
      <c r="A313" s="12">
        <f t="shared" si="4"/>
        <v>811</v>
      </c>
      <c r="B313" s="6" t="s">
        <v>2724</v>
      </c>
      <c r="C313" s="7" t="str">
        <f t="shared" si="1"/>
        <v>🔊</v>
      </c>
      <c r="D313" s="8" t="s">
        <v>2725</v>
      </c>
      <c r="E313" s="6" t="s">
        <v>27</v>
      </c>
      <c r="F313" s="12" t="str">
        <f>IFERROR(__xludf.DUMMYFUNCTION("GOOGLETRANSLATE(B313,""zh_cn"",""vi"")"),"mùa thu")</f>
        <v>mùa thu</v>
      </c>
      <c r="G313" s="20" t="s">
        <v>2726</v>
      </c>
      <c r="I313" s="11" t="b">
        <f t="shared" si="2"/>
        <v>0</v>
      </c>
      <c r="J313" s="24"/>
      <c r="K313" s="11" t="b">
        <f t="shared" si="3"/>
        <v>0</v>
      </c>
    </row>
    <row r="314" ht="22.5" customHeight="1">
      <c r="A314" s="12">
        <f t="shared" si="4"/>
        <v>812</v>
      </c>
      <c r="B314" s="6" t="s">
        <v>2727</v>
      </c>
      <c r="C314" s="7" t="str">
        <f t="shared" si="1"/>
        <v>🔊</v>
      </c>
      <c r="D314" s="8" t="s">
        <v>2728</v>
      </c>
      <c r="E314" s="6" t="s">
        <v>27</v>
      </c>
      <c r="F314" s="12" t="str">
        <f>IFERROR(__xludf.DUMMYFUNCTION("GOOGLETRANSLATE(B314,""zh_cn"",""vi"")"),"váy ngắn")</f>
        <v>váy ngắn</v>
      </c>
      <c r="G314" s="20" t="s">
        <v>2729</v>
      </c>
      <c r="I314" s="11" t="b">
        <f t="shared" si="2"/>
        <v>0</v>
      </c>
      <c r="J314" s="24"/>
      <c r="K314" s="11" t="b">
        <f t="shared" si="3"/>
        <v>0</v>
      </c>
    </row>
    <row r="315" ht="22.5" customHeight="1">
      <c r="A315" s="12">
        <f t="shared" si="4"/>
        <v>813</v>
      </c>
      <c r="B315" s="6" t="s">
        <v>2730</v>
      </c>
      <c r="C315" s="7" t="str">
        <f t="shared" si="1"/>
        <v>🔊</v>
      </c>
      <c r="D315" s="8" t="s">
        <v>2731</v>
      </c>
      <c r="E315" s="6" t="s">
        <v>1132</v>
      </c>
      <c r="F315" s="12" t="str">
        <f>IFERROR(__xludf.DUMMYFUNCTION("GOOGLETRANSLATE(B315,""zh_cn"",""vi"")"),"Sau đó")</f>
        <v>Sau đó</v>
      </c>
      <c r="G315" s="20" t="s">
        <v>2732</v>
      </c>
      <c r="I315" s="11" t="b">
        <f t="shared" si="2"/>
        <v>0</v>
      </c>
      <c r="J315" s="24"/>
      <c r="K315" s="11" t="b">
        <f t="shared" si="3"/>
        <v>0</v>
      </c>
    </row>
    <row r="316" ht="22.5" customHeight="1">
      <c r="A316" s="12">
        <f t="shared" si="4"/>
        <v>814</v>
      </c>
      <c r="B316" s="6" t="s">
        <v>2733</v>
      </c>
      <c r="C316" s="7" t="str">
        <f t="shared" si="1"/>
        <v>🔊</v>
      </c>
      <c r="D316" s="8" t="s">
        <v>2734</v>
      </c>
      <c r="E316" s="6" t="s">
        <v>13</v>
      </c>
      <c r="F316" s="12" t="str">
        <f>IFERROR(__xludf.DUMMYFUNCTION("GOOGLETRANSLATE(B316,""zh_cn"",""vi"")"),"Nhận ra")</f>
        <v>Nhận ra</v>
      </c>
      <c r="G316" s="20" t="s">
        <v>2735</v>
      </c>
      <c r="I316" s="11" t="b">
        <f t="shared" si="2"/>
        <v>0</v>
      </c>
      <c r="J316" s="24"/>
      <c r="K316" s="11" t="b">
        <f t="shared" si="3"/>
        <v>0</v>
      </c>
    </row>
    <row r="317" ht="22.5" customHeight="1">
      <c r="A317" s="12">
        <f t="shared" si="4"/>
        <v>815</v>
      </c>
      <c r="B317" s="6" t="s">
        <v>2736</v>
      </c>
      <c r="C317" s="7" t="str">
        <f t="shared" si="1"/>
        <v>🔊</v>
      </c>
      <c r="D317" s="8" t="s">
        <v>2737</v>
      </c>
      <c r="E317" s="6" t="s">
        <v>13</v>
      </c>
      <c r="F317" s="5" t="s">
        <v>2738</v>
      </c>
      <c r="G317" s="20" t="s">
        <v>2739</v>
      </c>
      <c r="I317" s="11" t="b">
        <f t="shared" si="2"/>
        <v>0</v>
      </c>
      <c r="J317" s="24"/>
      <c r="K317" s="11" t="b">
        <f t="shared" si="3"/>
        <v>0</v>
      </c>
    </row>
    <row r="318" ht="22.5" customHeight="1">
      <c r="A318" s="12">
        <f t="shared" si="4"/>
        <v>816</v>
      </c>
      <c r="B318" s="6" t="s">
        <v>2740</v>
      </c>
      <c r="C318" s="7" t="str">
        <f t="shared" si="1"/>
        <v>🔊</v>
      </c>
      <c r="D318" s="8" t="s">
        <v>2741</v>
      </c>
      <c r="E318" s="6" t="s">
        <v>99</v>
      </c>
      <c r="F318" s="5" t="s">
        <v>2742</v>
      </c>
      <c r="G318" s="20" t="s">
        <v>2743</v>
      </c>
      <c r="I318" s="11" t="b">
        <f t="shared" si="2"/>
        <v>0</v>
      </c>
      <c r="J318" s="24"/>
      <c r="K318" s="11" t="b">
        <f t="shared" si="3"/>
        <v>0</v>
      </c>
    </row>
    <row r="319" ht="22.5" customHeight="1">
      <c r="A319" s="12">
        <f t="shared" si="4"/>
        <v>817</v>
      </c>
      <c r="B319" s="6" t="s">
        <v>2744</v>
      </c>
      <c r="C319" s="7" t="str">
        <f t="shared" si="1"/>
        <v>🔊</v>
      </c>
      <c r="D319" s="8" t="s">
        <v>2745</v>
      </c>
      <c r="E319" s="6" t="s">
        <v>99</v>
      </c>
      <c r="F319" s="12" t="str">
        <f>IFERROR(__xludf.DUMMYFUNCTION("GOOGLETRANSLATE(B319,""zh_cn"",""vi"")"),"sự nhiệt tình")</f>
        <v>sự nhiệt tình</v>
      </c>
      <c r="G319" s="20" t="s">
        <v>2746</v>
      </c>
      <c r="I319" s="11" t="b">
        <f t="shared" si="2"/>
        <v>0</v>
      </c>
      <c r="J319" s="24"/>
      <c r="K319" s="11" t="b">
        <f t="shared" si="3"/>
        <v>0</v>
      </c>
    </row>
    <row r="320" ht="22.5" customHeight="1">
      <c r="A320" s="12">
        <f t="shared" si="4"/>
        <v>818</v>
      </c>
      <c r="B320" s="6" t="s">
        <v>2747</v>
      </c>
      <c r="C320" s="7" t="str">
        <f t="shared" si="1"/>
        <v>🔊</v>
      </c>
      <c r="D320" s="8" t="s">
        <v>2748</v>
      </c>
      <c r="E320" s="6" t="s">
        <v>99</v>
      </c>
      <c r="F320" s="12" t="str">
        <f>IFERROR(__xludf.DUMMYFUNCTION("GOOGLETRANSLATE(B320,""zh_cn"",""vi"")"),"dễ")</f>
        <v>dễ</v>
      </c>
      <c r="G320" s="20" t="s">
        <v>2749</v>
      </c>
      <c r="I320" s="11" t="b">
        <f t="shared" si="2"/>
        <v>0</v>
      </c>
      <c r="J320" s="24"/>
      <c r="K320" s="11" t="b">
        <f t="shared" si="3"/>
        <v>0</v>
      </c>
    </row>
    <row r="321" ht="22.5" customHeight="1">
      <c r="A321" s="12">
        <f t="shared" si="4"/>
        <v>819</v>
      </c>
      <c r="B321" s="6" t="s">
        <v>2750</v>
      </c>
      <c r="C321" s="7" t="str">
        <f t="shared" si="1"/>
        <v>🔊</v>
      </c>
      <c r="D321" s="8" t="s">
        <v>2751</v>
      </c>
      <c r="E321" s="6" t="s">
        <v>1132</v>
      </c>
      <c r="F321" s="12" t="str">
        <f>IFERROR(__xludf.DUMMYFUNCTION("GOOGLETRANSLATE(B321,""zh_cn"",""vi"")"),"nếu như")</f>
        <v>nếu như</v>
      </c>
      <c r="G321" s="20" t="s">
        <v>2752</v>
      </c>
      <c r="I321" s="11" t="b">
        <f t="shared" si="2"/>
        <v>0</v>
      </c>
      <c r="J321" s="24"/>
      <c r="K321" s="11" t="b">
        <f t="shared" si="3"/>
        <v>0</v>
      </c>
    </row>
    <row r="322" ht="22.5" customHeight="1">
      <c r="A322" s="12">
        <f t="shared" si="4"/>
        <v>820</v>
      </c>
      <c r="B322" s="6" t="s">
        <v>2753</v>
      </c>
      <c r="C322" s="7" t="str">
        <f t="shared" si="1"/>
        <v>🔊</v>
      </c>
      <c r="D322" s="8" t="s">
        <v>2754</v>
      </c>
      <c r="E322" s="6" t="s">
        <v>27</v>
      </c>
      <c r="F322" s="12" t="str">
        <f>IFERROR(__xludf.DUMMYFUNCTION("GOOGLETRANSLATE(B322,""zh_cn"",""vi"")"),"Chiếc ô")</f>
        <v>Chiếc ô</v>
      </c>
      <c r="G322" s="20" t="s">
        <v>2755</v>
      </c>
      <c r="I322" s="11" t="b">
        <f t="shared" si="2"/>
        <v>0</v>
      </c>
      <c r="J322" s="24"/>
      <c r="K322" s="11" t="b">
        <f t="shared" si="3"/>
        <v>0</v>
      </c>
    </row>
    <row r="323" ht="22.5" customHeight="1">
      <c r="A323" s="12">
        <f t="shared" si="4"/>
        <v>821</v>
      </c>
      <c r="B323" s="6" t="s">
        <v>2756</v>
      </c>
      <c r="C323" s="7" t="str">
        <f t="shared" si="1"/>
        <v>🔊</v>
      </c>
      <c r="D323" s="8" t="s">
        <v>2757</v>
      </c>
      <c r="E323" s="6" t="s">
        <v>13</v>
      </c>
      <c r="F323" s="12" t="str">
        <f>IFERROR(__xludf.DUMMYFUNCTION("GOOGLETRANSLATE(B323,""zh_cn"",""vi"")"),"quét")</f>
        <v>quét</v>
      </c>
      <c r="G323" s="20" t="s">
        <v>2758</v>
      </c>
      <c r="I323" s="11" t="b">
        <f t="shared" si="2"/>
        <v>0</v>
      </c>
      <c r="J323" s="24"/>
      <c r="K323" s="11" t="b">
        <f t="shared" si="3"/>
        <v>0</v>
      </c>
    </row>
    <row r="324" ht="22.5" customHeight="1">
      <c r="A324" s="12">
        <f t="shared" si="4"/>
        <v>822</v>
      </c>
      <c r="B324" s="6" t="s">
        <v>2759</v>
      </c>
      <c r="C324" s="7" t="str">
        <f t="shared" si="1"/>
        <v>🔊</v>
      </c>
      <c r="D324" s="8" t="s">
        <v>2760</v>
      </c>
      <c r="E324" s="6" t="s">
        <v>27</v>
      </c>
      <c r="F324" s="12" t="str">
        <f>IFERROR(__xludf.DUMMYFUNCTION("GOOGLETRANSLATE(B324,""zh_cn"",""vi"")"),"ghế sofa")</f>
        <v>ghế sofa</v>
      </c>
      <c r="G324" s="20" t="s">
        <v>2761</v>
      </c>
      <c r="I324" s="11" t="b">
        <f t="shared" si="2"/>
        <v>0</v>
      </c>
      <c r="J324" s="24"/>
      <c r="K324" s="11" t="b">
        <f t="shared" si="3"/>
        <v>0</v>
      </c>
    </row>
    <row r="325" ht="22.5" customHeight="1">
      <c r="A325" s="12">
        <f t="shared" si="4"/>
        <v>823</v>
      </c>
      <c r="B325" s="6" t="s">
        <v>2762</v>
      </c>
      <c r="C325" s="7" t="str">
        <f t="shared" si="1"/>
        <v>🔊</v>
      </c>
      <c r="D325" s="8" t="s">
        <v>2763</v>
      </c>
      <c r="E325" s="6" t="s">
        <v>27</v>
      </c>
      <c r="F325" s="12" t="str">
        <f>IFERROR(__xludf.DUMMYFUNCTION("GOOGLETRANSLATE(B325,""zh_cn"",""vi"")"),"Núi")</f>
        <v>Núi</v>
      </c>
      <c r="G325" s="20" t="s">
        <v>2764</v>
      </c>
      <c r="I325" s="11" t="b">
        <f t="shared" si="2"/>
        <v>0</v>
      </c>
      <c r="J325" s="24"/>
      <c r="K325" s="11" t="b">
        <f t="shared" si="3"/>
        <v>0</v>
      </c>
    </row>
    <row r="326" ht="22.5" customHeight="1">
      <c r="A326" s="12">
        <f t="shared" si="4"/>
        <v>824</v>
      </c>
      <c r="B326" s="6" t="s">
        <v>2765</v>
      </c>
      <c r="C326" s="7" t="str">
        <f t="shared" si="1"/>
        <v>🔊</v>
      </c>
      <c r="D326" s="8" t="s">
        <v>2766</v>
      </c>
      <c r="E326" s="6" t="s">
        <v>27</v>
      </c>
      <c r="F326" s="12" t="str">
        <f>IFERROR(__xludf.DUMMYFUNCTION("GOOGLETRANSLATE(B326,""zh_cn"",""vi"")"),"Áo khoác")</f>
        <v>Áo khoác</v>
      </c>
      <c r="G326" s="20" t="s">
        <v>2767</v>
      </c>
      <c r="I326" s="11" t="b">
        <f t="shared" si="2"/>
        <v>0</v>
      </c>
      <c r="J326" s="24"/>
      <c r="K326" s="11" t="b">
        <f t="shared" si="3"/>
        <v>0</v>
      </c>
    </row>
    <row r="327" ht="22.5" customHeight="1">
      <c r="A327" s="12">
        <f t="shared" si="4"/>
        <v>825</v>
      </c>
      <c r="B327" s="6" t="s">
        <v>2768</v>
      </c>
      <c r="C327" s="7" t="str">
        <f t="shared" si="1"/>
        <v>🔊</v>
      </c>
      <c r="D327" s="8" t="s">
        <v>2769</v>
      </c>
      <c r="E327" s="6" t="s">
        <v>27</v>
      </c>
      <c r="F327" s="12" t="str">
        <f>IFERROR(__xludf.DUMMYFUNCTION("GOOGLETRANSLATE(B327,""zh_cn"",""vi"")"),"thìa")</f>
        <v>thìa</v>
      </c>
      <c r="G327" s="20" t="s">
        <v>2770</v>
      </c>
      <c r="I327" s="11" t="b">
        <f t="shared" si="2"/>
        <v>0</v>
      </c>
      <c r="J327" s="24"/>
      <c r="K327" s="11" t="b">
        <f t="shared" si="3"/>
        <v>0</v>
      </c>
    </row>
    <row r="328" ht="22.5" customHeight="1">
      <c r="A328" s="12">
        <f t="shared" si="4"/>
        <v>826</v>
      </c>
      <c r="B328" s="6" t="s">
        <v>2771</v>
      </c>
      <c r="C328" s="7" t="str">
        <f t="shared" si="1"/>
        <v>🔊</v>
      </c>
      <c r="D328" s="8" t="s">
        <v>2772</v>
      </c>
      <c r="E328" s="6" t="s">
        <v>27</v>
      </c>
      <c r="F328" s="5" t="s">
        <v>2773</v>
      </c>
      <c r="G328" s="20" t="s">
        <v>2774</v>
      </c>
      <c r="I328" s="11" t="b">
        <f t="shared" si="2"/>
        <v>0</v>
      </c>
      <c r="J328" s="24"/>
      <c r="K328" s="11" t="b">
        <f t="shared" si="3"/>
        <v>0</v>
      </c>
    </row>
    <row r="329" ht="22.5" customHeight="1">
      <c r="A329" s="12">
        <f t="shared" si="4"/>
        <v>827</v>
      </c>
      <c r="B329" s="6" t="s">
        <v>2775</v>
      </c>
      <c r="C329" s="7" t="str">
        <f t="shared" si="1"/>
        <v>🔊</v>
      </c>
      <c r="D329" s="8" t="s">
        <v>2776</v>
      </c>
      <c r="E329" s="6" t="s">
        <v>259</v>
      </c>
      <c r="F329" s="12" t="str">
        <f>IFERROR(__xludf.DUMMYFUNCTION("GOOGLETRANSLATE(B329,""zh_cn"",""vi"")"),"Tiếng nói")</f>
        <v>Tiếng nói</v>
      </c>
      <c r="G329" s="20" t="s">
        <v>2777</v>
      </c>
      <c r="I329" s="11" t="b">
        <f t="shared" si="2"/>
        <v>0</v>
      </c>
      <c r="J329" s="24"/>
      <c r="K329" s="11" t="b">
        <f t="shared" si="3"/>
        <v>0</v>
      </c>
    </row>
    <row r="330" ht="22.5" customHeight="1">
      <c r="A330" s="12">
        <f t="shared" si="4"/>
        <v>828</v>
      </c>
      <c r="B330" s="6" t="s">
        <v>2778</v>
      </c>
      <c r="C330" s="7" t="str">
        <f t="shared" si="1"/>
        <v>🔊</v>
      </c>
      <c r="D330" s="8" t="s">
        <v>2779</v>
      </c>
      <c r="E330" s="6" t="s">
        <v>27</v>
      </c>
      <c r="F330" s="12" t="str">
        <f>IFERROR(__xludf.DUMMYFUNCTION("GOOGLETRANSLATE(B330,""zh_cn"",""vi"")"),"chiều cao")</f>
        <v>chiều cao</v>
      </c>
      <c r="G330" s="20" t="s">
        <v>2780</v>
      </c>
      <c r="I330" s="11" t="b">
        <f t="shared" si="2"/>
        <v>0</v>
      </c>
      <c r="J330" s="24"/>
      <c r="K330" s="11" t="b">
        <f t="shared" si="3"/>
        <v>0</v>
      </c>
    </row>
    <row r="331" ht="22.5" customHeight="1">
      <c r="A331" s="12">
        <f t="shared" si="4"/>
        <v>829</v>
      </c>
      <c r="B331" s="6" t="s">
        <v>2781</v>
      </c>
      <c r="C331" s="7" t="str">
        <f t="shared" si="1"/>
        <v>🔊</v>
      </c>
      <c r="D331" s="8" t="s">
        <v>2782</v>
      </c>
      <c r="E331" s="6" t="s">
        <v>57</v>
      </c>
      <c r="F331" s="5" t="s">
        <v>2783</v>
      </c>
      <c r="G331" s="20" t="s">
        <v>2784</v>
      </c>
      <c r="I331" s="11" t="b">
        <f t="shared" si="2"/>
        <v>0</v>
      </c>
      <c r="J331" s="24"/>
      <c r="K331" s="11" t="b">
        <f t="shared" si="3"/>
        <v>0</v>
      </c>
    </row>
    <row r="332" ht="22.5" customHeight="1">
      <c r="A332" s="12">
        <f t="shared" si="4"/>
        <v>830</v>
      </c>
      <c r="B332" s="6" t="s">
        <v>2785</v>
      </c>
      <c r="C332" s="7" t="str">
        <f t="shared" si="1"/>
        <v>🔊</v>
      </c>
      <c r="D332" s="8" t="s">
        <v>2786</v>
      </c>
      <c r="E332" s="6" t="s">
        <v>13</v>
      </c>
      <c r="F332" s="12" t="str">
        <f>IFERROR(__xludf.DUMMYFUNCTION("GOOGLETRANSLATE(B332,""zh_cn"",""vi"")"),"tức giận")</f>
        <v>tức giận</v>
      </c>
      <c r="G332" s="20" t="s">
        <v>2787</v>
      </c>
      <c r="I332" s="11" t="b">
        <f t="shared" si="2"/>
        <v>0</v>
      </c>
      <c r="J332" s="24"/>
      <c r="K332" s="11" t="b">
        <f t="shared" si="3"/>
        <v>0</v>
      </c>
    </row>
    <row r="333" ht="22.5" customHeight="1">
      <c r="A333" s="12">
        <f t="shared" si="4"/>
        <v>831</v>
      </c>
      <c r="B333" s="6" t="s">
        <v>2788</v>
      </c>
      <c r="C333" s="7" t="str">
        <f t="shared" si="1"/>
        <v>🔊</v>
      </c>
      <c r="D333" s="8" t="s">
        <v>2789</v>
      </c>
      <c r="E333" s="6" t="s">
        <v>27</v>
      </c>
      <c r="F333" s="12" t="str">
        <f>IFERROR(__xludf.DUMMYFUNCTION("GOOGLETRANSLATE(B333,""zh_cn"",""vi"")"),"âm thanh")</f>
        <v>âm thanh</v>
      </c>
      <c r="G333" s="20" t="s">
        <v>2790</v>
      </c>
      <c r="I333" s="11" t="b">
        <f t="shared" si="2"/>
        <v>0</v>
      </c>
      <c r="J333" s="24"/>
      <c r="K333" s="11" t="b">
        <f t="shared" si="3"/>
        <v>0</v>
      </c>
    </row>
    <row r="334" ht="22.5" customHeight="1">
      <c r="A334" s="12">
        <f t="shared" si="4"/>
        <v>832</v>
      </c>
      <c r="B334" s="6" t="s">
        <v>2791</v>
      </c>
      <c r="C334" s="7" t="str">
        <f t="shared" si="1"/>
        <v>🔊</v>
      </c>
      <c r="D334" s="8" t="s">
        <v>641</v>
      </c>
      <c r="E334" s="6" t="s">
        <v>27</v>
      </c>
      <c r="F334" s="12" t="str">
        <f>IFERROR(__xludf.DUMMYFUNCTION("GOOGLETRANSLATE(B334,""zh_cn"",""vi"")"),"thành phố")</f>
        <v>thành phố</v>
      </c>
      <c r="G334" s="20" t="s">
        <v>2792</v>
      </c>
      <c r="I334" s="11" t="b">
        <f t="shared" si="2"/>
        <v>0</v>
      </c>
      <c r="J334" s="24"/>
      <c r="K334" s="11" t="b">
        <f t="shared" si="3"/>
        <v>0</v>
      </c>
    </row>
    <row r="335" ht="22.5" customHeight="1">
      <c r="A335" s="12">
        <f t="shared" si="4"/>
        <v>833</v>
      </c>
      <c r="B335" s="6" t="s">
        <v>2793</v>
      </c>
      <c r="C335" s="7" t="str">
        <f t="shared" si="1"/>
        <v>🔊</v>
      </c>
      <c r="D335" s="8" t="s">
        <v>641</v>
      </c>
      <c r="E335" s="6" t="s">
        <v>13</v>
      </c>
      <c r="F335" s="12" t="str">
        <f>IFERROR(__xludf.DUMMYFUNCTION("GOOGLETRANSLATE(B335,""zh_cn"",""vi"")"),"thử")</f>
        <v>thử</v>
      </c>
      <c r="G335" s="20" t="s">
        <v>2794</v>
      </c>
      <c r="I335" s="11" t="b">
        <f t="shared" si="2"/>
        <v>0</v>
      </c>
      <c r="J335" s="24"/>
      <c r="K335" s="11" t="b">
        <f t="shared" si="3"/>
        <v>0</v>
      </c>
    </row>
    <row r="336" ht="22.5" customHeight="1">
      <c r="A336" s="12">
        <f t="shared" si="4"/>
        <v>834</v>
      </c>
      <c r="B336" s="6" t="s">
        <v>2795</v>
      </c>
      <c r="C336" s="7" t="str">
        <f t="shared" si="1"/>
        <v>🔊</v>
      </c>
      <c r="D336" s="8" t="s">
        <v>641</v>
      </c>
      <c r="E336" s="6" t="s">
        <v>27</v>
      </c>
      <c r="F336" s="12" t="str">
        <f>IFERROR(__xludf.DUMMYFUNCTION("GOOGLETRANSLATE(B336,""zh_cn"",""vi"")"),"phòng")</f>
        <v>phòng</v>
      </c>
      <c r="G336" s="20" t="s">
        <v>2796</v>
      </c>
      <c r="I336" s="11" t="b">
        <f t="shared" si="2"/>
        <v>0</v>
      </c>
      <c r="J336" s="24"/>
      <c r="K336" s="11" t="b">
        <f t="shared" si="3"/>
        <v>0</v>
      </c>
    </row>
    <row r="337" ht="22.5" customHeight="1">
      <c r="A337" s="12">
        <f t="shared" si="4"/>
        <v>835</v>
      </c>
      <c r="B337" s="6" t="s">
        <v>2797</v>
      </c>
      <c r="C337" s="7" t="str">
        <f t="shared" si="1"/>
        <v>🔊</v>
      </c>
      <c r="D337" s="8" t="s">
        <v>2798</v>
      </c>
      <c r="E337" s="6" t="s">
        <v>27</v>
      </c>
      <c r="F337" s="12" t="str">
        <f>IFERROR(__xludf.DUMMYFUNCTION("GOOGLETRANSLATE(B337,""zh_cn"",""vi"")"),"thế giới")</f>
        <v>thế giới</v>
      </c>
      <c r="G337" s="20" t="s">
        <v>2799</v>
      </c>
      <c r="I337" s="11" t="b">
        <f t="shared" si="2"/>
        <v>0</v>
      </c>
      <c r="J337" s="24"/>
      <c r="K337" s="11" t="b">
        <f t="shared" si="3"/>
        <v>0</v>
      </c>
    </row>
    <row r="338" ht="22.5" customHeight="1">
      <c r="A338" s="12">
        <f t="shared" si="4"/>
        <v>836</v>
      </c>
      <c r="B338" s="6" t="s">
        <v>2800</v>
      </c>
      <c r="C338" s="7" t="str">
        <f t="shared" si="1"/>
        <v>🔊</v>
      </c>
      <c r="D338" s="8" t="s">
        <v>2801</v>
      </c>
      <c r="E338" s="6" t="s">
        <v>13</v>
      </c>
      <c r="F338" s="5" t="s">
        <v>2802</v>
      </c>
      <c r="G338" s="20" t="s">
        <v>2803</v>
      </c>
      <c r="I338" s="11" t="b">
        <f t="shared" si="2"/>
        <v>0</v>
      </c>
      <c r="J338" s="24"/>
      <c r="K338" s="11" t="b">
        <f t="shared" si="3"/>
        <v>0</v>
      </c>
    </row>
    <row r="339" ht="22.5" customHeight="1">
      <c r="A339" s="12">
        <f t="shared" si="4"/>
        <v>837</v>
      </c>
      <c r="B339" s="6" t="s">
        <v>2804</v>
      </c>
      <c r="C339" s="7" t="str">
        <f t="shared" si="1"/>
        <v>🔊</v>
      </c>
      <c r="D339" s="8" t="s">
        <v>2801</v>
      </c>
      <c r="E339" s="6" t="s">
        <v>99</v>
      </c>
      <c r="F339" s="12" t="str">
        <f>IFERROR(__xludf.DUMMYFUNCTION("GOOGLETRANSLATE(B339,""zh_cn"",""vi"")"),"gầy")</f>
        <v>gầy</v>
      </c>
      <c r="G339" s="20" t="s">
        <v>2805</v>
      </c>
      <c r="I339" s="11" t="b">
        <f t="shared" si="2"/>
        <v>0</v>
      </c>
      <c r="J339" s="24"/>
      <c r="K339" s="11" t="b">
        <f t="shared" si="3"/>
        <v>0</v>
      </c>
    </row>
    <row r="340" ht="22.5" customHeight="1">
      <c r="A340" s="12">
        <f t="shared" si="4"/>
        <v>838</v>
      </c>
      <c r="B340" s="6" t="s">
        <v>2806</v>
      </c>
      <c r="C340" s="7" t="str">
        <f t="shared" si="1"/>
        <v>🔊</v>
      </c>
      <c r="D340" s="8" t="s">
        <v>2807</v>
      </c>
      <c r="E340" s="6" t="s">
        <v>13</v>
      </c>
      <c r="F340" s="5" t="s">
        <v>2808</v>
      </c>
      <c r="G340" s="20" t="s">
        <v>2809</v>
      </c>
      <c r="I340" s="11" t="b">
        <f t="shared" si="2"/>
        <v>0</v>
      </c>
      <c r="J340" s="24"/>
      <c r="K340" s="11" t="b">
        <f t="shared" si="3"/>
        <v>0</v>
      </c>
    </row>
    <row r="341" ht="22.5" customHeight="1">
      <c r="A341" s="12">
        <f t="shared" si="4"/>
        <v>839</v>
      </c>
      <c r="B341" s="6" t="s">
        <v>2810</v>
      </c>
      <c r="C341" s="7" t="str">
        <f t="shared" si="1"/>
        <v>🔊</v>
      </c>
      <c r="D341" s="8" t="s">
        <v>2811</v>
      </c>
      <c r="E341" s="6" t="s">
        <v>13</v>
      </c>
      <c r="F341" s="5" t="s">
        <v>2812</v>
      </c>
      <c r="G341" s="20" t="s">
        <v>2813</v>
      </c>
      <c r="I341" s="11" t="b">
        <f t="shared" si="2"/>
        <v>0</v>
      </c>
      <c r="J341" s="24"/>
      <c r="K341" s="11" t="b">
        <f t="shared" si="3"/>
        <v>0</v>
      </c>
    </row>
    <row r="342" ht="22.5" customHeight="1">
      <c r="A342" s="12">
        <f t="shared" si="4"/>
        <v>840</v>
      </c>
      <c r="B342" s="6" t="s">
        <v>2814</v>
      </c>
      <c r="C342" s="7" t="str">
        <f t="shared" si="1"/>
        <v>🔊</v>
      </c>
      <c r="D342" s="8" t="s">
        <v>2815</v>
      </c>
      <c r="E342" s="6" t="s">
        <v>13</v>
      </c>
      <c r="F342" s="5" t="s">
        <v>2816</v>
      </c>
      <c r="G342" s="20" t="s">
        <v>2817</v>
      </c>
      <c r="I342" s="11" t="b">
        <f t="shared" si="2"/>
        <v>0</v>
      </c>
      <c r="J342" s="24"/>
      <c r="K342" s="11" t="b">
        <f t="shared" si="3"/>
        <v>0</v>
      </c>
    </row>
    <row r="343" ht="22.5" customHeight="1">
      <c r="A343" s="12">
        <f t="shared" si="4"/>
        <v>841</v>
      </c>
      <c r="B343" s="6" t="s">
        <v>2818</v>
      </c>
      <c r="C343" s="7" t="str">
        <f t="shared" si="1"/>
        <v>🔊</v>
      </c>
      <c r="D343" s="8" t="s">
        <v>2819</v>
      </c>
      <c r="E343" s="6" t="s">
        <v>27</v>
      </c>
      <c r="F343" s="12" t="str">
        <f>IFERROR(__xludf.DUMMYFUNCTION("GOOGLETRANSLATE(B343,""zh_cn"",""vi"")"),"Cây")</f>
        <v>Cây</v>
      </c>
      <c r="G343" s="20" t="s">
        <v>2820</v>
      </c>
      <c r="I343" s="11" t="b">
        <f t="shared" si="2"/>
        <v>0</v>
      </c>
      <c r="J343" s="24"/>
      <c r="K343" s="11" t="b">
        <f t="shared" si="3"/>
        <v>0</v>
      </c>
    </row>
    <row r="344" ht="22.5" customHeight="1">
      <c r="A344" s="12">
        <f t="shared" si="4"/>
        <v>842</v>
      </c>
      <c r="B344" s="6" t="s">
        <v>2821</v>
      </c>
      <c r="C344" s="7" t="str">
        <f t="shared" si="1"/>
        <v>🔊</v>
      </c>
      <c r="D344" s="8" t="s">
        <v>2822</v>
      </c>
      <c r="E344" s="6" t="s">
        <v>13</v>
      </c>
      <c r="F344" s="12" t="str">
        <f>IFERROR(__xludf.DUMMYFUNCTION("GOOGLETRANSLATE(B344,""zh_cn"",""vi"")"),"chải")</f>
        <v>chải</v>
      </c>
      <c r="G344" s="20" t="s">
        <v>2823</v>
      </c>
      <c r="I344" s="11" t="b">
        <f t="shared" si="2"/>
        <v>0</v>
      </c>
      <c r="J344" s="24"/>
      <c r="K344" s="11" t="b">
        <f t="shared" si="3"/>
        <v>0</v>
      </c>
    </row>
    <row r="345" ht="22.5" customHeight="1">
      <c r="A345" s="12">
        <f t="shared" si="4"/>
        <v>843</v>
      </c>
      <c r="B345" s="6" t="s">
        <v>2824</v>
      </c>
      <c r="C345" s="7" t="str">
        <f t="shared" si="1"/>
        <v>🔊</v>
      </c>
      <c r="D345" s="8" t="s">
        <v>2825</v>
      </c>
      <c r="E345" s="6" t="s">
        <v>47</v>
      </c>
      <c r="F345" s="12" t="str">
        <f>IFERROR(__xludf.DUMMYFUNCTION("GOOGLETRANSLATE(B345,""zh_cn"",""vi"")"),"đôi")</f>
        <v>đôi</v>
      </c>
      <c r="G345" s="20" t="s">
        <v>2826</v>
      </c>
      <c r="I345" s="11" t="b">
        <f t="shared" si="2"/>
        <v>0</v>
      </c>
      <c r="J345" s="24"/>
      <c r="K345" s="11" t="b">
        <f t="shared" si="3"/>
        <v>0</v>
      </c>
    </row>
    <row r="346" ht="22.5" customHeight="1">
      <c r="A346" s="12">
        <f t="shared" si="4"/>
        <v>844</v>
      </c>
      <c r="B346" s="6" t="s">
        <v>2827</v>
      </c>
      <c r="C346" s="7" t="str">
        <f t="shared" si="1"/>
        <v>🔊</v>
      </c>
      <c r="D346" s="8" t="s">
        <v>2828</v>
      </c>
      <c r="E346" s="6" t="s">
        <v>27</v>
      </c>
      <c r="F346" s="12" t="str">
        <f>IFERROR(__xludf.DUMMYFUNCTION("GOOGLETRANSLATE(B346,""zh_cn"",""vi"")"),"mức độ")</f>
        <v>mức độ</v>
      </c>
      <c r="G346" s="20" t="s">
        <v>2829</v>
      </c>
      <c r="I346" s="11" t="b">
        <f t="shared" si="2"/>
        <v>0</v>
      </c>
      <c r="J346" s="24"/>
      <c r="K346" s="11" t="b">
        <f t="shared" si="3"/>
        <v>0</v>
      </c>
    </row>
    <row r="347" ht="22.5" customHeight="1">
      <c r="A347" s="12">
        <f t="shared" si="4"/>
        <v>845</v>
      </c>
      <c r="B347" s="6" t="s">
        <v>2830</v>
      </c>
      <c r="C347" s="7" t="str">
        <f t="shared" si="1"/>
        <v>🔊</v>
      </c>
      <c r="D347" s="8" t="s">
        <v>2831</v>
      </c>
      <c r="E347" s="6" t="s">
        <v>27</v>
      </c>
      <c r="F347" s="12" t="str">
        <f>IFERROR(__xludf.DUMMYFUNCTION("GOOGLETRANSLATE(B347,""zh_cn"",""vi"")"),"chú ")</f>
        <v>chú </v>
      </c>
      <c r="G347" s="20" t="s">
        <v>2832</v>
      </c>
      <c r="I347" s="11" t="b">
        <f t="shared" si="2"/>
        <v>0</v>
      </c>
      <c r="J347" s="24"/>
      <c r="K347" s="11" t="b">
        <f t="shared" si="3"/>
        <v>0</v>
      </c>
    </row>
    <row r="348" ht="22.5" customHeight="1">
      <c r="A348" s="12">
        <f t="shared" si="4"/>
        <v>846</v>
      </c>
      <c r="B348" s="6" t="s">
        <v>2833</v>
      </c>
      <c r="C348" s="7" t="str">
        <f t="shared" si="1"/>
        <v>🔊</v>
      </c>
      <c r="D348" s="8" t="s">
        <v>2834</v>
      </c>
      <c r="E348" s="6" t="s">
        <v>27</v>
      </c>
      <c r="F348" s="12" t="str">
        <f>IFERROR(__xludf.DUMMYFUNCTION("GOOGLETRANSLATE(B348,""zh_cn"",""vi"")"),"toán học")</f>
        <v>toán học</v>
      </c>
      <c r="G348" s="20" t="s">
        <v>2835</v>
      </c>
      <c r="I348" s="11" t="b">
        <f t="shared" si="2"/>
        <v>0</v>
      </c>
      <c r="J348" s="24"/>
      <c r="K348" s="11" t="b">
        <f t="shared" si="3"/>
        <v>0</v>
      </c>
    </row>
    <row r="349" ht="22.5" customHeight="1">
      <c r="A349" s="12">
        <f t="shared" si="4"/>
        <v>847</v>
      </c>
      <c r="B349" s="6" t="s">
        <v>2836</v>
      </c>
      <c r="C349" s="7" t="str">
        <f t="shared" si="1"/>
        <v>🔊</v>
      </c>
      <c r="D349" s="8" t="s">
        <v>2837</v>
      </c>
      <c r="E349" s="6" t="s">
        <v>27</v>
      </c>
      <c r="F349" s="12" t="str">
        <f>IFERROR(__xludf.DUMMYFUNCTION("GOOGLETRANSLATE(B349,""zh_cn"",""vi"")"),"bốn mùa")</f>
        <v>bốn mùa</v>
      </c>
      <c r="G349" s="20" t="s">
        <v>2838</v>
      </c>
      <c r="I349" s="11" t="b">
        <f t="shared" si="2"/>
        <v>0</v>
      </c>
      <c r="J349" s="24"/>
      <c r="K349" s="11" t="b">
        <f t="shared" si="3"/>
        <v>0</v>
      </c>
    </row>
    <row r="350" ht="22.5" customHeight="1">
      <c r="A350" s="12">
        <f t="shared" si="4"/>
        <v>848</v>
      </c>
      <c r="B350" s="6" t="s">
        <v>2839</v>
      </c>
      <c r="C350" s="7" t="str">
        <f t="shared" si="1"/>
        <v>🔊</v>
      </c>
      <c r="D350" s="8" t="s">
        <v>2840</v>
      </c>
      <c r="E350" s="6" t="s">
        <v>27</v>
      </c>
      <c r="F350" s="12" t="str">
        <f>IFERROR(__xludf.DUMMYFUNCTION("GOOGLETRANSLATE(B350,""zh_cn"",""vi"")"),"tài xế")</f>
        <v>tài xế</v>
      </c>
      <c r="G350" s="20" t="s">
        <v>2841</v>
      </c>
      <c r="I350" s="11" t="b">
        <f t="shared" si="2"/>
        <v>0</v>
      </c>
      <c r="J350" s="24"/>
      <c r="K350" s="11" t="b">
        <f t="shared" si="3"/>
        <v>0</v>
      </c>
    </row>
    <row r="351" ht="22.5" customHeight="1">
      <c r="A351" s="12">
        <f t="shared" si="4"/>
        <v>849</v>
      </c>
      <c r="B351" s="6" t="s">
        <v>2842</v>
      </c>
      <c r="C351" s="7" t="str">
        <f t="shared" si="1"/>
        <v>🔊</v>
      </c>
      <c r="D351" s="8" t="s">
        <v>2843</v>
      </c>
      <c r="E351" s="6" t="s">
        <v>27</v>
      </c>
      <c r="F351" s="12" t="str">
        <f>IFERROR(__xludf.DUMMYFUNCTION("GOOGLETRANSLATE(B351,""zh_cn"",""vi"")"),"mặt trời")</f>
        <v>mặt trời</v>
      </c>
      <c r="G351" s="20" t="s">
        <v>2844</v>
      </c>
      <c r="I351" s="11" t="b">
        <f t="shared" si="2"/>
        <v>0</v>
      </c>
      <c r="J351" s="24"/>
      <c r="K351" s="11" t="b">
        <f t="shared" si="3"/>
        <v>0</v>
      </c>
    </row>
    <row r="352" ht="22.5" customHeight="1">
      <c r="A352" s="12">
        <f t="shared" si="4"/>
        <v>850</v>
      </c>
      <c r="B352" s="6" t="s">
        <v>2845</v>
      </c>
      <c r="C352" s="7" t="str">
        <f t="shared" si="1"/>
        <v>🔊</v>
      </c>
      <c r="D352" s="8" t="s">
        <v>2846</v>
      </c>
      <c r="E352" s="6" t="s">
        <v>27</v>
      </c>
      <c r="F352" s="12" t="str">
        <f>IFERROR(__xludf.DUMMYFUNCTION("GOOGLETRANSLATE(B352,""zh_cn"",""vi"")"),"đường")</f>
        <v>đường</v>
      </c>
      <c r="G352" s="20" t="s">
        <v>2847</v>
      </c>
      <c r="I352" s="11" t="b">
        <f t="shared" si="2"/>
        <v>0</v>
      </c>
      <c r="J352" s="24"/>
      <c r="K352" s="11" t="b">
        <f t="shared" si="3"/>
        <v>0</v>
      </c>
    </row>
    <row r="353" ht="22.5" customHeight="1">
      <c r="A353" s="12">
        <f t="shared" si="4"/>
        <v>851</v>
      </c>
      <c r="B353" s="6" t="s">
        <v>2848</v>
      </c>
      <c r="C353" s="7" t="str">
        <f t="shared" si="1"/>
        <v>🔊</v>
      </c>
      <c r="D353" s="8" t="s">
        <v>2849</v>
      </c>
      <c r="E353" s="6" t="s">
        <v>1308</v>
      </c>
      <c r="F353" s="12" t="str">
        <f>IFERROR(__xludf.DUMMYFUNCTION("GOOGLETRANSLATE(B353,""zh_cn"",""vi"")"),"đặc biệt")</f>
        <v>đặc biệt</v>
      </c>
      <c r="G353" s="20" t="s">
        <v>2850</v>
      </c>
      <c r="I353" s="11" t="b">
        <f t="shared" si="2"/>
        <v>0</v>
      </c>
      <c r="J353" s="24"/>
      <c r="K353" s="11" t="b">
        <f t="shared" si="3"/>
        <v>0</v>
      </c>
    </row>
    <row r="354" ht="22.5" customHeight="1">
      <c r="A354" s="12">
        <f t="shared" si="4"/>
        <v>852</v>
      </c>
      <c r="B354" s="6" t="s">
        <v>2851</v>
      </c>
      <c r="C354" s="7" t="str">
        <f t="shared" si="1"/>
        <v>🔊</v>
      </c>
      <c r="D354" s="8" t="s">
        <v>2852</v>
      </c>
      <c r="E354" s="6" t="s">
        <v>99</v>
      </c>
      <c r="F354" s="12" t="str">
        <f>IFERROR(__xludf.DUMMYFUNCTION("GOOGLETRANSLATE(B354,""zh_cn"",""vi"")"),"ngọt ")</f>
        <v>ngọt </v>
      </c>
      <c r="G354" s="20" t="s">
        <v>2853</v>
      </c>
      <c r="I354" s="11" t="b">
        <f t="shared" si="2"/>
        <v>0</v>
      </c>
      <c r="J354" s="24"/>
      <c r="K354" s="11" t="b">
        <f t="shared" si="3"/>
        <v>0</v>
      </c>
    </row>
    <row r="355" ht="22.5" customHeight="1">
      <c r="A355" s="12">
        <f t="shared" si="4"/>
        <v>853</v>
      </c>
      <c r="B355" s="6" t="s">
        <v>2854</v>
      </c>
      <c r="C355" s="7" t="str">
        <f t="shared" si="1"/>
        <v>🔊</v>
      </c>
      <c r="D355" s="8" t="s">
        <v>2855</v>
      </c>
      <c r="E355" s="6" t="s">
        <v>13</v>
      </c>
      <c r="F355" s="12" t="str">
        <f>IFERROR(__xludf.DUMMYFUNCTION("GOOGLETRANSLATE(B355,""zh_cn"",""vi"")"),"Nhảy")</f>
        <v>Nhảy</v>
      </c>
      <c r="G355" s="20" t="s">
        <v>2856</v>
      </c>
      <c r="I355" s="11" t="b">
        <f t="shared" si="2"/>
        <v>0</v>
      </c>
      <c r="J355" s="24"/>
      <c r="K355" s="11" t="b">
        <f t="shared" si="3"/>
        <v>0</v>
      </c>
    </row>
    <row r="356" ht="22.5" customHeight="1">
      <c r="A356" s="12">
        <f t="shared" si="4"/>
        <v>854</v>
      </c>
      <c r="B356" s="6" t="s">
        <v>2857</v>
      </c>
      <c r="C356" s="7" t="str">
        <f t="shared" si="1"/>
        <v>🔊</v>
      </c>
      <c r="D356" s="8" t="s">
        <v>2858</v>
      </c>
      <c r="E356" s="6" t="s">
        <v>13</v>
      </c>
      <c r="F356" s="12" t="str">
        <f>IFERROR(__xludf.DUMMYFUNCTION("GOOGLETRANSLATE(B356,""zh_cn"",""vi"")"),"cải thiện ")</f>
        <v>cải thiện </v>
      </c>
      <c r="G356" s="20" t="s">
        <v>2859</v>
      </c>
      <c r="I356" s="11" t="b">
        <f t="shared" si="2"/>
        <v>0</v>
      </c>
      <c r="J356" s="24"/>
      <c r="K356" s="11" t="b">
        <f t="shared" si="3"/>
        <v>0</v>
      </c>
    </row>
    <row r="357" ht="22.5" customHeight="1">
      <c r="A357" s="12">
        <f t="shared" si="4"/>
        <v>855</v>
      </c>
      <c r="B357" s="6" t="s">
        <v>2860</v>
      </c>
      <c r="C357" s="7" t="str">
        <f t="shared" si="1"/>
        <v>🔊</v>
      </c>
      <c r="D357" s="8" t="s">
        <v>2861</v>
      </c>
      <c r="E357" s="6" t="s">
        <v>2862</v>
      </c>
      <c r="F357" s="12" t="str">
        <f>IFERROR(__xludf.DUMMYFUNCTION("GOOGLETRANSLATE(B357,""zh_cn"",""vi"")"),"khá")</f>
        <v>khá</v>
      </c>
      <c r="G357" s="20" t="s">
        <v>2863</v>
      </c>
      <c r="I357" s="11" t="b">
        <f t="shared" si="2"/>
        <v>0</v>
      </c>
      <c r="J357" s="24"/>
      <c r="K357" s="11" t="b">
        <f t="shared" si="3"/>
        <v>0</v>
      </c>
    </row>
    <row r="358" ht="22.5" customHeight="1">
      <c r="A358" s="12">
        <f t="shared" si="4"/>
        <v>856</v>
      </c>
      <c r="B358" s="6" t="s">
        <v>2864</v>
      </c>
      <c r="C358" s="7" t="str">
        <f t="shared" si="1"/>
        <v>🔊</v>
      </c>
      <c r="D358" s="8" t="s">
        <v>2865</v>
      </c>
      <c r="E358" s="6" t="s">
        <v>13</v>
      </c>
      <c r="F358" s="12" t="str">
        <f>IFERROR(__xludf.DUMMYFUNCTION("GOOGLETRANSLATE(B358,""zh_cn"",""vi"")"),"Tôi nghe nói")</f>
        <v>Tôi nghe nói</v>
      </c>
      <c r="G358" s="20" t="s">
        <v>2866</v>
      </c>
      <c r="I358" s="11" t="b">
        <f t="shared" si="2"/>
        <v>0</v>
      </c>
      <c r="J358" s="24"/>
      <c r="K358" s="11" t="b">
        <f t="shared" si="3"/>
        <v>0</v>
      </c>
    </row>
    <row r="359" ht="22.5" customHeight="1">
      <c r="A359" s="12">
        <f t="shared" si="4"/>
        <v>857</v>
      </c>
      <c r="B359" s="6" t="s">
        <v>2867</v>
      </c>
      <c r="C359" s="7" t="str">
        <f t="shared" si="1"/>
        <v>🔊</v>
      </c>
      <c r="D359" s="8" t="s">
        <v>2868</v>
      </c>
      <c r="E359" s="6" t="s">
        <v>27</v>
      </c>
      <c r="F359" s="12" t="str">
        <f>IFERROR(__xludf.DUMMYFUNCTION("GOOGLETRANSLATE(B359,""zh_cn"",""vi"")"),"giáo dục thể chất")</f>
        <v>giáo dục thể chất</v>
      </c>
      <c r="G359" s="20" t="s">
        <v>2869</v>
      </c>
      <c r="I359" s="11" t="b">
        <f t="shared" si="2"/>
        <v>0</v>
      </c>
      <c r="J359" s="24"/>
      <c r="K359" s="11" t="b">
        <f t="shared" si="3"/>
        <v>0</v>
      </c>
    </row>
    <row r="360" ht="22.5" customHeight="1">
      <c r="A360" s="12">
        <f t="shared" si="4"/>
        <v>858</v>
      </c>
      <c r="B360" s="6" t="s">
        <v>2870</v>
      </c>
      <c r="C360" s="7" t="str">
        <f t="shared" si="1"/>
        <v>🔊</v>
      </c>
      <c r="D360" s="8" t="s">
        <v>2871</v>
      </c>
      <c r="E360" s="6" t="s">
        <v>27</v>
      </c>
      <c r="F360" s="12" t="str">
        <f>IFERROR(__xludf.DUMMYFUNCTION("GOOGLETRANSLATE(B360,""zh_cn"",""vi"")"),"sân vận động")</f>
        <v>sân vận động</v>
      </c>
      <c r="G360" s="20" t="s">
        <v>2872</v>
      </c>
      <c r="I360" s="11" t="b">
        <f t="shared" si="2"/>
        <v>0</v>
      </c>
      <c r="J360" s="24"/>
      <c r="K360" s="11" t="b">
        <f t="shared" si="3"/>
        <v>0</v>
      </c>
    </row>
    <row r="361" ht="22.5" customHeight="1">
      <c r="A361" s="12">
        <f t="shared" si="4"/>
        <v>859</v>
      </c>
      <c r="B361" s="6" t="s">
        <v>2873</v>
      </c>
      <c r="C361" s="7" t="str">
        <f t="shared" si="1"/>
        <v>🔊</v>
      </c>
      <c r="D361" s="8" t="s">
        <v>2874</v>
      </c>
      <c r="E361" s="6" t="s">
        <v>27</v>
      </c>
      <c r="F361" s="12" t="str">
        <f>IFERROR(__xludf.DUMMYFUNCTION("GOOGLETRANSLATE(B361,""zh_cn"",""vi"")"),"đồng nghiệp")</f>
        <v>đồng nghiệp</v>
      </c>
      <c r="G361" s="20" t="s">
        <v>2875</v>
      </c>
      <c r="I361" s="11" t="b">
        <f t="shared" si="2"/>
        <v>0</v>
      </c>
      <c r="J361" s="24"/>
      <c r="K361" s="11" t="b">
        <f t="shared" si="3"/>
        <v>0</v>
      </c>
    </row>
    <row r="362" ht="22.5" customHeight="1">
      <c r="A362" s="12">
        <f t="shared" si="4"/>
        <v>860</v>
      </c>
      <c r="B362" s="6" t="s">
        <v>2876</v>
      </c>
      <c r="C362" s="7" t="str">
        <f t="shared" si="1"/>
        <v>🔊</v>
      </c>
      <c r="D362" s="8" t="s">
        <v>2877</v>
      </c>
      <c r="E362" s="6" t="s">
        <v>13</v>
      </c>
      <c r="F362" s="12" t="str">
        <f>IFERROR(__xludf.DUMMYFUNCTION("GOOGLETRANSLATE(B362,""zh_cn"",""vi"")"),"đồng ý")</f>
        <v>đồng ý</v>
      </c>
      <c r="G362" s="20" t="s">
        <v>2878</v>
      </c>
      <c r="I362" s="11" t="b">
        <f t="shared" si="2"/>
        <v>0</v>
      </c>
      <c r="J362" s="24"/>
      <c r="K362" s="11" t="b">
        <f t="shared" si="3"/>
        <v>0</v>
      </c>
    </row>
    <row r="363" ht="22.5" customHeight="1">
      <c r="A363" s="12">
        <f t="shared" si="4"/>
        <v>861</v>
      </c>
      <c r="B363" s="6" t="s">
        <v>2879</v>
      </c>
      <c r="C363" s="7" t="str">
        <f t="shared" si="1"/>
        <v>🔊</v>
      </c>
      <c r="D363" s="8" t="s">
        <v>2880</v>
      </c>
      <c r="E363" s="6" t="s">
        <v>27</v>
      </c>
      <c r="F363" s="12" t="str">
        <f>IFERROR(__xludf.DUMMYFUNCTION("GOOGLETRANSLATE(B363,""zh_cn"",""vi"")"),"tóc")</f>
        <v>tóc</v>
      </c>
      <c r="G363" s="20" t="s">
        <v>2881</v>
      </c>
      <c r="I363" s="11" t="b">
        <f t="shared" si="2"/>
        <v>0</v>
      </c>
      <c r="J363" s="24"/>
      <c r="K363" s="11" t="b">
        <f t="shared" si="3"/>
        <v>0</v>
      </c>
    </row>
    <row r="364" ht="22.5" customHeight="1">
      <c r="A364" s="12">
        <f t="shared" si="4"/>
        <v>862</v>
      </c>
      <c r="B364" s="6" t="s">
        <v>2882</v>
      </c>
      <c r="C364" s="7" t="str">
        <f t="shared" si="1"/>
        <v>🔊</v>
      </c>
      <c r="D364" s="8" t="s">
        <v>2883</v>
      </c>
      <c r="E364" s="6" t="s">
        <v>27</v>
      </c>
      <c r="F364" s="12" t="str">
        <f>IFERROR(__xludf.DUMMYFUNCTION("GOOGLETRANSLATE(B364,""zh_cn"",""vi"")"),"chân")</f>
        <v>chân</v>
      </c>
      <c r="G364" s="20" t="s">
        <v>2884</v>
      </c>
      <c r="I364" s="11" t="b">
        <f t="shared" si="2"/>
        <v>0</v>
      </c>
      <c r="J364" s="24"/>
      <c r="K364" s="11" t="b">
        <f t="shared" si="3"/>
        <v>0</v>
      </c>
    </row>
    <row r="365" ht="22.5" customHeight="1">
      <c r="A365" s="12">
        <f t="shared" si="4"/>
        <v>863</v>
      </c>
      <c r="B365" s="6" t="s">
        <v>2885</v>
      </c>
      <c r="C365" s="7" t="str">
        <f t="shared" si="1"/>
        <v>🔊</v>
      </c>
      <c r="D365" s="8" t="s">
        <v>2886</v>
      </c>
      <c r="E365" s="6" t="s">
        <v>99</v>
      </c>
      <c r="F365" s="12" t="str">
        <f>IFERROR(__xludf.DUMMYFUNCTION("GOOGLETRANSLATE(B365,""zh_cn"",""vi"")"),"Đột ngột")</f>
        <v>Đột ngột</v>
      </c>
      <c r="G365" s="20" t="s">
        <v>2887</v>
      </c>
      <c r="I365" s="11" t="b">
        <f t="shared" si="2"/>
        <v>0</v>
      </c>
      <c r="J365" s="24"/>
      <c r="K365" s="11" t="b">
        <f t="shared" si="3"/>
        <v>0</v>
      </c>
    </row>
    <row r="366" ht="22.5" customHeight="1">
      <c r="A366" s="12">
        <f t="shared" si="4"/>
        <v>864</v>
      </c>
      <c r="B366" s="6" t="s">
        <v>2888</v>
      </c>
      <c r="C366" s="7" t="str">
        <f t="shared" si="1"/>
        <v>🔊</v>
      </c>
      <c r="D366" s="8" t="s">
        <v>2889</v>
      </c>
      <c r="E366" s="6" t="s">
        <v>27</v>
      </c>
      <c r="F366" s="12" t="str">
        <f>IFERROR(__xludf.DUMMYFUNCTION("GOOGLETRANSLATE(B366,""zh_cn"",""vi"")"),"thư viện")</f>
        <v>thư viện</v>
      </c>
      <c r="G366" s="20" t="s">
        <v>2890</v>
      </c>
      <c r="I366" s="11" t="b">
        <f t="shared" si="2"/>
        <v>0</v>
      </c>
      <c r="J366" s="24"/>
      <c r="K366" s="11" t="b">
        <f t="shared" si="3"/>
        <v>0</v>
      </c>
    </row>
    <row r="367" ht="22.5" customHeight="1">
      <c r="A367" s="12">
        <f t="shared" si="4"/>
        <v>865</v>
      </c>
      <c r="B367" s="6" t="s">
        <v>2891</v>
      </c>
      <c r="C367" s="7" t="str">
        <f t="shared" si="1"/>
        <v>🔊</v>
      </c>
      <c r="D367" s="8" t="s">
        <v>2892</v>
      </c>
      <c r="E367" s="6" t="s">
        <v>27</v>
      </c>
      <c r="F367" s="12" t="str">
        <f>IFERROR(__xludf.DUMMYFUNCTION("GOOGLETRANSLATE(B367,""zh_cn"",""vi"")"),"ngoài thị trấn")</f>
        <v>ngoài thị trấn</v>
      </c>
      <c r="G367" s="20" t="s">
        <v>2893</v>
      </c>
      <c r="I367" s="11" t="b">
        <f t="shared" si="2"/>
        <v>0</v>
      </c>
      <c r="J367" s="24"/>
      <c r="K367" s="11" t="b">
        <f t="shared" si="3"/>
        <v>0</v>
      </c>
    </row>
    <row r="368" ht="22.5" customHeight="1">
      <c r="A368" s="12">
        <f t="shared" si="4"/>
        <v>866</v>
      </c>
      <c r="B368" s="6" t="s">
        <v>2894</v>
      </c>
      <c r="C368" s="7" t="str">
        <f t="shared" si="1"/>
        <v>🔊</v>
      </c>
      <c r="D368" s="8" t="s">
        <v>2895</v>
      </c>
      <c r="E368" s="6" t="s">
        <v>232</v>
      </c>
      <c r="F368" s="12" t="str">
        <f>IFERROR(__xludf.DUMMYFUNCTION("GOOGLETRANSLATE(B368,""zh_cn"",""vi"")"),"đồ ăn mang đi")</f>
        <v>đồ ăn mang đi</v>
      </c>
      <c r="G368" s="20" t="s">
        <v>2896</v>
      </c>
      <c r="I368" s="11" t="b">
        <f t="shared" si="2"/>
        <v>0</v>
      </c>
      <c r="J368" s="24"/>
      <c r="K368" s="11" t="b">
        <f t="shared" si="3"/>
        <v>0</v>
      </c>
    </row>
    <row r="369" ht="22.5" customHeight="1">
      <c r="A369" s="12">
        <f t="shared" si="4"/>
        <v>867</v>
      </c>
      <c r="B369" s="6" t="s">
        <v>2897</v>
      </c>
      <c r="C369" s="7" t="str">
        <f t="shared" si="1"/>
        <v>🔊</v>
      </c>
      <c r="D369" s="8" t="s">
        <v>2898</v>
      </c>
      <c r="E369" s="6" t="s">
        <v>27</v>
      </c>
      <c r="F369" s="12" t="str">
        <f>IFERROR(__xludf.DUMMYFUNCTION("GOOGLETRANSLATE(B369,""zh_cn"",""vi"")"),"ngoại ngữ")</f>
        <v>ngoại ngữ</v>
      </c>
      <c r="G369" s="20" t="s">
        <v>2899</v>
      </c>
      <c r="I369" s="11" t="b">
        <f t="shared" si="2"/>
        <v>0</v>
      </c>
      <c r="J369" s="24"/>
      <c r="K369" s="11" t="b">
        <f t="shared" si="3"/>
        <v>0</v>
      </c>
    </row>
    <row r="370" ht="22.5" customHeight="1">
      <c r="A370" s="12">
        <f t="shared" si="4"/>
        <v>868</v>
      </c>
      <c r="B370" s="6" t="s">
        <v>2900</v>
      </c>
      <c r="C370" s="7" t="str">
        <f t="shared" si="1"/>
        <v>🔊</v>
      </c>
      <c r="D370" s="8" t="s">
        <v>735</v>
      </c>
      <c r="E370" s="6" t="s">
        <v>27</v>
      </c>
      <c r="F370" s="12" t="str">
        <f>IFERROR(__xludf.DUMMYFUNCTION("GOOGLETRANSLATE(B370,""zh_cn"",""vi"")"),"cái bát")</f>
        <v>cái bát</v>
      </c>
      <c r="G370" s="20" t="s">
        <v>2901</v>
      </c>
      <c r="I370" s="11" t="b">
        <f t="shared" si="2"/>
        <v>0</v>
      </c>
      <c r="J370" s="24"/>
      <c r="K370" s="11" t="b">
        <f t="shared" si="3"/>
        <v>0</v>
      </c>
    </row>
    <row r="371" ht="22.5" customHeight="1">
      <c r="A371" s="12">
        <f t="shared" si="4"/>
        <v>869</v>
      </c>
      <c r="B371" s="6" t="s">
        <v>2902</v>
      </c>
      <c r="C371" s="7" t="str">
        <f t="shared" si="1"/>
        <v>🔊</v>
      </c>
      <c r="D371" s="8" t="s">
        <v>2903</v>
      </c>
      <c r="E371" s="6" t="s">
        <v>13</v>
      </c>
      <c r="F371" s="12" t="str">
        <f>IFERROR(__xludf.DUMMYFUNCTION("GOOGLETRANSLATE(B371,""zh_cn"",""vi"")"),"Hoàn thành")</f>
        <v>Hoàn thành</v>
      </c>
      <c r="G371" s="20" t="s">
        <v>2904</v>
      </c>
      <c r="I371" s="11" t="b">
        <f t="shared" si="2"/>
        <v>0</v>
      </c>
      <c r="J371" s="24"/>
      <c r="K371" s="11" t="b">
        <f t="shared" si="3"/>
        <v>0</v>
      </c>
    </row>
    <row r="372" ht="22.5" customHeight="1">
      <c r="A372" s="12">
        <f t="shared" si="4"/>
        <v>870</v>
      </c>
      <c r="B372" s="6" t="s">
        <v>2905</v>
      </c>
      <c r="C372" s="7" t="str">
        <f t="shared" si="1"/>
        <v>🔊</v>
      </c>
      <c r="D372" s="8" t="s">
        <v>2906</v>
      </c>
      <c r="E372" s="6" t="s">
        <v>13</v>
      </c>
      <c r="F372" s="12" t="str">
        <f>IFERROR(__xludf.DUMMYFUNCTION("GOOGLETRANSLATE(B372,""zh_cn"",""vi"")"),"muộn")</f>
        <v>muộn</v>
      </c>
      <c r="G372" s="20" t="s">
        <v>2907</v>
      </c>
      <c r="I372" s="11" t="b">
        <f t="shared" si="2"/>
        <v>0</v>
      </c>
      <c r="J372" s="24"/>
      <c r="K372" s="11" t="b">
        <f t="shared" si="3"/>
        <v>0</v>
      </c>
    </row>
    <row r="373" ht="22.5" customHeight="1">
      <c r="A373" s="12">
        <f t="shared" si="4"/>
        <v>871</v>
      </c>
      <c r="B373" s="6" t="s">
        <v>2908</v>
      </c>
      <c r="C373" s="7" t="str">
        <f t="shared" si="1"/>
        <v>🔊</v>
      </c>
      <c r="D373" s="8" t="s">
        <v>2909</v>
      </c>
      <c r="E373" s="6" t="s">
        <v>13</v>
      </c>
      <c r="F373" s="12" t="str">
        <f>IFERROR(__xludf.DUMMYFUNCTION("GOOGLETRANSLATE(B373,""zh_cn"",""vi"")"),"quên")</f>
        <v>quên</v>
      </c>
      <c r="G373" s="20" t="s">
        <v>2910</v>
      </c>
      <c r="I373" s="11" t="b">
        <f t="shared" si="2"/>
        <v>0</v>
      </c>
      <c r="J373" s="24"/>
      <c r="K373" s="11" t="b">
        <f t="shared" si="3"/>
        <v>0</v>
      </c>
    </row>
    <row r="374" ht="22.5" customHeight="1">
      <c r="A374" s="12">
        <f t="shared" si="4"/>
        <v>872</v>
      </c>
      <c r="B374" s="6" t="s">
        <v>2911</v>
      </c>
      <c r="C374" s="7" t="str">
        <f t="shared" si="1"/>
        <v>🔊</v>
      </c>
      <c r="D374" s="8" t="s">
        <v>2912</v>
      </c>
      <c r="E374" s="6" t="s">
        <v>27</v>
      </c>
      <c r="F374" s="12" t="str">
        <f>IFERROR(__xludf.DUMMYFUNCTION("GOOGLETRANSLATE(B374,""zh_cn"",""vi"")"),"quần vợt")</f>
        <v>quần vợt</v>
      </c>
      <c r="G374" s="20" t="s">
        <v>2913</v>
      </c>
      <c r="I374" s="11" t="b">
        <f t="shared" si="2"/>
        <v>0</v>
      </c>
      <c r="J374" s="24"/>
      <c r="K374" s="11" t="b">
        <f t="shared" si="3"/>
        <v>0</v>
      </c>
    </row>
    <row r="375" ht="22.5" customHeight="1">
      <c r="A375" s="12">
        <f t="shared" si="4"/>
        <v>873</v>
      </c>
      <c r="B375" s="6" t="s">
        <v>2914</v>
      </c>
      <c r="C375" s="7" t="str">
        <f t="shared" si="1"/>
        <v>🔊</v>
      </c>
      <c r="D375" s="8" t="s">
        <v>2915</v>
      </c>
      <c r="E375" s="6" t="s">
        <v>27</v>
      </c>
      <c r="F375" s="12" t="str">
        <f>IFERROR(__xludf.DUMMYFUNCTION("GOOGLETRANSLATE(B375,""zh_cn"",""vi"")"),"trang web")</f>
        <v>trang web</v>
      </c>
      <c r="G375" s="20" t="s">
        <v>2916</v>
      </c>
      <c r="I375" s="11" t="b">
        <f t="shared" si="2"/>
        <v>0</v>
      </c>
      <c r="J375" s="24"/>
      <c r="K375" s="11" t="b">
        <f t="shared" si="3"/>
        <v>0</v>
      </c>
    </row>
    <row r="376" ht="22.5" customHeight="1">
      <c r="A376" s="12">
        <f t="shared" si="4"/>
        <v>874</v>
      </c>
      <c r="B376" s="6" t="s">
        <v>2917</v>
      </c>
      <c r="C376" s="7" t="str">
        <f t="shared" si="1"/>
        <v>🔊</v>
      </c>
      <c r="D376" s="8" t="s">
        <v>2918</v>
      </c>
      <c r="E376" s="6" t="s">
        <v>27</v>
      </c>
      <c r="F376" s="12" t="str">
        <f>IFERROR(__xludf.DUMMYFUNCTION("GOOGLETRANSLATE(B376,""zh_cn"",""vi"")"),"buổi tiệc")</f>
        <v>buổi tiệc</v>
      </c>
      <c r="G376" s="20" t="s">
        <v>2919</v>
      </c>
      <c r="I376" s="11" t="b">
        <f t="shared" si="2"/>
        <v>0</v>
      </c>
      <c r="J376" s="24"/>
      <c r="K376" s="11" t="b">
        <f t="shared" si="3"/>
        <v>0</v>
      </c>
    </row>
    <row r="377" ht="22.5" customHeight="1">
      <c r="A377" s="12">
        <f t="shared" si="4"/>
        <v>875</v>
      </c>
      <c r="B377" s="6" t="s">
        <v>2920</v>
      </c>
      <c r="C377" s="7" t="str">
        <f t="shared" si="1"/>
        <v>🔊</v>
      </c>
      <c r="D377" s="8" t="s">
        <v>746</v>
      </c>
      <c r="E377" s="6" t="s">
        <v>1766</v>
      </c>
      <c r="F377" s="12" t="str">
        <f>IFERROR(__xludf.DUMMYFUNCTION("GOOGLETRANSLATE(B377,""zh_cn"",""vi"")"),"vì")</f>
        <v>vì</v>
      </c>
      <c r="G377" s="20" t="s">
        <v>2921</v>
      </c>
      <c r="I377" s="11" t="b">
        <f t="shared" si="2"/>
        <v>0</v>
      </c>
      <c r="J377" s="24"/>
      <c r="K377" s="11" t="b">
        <f t="shared" si="3"/>
        <v>0</v>
      </c>
    </row>
    <row r="378" ht="22.5" customHeight="1">
      <c r="A378" s="12">
        <f t="shared" si="4"/>
        <v>876</v>
      </c>
      <c r="B378" s="6" t="s">
        <v>2922</v>
      </c>
      <c r="C378" s="7" t="str">
        <f t="shared" si="1"/>
        <v>🔊</v>
      </c>
      <c r="D378" s="8" t="s">
        <v>2923</v>
      </c>
      <c r="E378" s="6" t="s">
        <v>1766</v>
      </c>
      <c r="F378" s="12" t="str">
        <f>IFERROR(__xludf.DUMMYFUNCTION("GOOGLETRANSLATE(B378,""zh_cn"",""vi"")"),"vì")</f>
        <v>vì</v>
      </c>
      <c r="G378" s="20" t="s">
        <v>2924</v>
      </c>
      <c r="I378" s="11" t="b">
        <f t="shared" si="2"/>
        <v>0</v>
      </c>
      <c r="J378" s="24"/>
      <c r="K378" s="11" t="b">
        <f t="shared" si="3"/>
        <v>0</v>
      </c>
    </row>
    <row r="379" ht="22.5" customHeight="1">
      <c r="A379" s="12">
        <f t="shared" si="4"/>
        <v>877</v>
      </c>
      <c r="B379" s="6" t="s">
        <v>2925</v>
      </c>
      <c r="C379" s="7" t="str">
        <f t="shared" si="1"/>
        <v>🔊</v>
      </c>
      <c r="D379" s="8" t="s">
        <v>2926</v>
      </c>
      <c r="E379" s="6" t="s">
        <v>27</v>
      </c>
      <c r="F379" s="12" t="str">
        <f>IFERROR(__xludf.DUMMYFUNCTION("GOOGLETRANSLATE(B379,""zh_cn"",""vi"")"),"phòng tắm")</f>
        <v>phòng tắm</v>
      </c>
      <c r="G379" s="20" t="s">
        <v>2927</v>
      </c>
      <c r="I379" s="11" t="b">
        <f t="shared" si="2"/>
        <v>0</v>
      </c>
      <c r="J379" s="24"/>
      <c r="K379" s="11" t="b">
        <f t="shared" si="3"/>
        <v>0</v>
      </c>
    </row>
    <row r="380" ht="22.5" customHeight="1">
      <c r="A380" s="12">
        <f t="shared" si="4"/>
        <v>878</v>
      </c>
      <c r="B380" s="6" t="s">
        <v>2928</v>
      </c>
      <c r="C380" s="7" t="str">
        <f t="shared" si="1"/>
        <v>🔊</v>
      </c>
      <c r="D380" s="8" t="s">
        <v>2929</v>
      </c>
      <c r="E380" s="6" t="s">
        <v>27</v>
      </c>
      <c r="F380" s="12" t="str">
        <f>IFERROR(__xludf.DUMMYFUNCTION("GOOGLETRANSLATE(B380,""zh_cn"",""vi"")"),"văn hoá")</f>
        <v>văn hoá</v>
      </c>
      <c r="G380" s="20" t="s">
        <v>2930</v>
      </c>
      <c r="I380" s="11" t="b">
        <f t="shared" si="2"/>
        <v>0</v>
      </c>
      <c r="J380" s="24"/>
      <c r="K380" s="11" t="b">
        <f t="shared" si="3"/>
        <v>0</v>
      </c>
    </row>
    <row r="381" ht="22.5" customHeight="1">
      <c r="A381" s="12">
        <f t="shared" si="4"/>
        <v>879</v>
      </c>
      <c r="B381" s="6" t="s">
        <v>2931</v>
      </c>
      <c r="C381" s="7" t="str">
        <f t="shared" si="1"/>
        <v>🔊</v>
      </c>
      <c r="D381" s="8" t="s">
        <v>2932</v>
      </c>
      <c r="E381" s="6" t="s">
        <v>27</v>
      </c>
      <c r="F381" s="12" t="str">
        <f>IFERROR(__xludf.DUMMYFUNCTION("GOOGLETRANSLATE(B381,""zh_cn"",""vi"")"),"phòng")</f>
        <v>phòng</v>
      </c>
      <c r="G381" s="20" t="s">
        <v>2933</v>
      </c>
      <c r="I381" s="11" t="b">
        <f t="shared" si="2"/>
        <v>0</v>
      </c>
      <c r="J381" s="24"/>
      <c r="K381" s="11" t="b">
        <f t="shared" si="3"/>
        <v>0</v>
      </c>
    </row>
    <row r="382" ht="22.5" customHeight="1">
      <c r="A382" s="12">
        <f t="shared" si="4"/>
        <v>880</v>
      </c>
      <c r="B382" s="6" t="s">
        <v>2934</v>
      </c>
      <c r="C382" s="7" t="str">
        <f t="shared" si="1"/>
        <v>🔊</v>
      </c>
      <c r="D382" s="8" t="s">
        <v>2935</v>
      </c>
      <c r="E382" s="6" t="s">
        <v>27</v>
      </c>
      <c r="F382" s="12" t="str">
        <f>IFERROR(__xludf.DUMMYFUNCTION("GOOGLETRANSLATE(B382,""zh_cn"",""vi"")"),"Tây")</f>
        <v>Tây</v>
      </c>
      <c r="G382" s="20" t="s">
        <v>2936</v>
      </c>
      <c r="I382" s="11" t="b">
        <f t="shared" si="2"/>
        <v>0</v>
      </c>
      <c r="J382" s="24"/>
      <c r="K382" s="11" t="b">
        <f t="shared" si="3"/>
        <v>0</v>
      </c>
    </row>
    <row r="383" ht="22.5" customHeight="1">
      <c r="A383" s="12">
        <f t="shared" si="4"/>
        <v>881</v>
      </c>
      <c r="B383" s="6" t="s">
        <v>2937</v>
      </c>
      <c r="C383" s="7" t="str">
        <f t="shared" si="1"/>
        <v>🔊</v>
      </c>
      <c r="D383" s="8" t="s">
        <v>2938</v>
      </c>
      <c r="E383" s="6" t="s">
        <v>13</v>
      </c>
      <c r="F383" s="12" t="str">
        <f>IFERROR(__xludf.DUMMYFUNCTION("GOOGLETRANSLATE(B383,""zh_cn"",""vi"")"),"yêu thích")</f>
        <v>yêu thích</v>
      </c>
      <c r="G383" s="20" t="s">
        <v>2939</v>
      </c>
      <c r="I383" s="11" t="b">
        <f t="shared" si="2"/>
        <v>0</v>
      </c>
      <c r="J383" s="24"/>
      <c r="K383" s="11" t="b">
        <f t="shared" si="3"/>
        <v>0</v>
      </c>
    </row>
    <row r="384" ht="22.5" customHeight="1">
      <c r="A384" s="12">
        <f t="shared" si="4"/>
        <v>882</v>
      </c>
      <c r="B384" s="6" t="s">
        <v>2940</v>
      </c>
      <c r="C384" s="7" t="str">
        <f t="shared" si="1"/>
        <v>🔊</v>
      </c>
      <c r="D384" s="8" t="s">
        <v>2941</v>
      </c>
      <c r="E384" s="6" t="s">
        <v>61</v>
      </c>
      <c r="F384" s="12" t="str">
        <f>IFERROR(__xludf.DUMMYFUNCTION("GOOGLETRANSLATE(B384,""zh_cn"",""vi"")"),"Đầu tiên")</f>
        <v>Đầu tiên</v>
      </c>
      <c r="G384" s="20" t="s">
        <v>2942</v>
      </c>
      <c r="I384" s="11" t="b">
        <f t="shared" si="2"/>
        <v>0</v>
      </c>
      <c r="J384" s="24"/>
      <c r="K384" s="11" t="b">
        <f t="shared" si="3"/>
        <v>0</v>
      </c>
    </row>
    <row r="385" ht="22.5" customHeight="1">
      <c r="A385" s="12">
        <f t="shared" si="4"/>
        <v>883</v>
      </c>
      <c r="B385" s="6" t="s">
        <v>2943</v>
      </c>
      <c r="C385" s="7" t="str">
        <f t="shared" si="1"/>
        <v>🔊</v>
      </c>
      <c r="D385" s="8" t="s">
        <v>2944</v>
      </c>
      <c r="E385" s="6" t="s">
        <v>1054</v>
      </c>
      <c r="F385" s="5" t="s">
        <v>2945</v>
      </c>
      <c r="G385" s="20" t="s">
        <v>2946</v>
      </c>
      <c r="I385" s="11" t="b">
        <f t="shared" si="2"/>
        <v>0</v>
      </c>
      <c r="J385" s="24"/>
      <c r="K385" s="11" t="b">
        <f t="shared" si="3"/>
        <v>0</v>
      </c>
    </row>
    <row r="386" ht="22.5" customHeight="1">
      <c r="A386" s="12">
        <f t="shared" si="4"/>
        <v>884</v>
      </c>
      <c r="B386" s="6" t="s">
        <v>2947</v>
      </c>
      <c r="C386" s="7" t="str">
        <f t="shared" si="1"/>
        <v>🔊</v>
      </c>
      <c r="D386" s="8" t="s">
        <v>2944</v>
      </c>
      <c r="E386" s="6" t="s">
        <v>2948</v>
      </c>
      <c r="F386" s="5" t="s">
        <v>2949</v>
      </c>
      <c r="G386" s="20" t="s">
        <v>2257</v>
      </c>
      <c r="I386" s="11" t="b">
        <f t="shared" si="2"/>
        <v>0</v>
      </c>
      <c r="J386" s="24"/>
      <c r="K386" s="11" t="b">
        <f t="shared" si="3"/>
        <v>0</v>
      </c>
    </row>
    <row r="387" ht="22.5" customHeight="1">
      <c r="A387" s="12">
        <f t="shared" si="4"/>
        <v>885</v>
      </c>
      <c r="B387" s="6" t="s">
        <v>2950</v>
      </c>
      <c r="C387" s="7" t="str">
        <f t="shared" si="1"/>
        <v>🔊</v>
      </c>
      <c r="D387" s="8" t="s">
        <v>2951</v>
      </c>
      <c r="E387" s="6" t="s">
        <v>27</v>
      </c>
      <c r="F387" s="12" t="str">
        <f>IFERROR(__xludf.DUMMYFUNCTION("GOOGLETRANSLATE(B387,""zh_cn"",""vi"")"),"máy ảnh")</f>
        <v>máy ảnh</v>
      </c>
      <c r="G387" s="20" t="s">
        <v>2952</v>
      </c>
      <c r="I387" s="11" t="b">
        <f t="shared" si="2"/>
        <v>0</v>
      </c>
      <c r="J387" s="24"/>
      <c r="K387" s="11" t="b">
        <f t="shared" si="3"/>
        <v>0</v>
      </c>
    </row>
    <row r="388" ht="22.5" customHeight="1">
      <c r="A388" s="12">
        <f t="shared" si="4"/>
        <v>886</v>
      </c>
      <c r="B388" s="6" t="s">
        <v>2953</v>
      </c>
      <c r="C388" s="7" t="str">
        <f t="shared" si="1"/>
        <v>🔊</v>
      </c>
      <c r="D388" s="8" t="s">
        <v>2954</v>
      </c>
      <c r="E388" s="6" t="s">
        <v>27</v>
      </c>
      <c r="F388" s="12" t="str">
        <f>IFERROR(__xludf.DUMMYFUNCTION("GOOGLETRANSLATE(B388,""zh_cn"",""vi"")"),"chuối")</f>
        <v>chuối</v>
      </c>
      <c r="G388" s="20" t="s">
        <v>2955</v>
      </c>
      <c r="I388" s="11" t="b">
        <f t="shared" si="2"/>
        <v>0</v>
      </c>
      <c r="J388" s="24"/>
      <c r="K388" s="11" t="b">
        <f t="shared" si="3"/>
        <v>0</v>
      </c>
    </row>
    <row r="389" ht="22.5" customHeight="1">
      <c r="A389" s="12">
        <f t="shared" si="4"/>
        <v>887</v>
      </c>
      <c r="B389" s="6" t="s">
        <v>2956</v>
      </c>
      <c r="C389" s="7" t="str">
        <f t="shared" si="1"/>
        <v>🔊</v>
      </c>
      <c r="D389" s="8" t="s">
        <v>2957</v>
      </c>
      <c r="E389" s="6" t="s">
        <v>13</v>
      </c>
      <c r="F389" s="12" t="str">
        <f>IFERROR(__xludf.DUMMYFUNCTION("GOOGLETRANSLATE(B389,""zh_cn"",""vi"")"),"tin tưởng")</f>
        <v>tin tưởng</v>
      </c>
      <c r="G389" s="20" t="s">
        <v>2958</v>
      </c>
      <c r="I389" s="11" t="b">
        <f t="shared" si="2"/>
        <v>0</v>
      </c>
      <c r="J389" s="24"/>
      <c r="K389" s="11" t="b">
        <f t="shared" si="3"/>
        <v>0</v>
      </c>
    </row>
    <row r="390" ht="22.5" customHeight="1">
      <c r="A390" s="12">
        <f t="shared" si="4"/>
        <v>888</v>
      </c>
      <c r="B390" s="6" t="s">
        <v>2959</v>
      </c>
      <c r="C390" s="7" t="str">
        <f t="shared" si="1"/>
        <v>🔊</v>
      </c>
      <c r="D390" s="8" t="s">
        <v>2960</v>
      </c>
      <c r="E390" s="6" t="s">
        <v>27</v>
      </c>
      <c r="F390" s="12" t="str">
        <f>IFERROR(__xludf.DUMMYFUNCTION("GOOGLETRANSLATE(B390,""zh_cn"",""vi"")"),"hộp")</f>
        <v>hộp</v>
      </c>
      <c r="G390" s="20" t="s">
        <v>2961</v>
      </c>
      <c r="I390" s="11" t="b">
        <f t="shared" si="2"/>
        <v>0</v>
      </c>
      <c r="J390" s="24"/>
      <c r="K390" s="11" t="b">
        <f t="shared" si="3"/>
        <v>0</v>
      </c>
    </row>
    <row r="391" ht="22.5" customHeight="1">
      <c r="A391" s="12">
        <f t="shared" si="4"/>
        <v>889</v>
      </c>
      <c r="B391" s="6" t="s">
        <v>2962</v>
      </c>
      <c r="C391" s="7" t="str">
        <f t="shared" si="1"/>
        <v>🔊</v>
      </c>
      <c r="D391" s="8" t="s">
        <v>2963</v>
      </c>
      <c r="E391" s="6" t="s">
        <v>27</v>
      </c>
      <c r="F391" s="12" t="str">
        <f>IFERROR(__xludf.DUMMYFUNCTION("GOOGLETRANSLATE(B391,""zh_cn"",""vi"")"),"khu dân cư")</f>
        <v>khu dân cư</v>
      </c>
      <c r="G391" s="20" t="s">
        <v>2964</v>
      </c>
      <c r="I391" s="11" t="b">
        <f t="shared" si="2"/>
        <v>0</v>
      </c>
      <c r="J391" s="24"/>
      <c r="K391" s="11" t="b">
        <f t="shared" si="3"/>
        <v>0</v>
      </c>
    </row>
    <row r="392" ht="22.5" customHeight="1">
      <c r="A392" s="12">
        <f t="shared" si="4"/>
        <v>890</v>
      </c>
      <c r="B392" s="6" t="s">
        <v>2965</v>
      </c>
      <c r="C392" s="7" t="str">
        <f t="shared" si="1"/>
        <v>🔊</v>
      </c>
      <c r="D392" s="8" t="s">
        <v>2966</v>
      </c>
      <c r="E392" s="6" t="s">
        <v>368</v>
      </c>
      <c r="F392" s="12" t="str">
        <f>IFERROR(__xludf.DUMMYFUNCTION("GOOGLETRANSLATE(B392,""zh_cn"",""vi"")"),"cẩn thận")</f>
        <v>cẩn thận</v>
      </c>
      <c r="G392" s="20" t="s">
        <v>2967</v>
      </c>
      <c r="I392" s="11" t="b">
        <f t="shared" si="2"/>
        <v>0</v>
      </c>
      <c r="J392" s="24"/>
      <c r="K392" s="11" t="b">
        <f t="shared" si="3"/>
        <v>0</v>
      </c>
    </row>
    <row r="393" ht="22.5" customHeight="1">
      <c r="A393" s="12">
        <f t="shared" si="4"/>
        <v>891</v>
      </c>
      <c r="B393" s="6" t="s">
        <v>2968</v>
      </c>
      <c r="C393" s="7" t="str">
        <f t="shared" si="1"/>
        <v>🔊</v>
      </c>
      <c r="D393" s="8" t="s">
        <v>2969</v>
      </c>
      <c r="E393" s="6" t="s">
        <v>27</v>
      </c>
      <c r="F393" s="5" t="s">
        <v>2970</v>
      </c>
      <c r="G393" s="20" t="s">
        <v>2971</v>
      </c>
      <c r="I393" s="11" t="b">
        <f t="shared" si="2"/>
        <v>0</v>
      </c>
      <c r="J393" s="24"/>
      <c r="K393" s="11" t="b">
        <f t="shared" si="3"/>
        <v>0</v>
      </c>
    </row>
    <row r="394" ht="22.5" customHeight="1">
      <c r="A394" s="12">
        <f t="shared" si="4"/>
        <v>892</v>
      </c>
      <c r="B394" s="6" t="s">
        <v>2972</v>
      </c>
      <c r="C394" s="7" t="str">
        <f t="shared" si="1"/>
        <v>🔊</v>
      </c>
      <c r="D394" s="8" t="s">
        <v>2973</v>
      </c>
      <c r="E394" s="6" t="s">
        <v>27</v>
      </c>
      <c r="F394" s="12" t="str">
        <f>IFERROR(__xludf.DUMMYFUNCTION("GOOGLETRANSLATE(B394,""zh_cn"",""vi"")"),"hiệu trưởng")</f>
        <v>hiệu trưởng</v>
      </c>
      <c r="G394" s="20" t="s">
        <v>2974</v>
      </c>
      <c r="I394" s="11" t="b">
        <f t="shared" si="2"/>
        <v>0</v>
      </c>
      <c r="J394" s="24"/>
      <c r="K394" s="11" t="b">
        <f t="shared" si="3"/>
        <v>0</v>
      </c>
    </row>
    <row r="395" ht="22.5" customHeight="1">
      <c r="A395" s="12">
        <f t="shared" si="4"/>
        <v>893</v>
      </c>
      <c r="B395" s="6" t="s">
        <v>2975</v>
      </c>
      <c r="C395" s="7" t="str">
        <f t="shared" si="1"/>
        <v>🔊</v>
      </c>
      <c r="D395" s="8" t="s">
        <v>2976</v>
      </c>
      <c r="E395" s="6" t="s">
        <v>27</v>
      </c>
      <c r="F395" s="12" t="str">
        <f>IFERROR(__xludf.DUMMYFUNCTION("GOOGLETRANSLATE(B395,""zh_cn"",""vi"")"),"mùa hè")</f>
        <v>mùa hè</v>
      </c>
      <c r="G395" s="20" t="s">
        <v>2977</v>
      </c>
      <c r="I395" s="11" t="b">
        <f t="shared" si="2"/>
        <v>0</v>
      </c>
      <c r="J395" s="24"/>
      <c r="K395" s="11" t="b">
        <f t="shared" si="3"/>
        <v>0</v>
      </c>
    </row>
    <row r="396" ht="22.5" customHeight="1">
      <c r="A396" s="12">
        <f t="shared" si="4"/>
        <v>894</v>
      </c>
      <c r="B396" s="6" t="s">
        <v>2978</v>
      </c>
      <c r="C396" s="7" t="str">
        <f t="shared" si="1"/>
        <v>🔊</v>
      </c>
      <c r="D396" s="8" t="s">
        <v>2979</v>
      </c>
      <c r="E396" s="6" t="s">
        <v>27</v>
      </c>
      <c r="F396" s="12" t="str">
        <f>IFERROR(__xludf.DUMMYFUNCTION("GOOGLETRANSLATE(B396,""zh_cn"",""vi"")"),"tây bắc")</f>
        <v>tây bắc</v>
      </c>
      <c r="G396" s="20" t="s">
        <v>2980</v>
      </c>
      <c r="I396" s="11" t="b">
        <f t="shared" si="2"/>
        <v>0</v>
      </c>
      <c r="J396" s="24"/>
      <c r="K396" s="11" t="b">
        <f t="shared" si="3"/>
        <v>0</v>
      </c>
    </row>
    <row r="397" ht="22.5" customHeight="1">
      <c r="A397" s="12">
        <f t="shared" si="4"/>
        <v>895</v>
      </c>
      <c r="B397" s="6" t="s">
        <v>2981</v>
      </c>
      <c r="C397" s="7" t="str">
        <f t="shared" si="1"/>
        <v>🔊</v>
      </c>
      <c r="D397" s="8" t="s">
        <v>2982</v>
      </c>
      <c r="E397" s="6" t="s">
        <v>27</v>
      </c>
      <c r="F397" s="12" t="str">
        <f>IFERROR(__xludf.DUMMYFUNCTION("GOOGLETRANSLATE(B397,""zh_cn"",""vi"")"),"giày")</f>
        <v>giày</v>
      </c>
      <c r="G397" s="20" t="s">
        <v>2983</v>
      </c>
      <c r="I397" s="11" t="b">
        <f t="shared" si="2"/>
        <v>0</v>
      </c>
      <c r="J397" s="24"/>
      <c r="K397" s="11" t="b">
        <f t="shared" si="3"/>
        <v>0</v>
      </c>
    </row>
    <row r="398" ht="22.5" customHeight="1">
      <c r="A398" s="12">
        <f t="shared" si="4"/>
        <v>896</v>
      </c>
      <c r="B398" s="6" t="s">
        <v>2984</v>
      </c>
      <c r="C398" s="7" t="str">
        <f t="shared" si="1"/>
        <v>🔊</v>
      </c>
      <c r="D398" s="8" t="s">
        <v>2985</v>
      </c>
      <c r="E398" s="6" t="s">
        <v>27</v>
      </c>
      <c r="F398" s="5" t="s">
        <v>2986</v>
      </c>
      <c r="G398" s="20" t="s">
        <v>2987</v>
      </c>
      <c r="I398" s="11" t="b">
        <f t="shared" si="2"/>
        <v>0</v>
      </c>
      <c r="J398" s="24"/>
      <c r="K398" s="11" t="b">
        <f t="shared" si="3"/>
        <v>0</v>
      </c>
    </row>
    <row r="399" ht="22.5" customHeight="1">
      <c r="A399" s="12">
        <f t="shared" si="4"/>
        <v>897</v>
      </c>
      <c r="B399" s="6" t="s">
        <v>2988</v>
      </c>
      <c r="C399" s="7" t="str">
        <f t="shared" si="1"/>
        <v>🔊</v>
      </c>
      <c r="D399" s="8" t="s">
        <v>2989</v>
      </c>
      <c r="E399" s="6" t="s">
        <v>27</v>
      </c>
      <c r="F399" s="12" t="str">
        <f>IFERROR(__xludf.DUMMYFUNCTION("GOOGLETRANSLATE(B399,""zh_cn"",""vi"")"),"dưa hấu")</f>
        <v>dưa hấu</v>
      </c>
      <c r="G399" s="20" t="s">
        <v>2990</v>
      </c>
      <c r="I399" s="11" t="b">
        <f t="shared" si="2"/>
        <v>0</v>
      </c>
      <c r="J399" s="24"/>
      <c r="K399" s="11" t="b">
        <f t="shared" si="3"/>
        <v>0</v>
      </c>
    </row>
    <row r="400" ht="22.5" customHeight="1">
      <c r="A400" s="12">
        <f t="shared" si="4"/>
        <v>898</v>
      </c>
      <c r="B400" s="6" t="s">
        <v>2991</v>
      </c>
      <c r="C400" s="7" t="str">
        <f t="shared" si="1"/>
        <v>🔊</v>
      </c>
      <c r="D400" s="8" t="s">
        <v>2992</v>
      </c>
      <c r="E400" s="6" t="s">
        <v>232</v>
      </c>
      <c r="F400" s="12" t="str">
        <f>IFERROR(__xludf.DUMMYFUNCTION("GOOGLETRANSLATE(B400,""zh_cn"",""vi"")"),"Thói quen")</f>
        <v>Thói quen</v>
      </c>
      <c r="G400" s="20" t="s">
        <v>2993</v>
      </c>
      <c r="I400" s="11" t="b">
        <f t="shared" si="2"/>
        <v>0</v>
      </c>
      <c r="J400" s="24"/>
      <c r="K400" s="11" t="b">
        <f t="shared" si="3"/>
        <v>0</v>
      </c>
    </row>
    <row r="401" ht="22.5" customHeight="1">
      <c r="A401" s="12">
        <f t="shared" si="4"/>
        <v>899</v>
      </c>
      <c r="B401" s="6" t="s">
        <v>2994</v>
      </c>
      <c r="C401" s="7" t="str">
        <f t="shared" si="1"/>
        <v>🔊</v>
      </c>
      <c r="D401" s="8" t="s">
        <v>2995</v>
      </c>
      <c r="E401" s="6" t="s">
        <v>232</v>
      </c>
      <c r="F401" s="12" t="str">
        <f>IFERROR(__xludf.DUMMYFUNCTION("GOOGLETRANSLATE(B401,""zh_cn"",""vi"")"),"thư")</f>
        <v>thư</v>
      </c>
      <c r="G401" s="20" t="s">
        <v>2996</v>
      </c>
      <c r="I401" s="11" t="b">
        <f t="shared" si="2"/>
        <v>0</v>
      </c>
      <c r="J401" s="24"/>
      <c r="K401" s="11" t="b">
        <f t="shared" si="3"/>
        <v>0</v>
      </c>
    </row>
    <row r="402" ht="22.5" customHeight="1">
      <c r="A402" s="12">
        <f t="shared" si="4"/>
        <v>900</v>
      </c>
      <c r="B402" s="6" t="s">
        <v>2997</v>
      </c>
      <c r="C402" s="7" t="str">
        <f t="shared" si="1"/>
        <v>🔊</v>
      </c>
      <c r="D402" s="8" t="s">
        <v>2998</v>
      </c>
      <c r="E402" s="6" t="s">
        <v>27</v>
      </c>
      <c r="F402" s="12" t="str">
        <f>IFERROR(__xludf.DUMMYFUNCTION("GOOGLETRANSLATE(B402,""zh_cn"",""vi"")"),"tây nam")</f>
        <v>tây nam</v>
      </c>
      <c r="G402" s="20" t="s">
        <v>2999</v>
      </c>
      <c r="I402" s="11" t="b">
        <f t="shared" si="2"/>
        <v>0</v>
      </c>
      <c r="J402" s="24"/>
      <c r="K402" s="11" t="b">
        <f t="shared" si="3"/>
        <v>0</v>
      </c>
    </row>
    <row r="403" ht="22.5" customHeight="1">
      <c r="A403" s="12">
        <f t="shared" si="4"/>
        <v>901</v>
      </c>
      <c r="B403" s="6" t="s">
        <v>3000</v>
      </c>
      <c r="C403" s="7" t="str">
        <f t="shared" si="1"/>
        <v>🔊</v>
      </c>
      <c r="D403" s="8" t="s">
        <v>3001</v>
      </c>
      <c r="E403" s="6" t="s">
        <v>368</v>
      </c>
      <c r="F403" s="12" t="str">
        <f>IFERROR(__xludf.DUMMYFUNCTION("GOOGLETRANSLATE(B403,""zh_cn"",""vi"")"),"ĐƯỢC RỒI")</f>
        <v>ĐƯỢC RỒI</v>
      </c>
      <c r="G403" s="20" t="s">
        <v>3002</v>
      </c>
      <c r="I403" s="11" t="b">
        <f t="shared" si="2"/>
        <v>0</v>
      </c>
      <c r="J403" s="24"/>
      <c r="K403" s="11" t="b">
        <f t="shared" si="3"/>
        <v>0</v>
      </c>
    </row>
    <row r="404" ht="22.5" customHeight="1">
      <c r="A404" s="12">
        <f t="shared" si="4"/>
        <v>902</v>
      </c>
      <c r="B404" s="6" t="s">
        <v>3003</v>
      </c>
      <c r="C404" s="7" t="str">
        <f t="shared" si="1"/>
        <v>🔊</v>
      </c>
      <c r="D404" s="8" t="s">
        <v>3004</v>
      </c>
      <c r="E404" s="6" t="s">
        <v>27</v>
      </c>
      <c r="F404" s="12" t="str">
        <f>IFERROR(__xludf.DUMMYFUNCTION("GOOGLETRANSLATE(B404,""zh_cn"",""vi"")"),"hành lý")</f>
        <v>hành lý</v>
      </c>
      <c r="G404" s="20" t="s">
        <v>3005</v>
      </c>
      <c r="I404" s="11" t="b">
        <f t="shared" si="2"/>
        <v>0</v>
      </c>
      <c r="J404" s="24"/>
      <c r="K404" s="11" t="b">
        <f t="shared" si="3"/>
        <v>0</v>
      </c>
    </row>
    <row r="405" ht="22.5" customHeight="1">
      <c r="A405" s="12">
        <f t="shared" si="4"/>
        <v>903</v>
      </c>
      <c r="B405" s="6" t="s">
        <v>3006</v>
      </c>
      <c r="C405" s="7" t="str">
        <f t="shared" si="1"/>
        <v>🔊</v>
      </c>
      <c r="D405" s="8" t="s">
        <v>3007</v>
      </c>
      <c r="E405" s="6" t="s">
        <v>27</v>
      </c>
      <c r="F405" s="12" t="str">
        <f>IFERROR(__xludf.DUMMYFUNCTION("GOOGLETRANSLATE(B405,""zh_cn"",""vi"")"),"quan tâm")</f>
        <v>quan tâm</v>
      </c>
      <c r="G405" s="20" t="s">
        <v>3008</v>
      </c>
      <c r="I405" s="11" t="b">
        <f t="shared" si="2"/>
        <v>0</v>
      </c>
      <c r="J405" s="24"/>
      <c r="K405" s="11" t="b">
        <f t="shared" si="3"/>
        <v>0</v>
      </c>
    </row>
    <row r="406" ht="22.5" customHeight="1">
      <c r="A406" s="12">
        <f t="shared" si="4"/>
        <v>904</v>
      </c>
      <c r="B406" s="6" t="s">
        <v>3009</v>
      </c>
      <c r="C406" s="7" t="str">
        <f t="shared" si="1"/>
        <v>🔊</v>
      </c>
      <c r="D406" s="8" t="s">
        <v>3010</v>
      </c>
      <c r="E406" s="6" t="s">
        <v>27</v>
      </c>
      <c r="F406" s="12" t="str">
        <f>IFERROR(__xludf.DUMMYFUNCTION("GOOGLETRANSLATE(B406,""zh_cn"",""vi"")"),"Trong trái tim tôi")</f>
        <v>Trong trái tim tôi</v>
      </c>
      <c r="G406" s="20" t="s">
        <v>3011</v>
      </c>
      <c r="I406" s="11" t="b">
        <f t="shared" si="2"/>
        <v>0</v>
      </c>
      <c r="J406" s="24"/>
      <c r="K406" s="11" t="b">
        <f t="shared" si="3"/>
        <v>0</v>
      </c>
    </row>
    <row r="407" ht="22.5" customHeight="1">
      <c r="A407" s="12">
        <f t="shared" si="4"/>
        <v>905</v>
      </c>
      <c r="B407" s="6" t="s">
        <v>3012</v>
      </c>
      <c r="C407" s="7" t="str">
        <f t="shared" si="1"/>
        <v>🔊</v>
      </c>
      <c r="D407" s="8" t="s">
        <v>3013</v>
      </c>
      <c r="E407" s="6" t="s">
        <v>27</v>
      </c>
      <c r="F407" s="12" t="str">
        <f>IFERROR(__xludf.DUMMYFUNCTION("GOOGLETRANSLATE(B407,""zh_cn"",""vi"")"),"năm mới")</f>
        <v>năm mới</v>
      </c>
      <c r="G407" s="20" t="s">
        <v>3014</v>
      </c>
      <c r="I407" s="11" t="b">
        <f t="shared" si="2"/>
        <v>0</v>
      </c>
      <c r="J407" s="24"/>
      <c r="K407" s="11" t="b">
        <f t="shared" si="3"/>
        <v>0</v>
      </c>
    </row>
    <row r="408" ht="22.5" customHeight="1">
      <c r="A408" s="12">
        <f t="shared" si="4"/>
        <v>906</v>
      </c>
      <c r="B408" s="6" t="s">
        <v>3015</v>
      </c>
      <c r="C408" s="7" t="str">
        <f t="shared" si="1"/>
        <v>🔊</v>
      </c>
      <c r="D408" s="8" t="s">
        <v>3016</v>
      </c>
      <c r="E408" s="6" t="s">
        <v>27</v>
      </c>
      <c r="F408" s="12" t="str">
        <f>IFERROR(__xludf.DUMMYFUNCTION("GOOGLETRANSLATE(B408,""zh_cn"",""vi"")"),"tin tức")</f>
        <v>tin tức</v>
      </c>
      <c r="G408" s="20" t="s">
        <v>3017</v>
      </c>
      <c r="I408" s="11" t="b">
        <f t="shared" si="2"/>
        <v>0</v>
      </c>
      <c r="J408" s="24"/>
      <c r="K408" s="11" t="b">
        <f t="shared" si="3"/>
        <v>0</v>
      </c>
    </row>
    <row r="409" ht="22.5" customHeight="1">
      <c r="A409" s="12">
        <f t="shared" si="4"/>
        <v>907</v>
      </c>
      <c r="B409" s="6" t="s">
        <v>3018</v>
      </c>
      <c r="C409" s="7" t="str">
        <f t="shared" si="1"/>
        <v>🔊</v>
      </c>
      <c r="D409" s="8" t="s">
        <v>3019</v>
      </c>
      <c r="E409" s="6" t="s">
        <v>99</v>
      </c>
      <c r="F409" s="12" t="str">
        <f>IFERROR(__xludf.DUMMYFUNCTION("GOOGLETRANSLATE(B409,""zh_cn"",""vi"")"),"Tươi")</f>
        <v>Tươi</v>
      </c>
      <c r="G409" s="20" t="s">
        <v>3020</v>
      </c>
      <c r="I409" s="11" t="b">
        <f t="shared" si="2"/>
        <v>0</v>
      </c>
      <c r="J409" s="24"/>
      <c r="K409" s="11" t="b">
        <f t="shared" si="3"/>
        <v>0</v>
      </c>
    </row>
    <row r="410" ht="22.5" customHeight="1">
      <c r="A410" s="12">
        <f t="shared" si="4"/>
        <v>908</v>
      </c>
      <c r="B410" s="6" t="s">
        <v>3021</v>
      </c>
      <c r="C410" s="7" t="str">
        <f t="shared" si="1"/>
        <v>🔊</v>
      </c>
      <c r="D410" s="8" t="s">
        <v>3022</v>
      </c>
      <c r="E410" s="6" t="s">
        <v>27</v>
      </c>
      <c r="F410" s="12" t="str">
        <f>IFERROR(__xludf.DUMMYFUNCTION("GOOGLETRANSLATE(B410,""zh_cn"",""vi"")"),"thẻ tín dụng")</f>
        <v>thẻ tín dụng</v>
      </c>
      <c r="G410" s="20" t="s">
        <v>3023</v>
      </c>
      <c r="I410" s="11" t="b">
        <f t="shared" si="2"/>
        <v>0</v>
      </c>
      <c r="J410" s="24"/>
      <c r="K410" s="11" t="b">
        <f t="shared" si="3"/>
        <v>0</v>
      </c>
    </row>
    <row r="411" ht="22.5" customHeight="1">
      <c r="A411" s="12">
        <f t="shared" si="4"/>
        <v>909</v>
      </c>
      <c r="B411" s="6" t="s">
        <v>3024</v>
      </c>
      <c r="C411" s="7" t="str">
        <f t="shared" si="1"/>
        <v>🔊</v>
      </c>
      <c r="D411" s="8" t="s">
        <v>3025</v>
      </c>
      <c r="E411" s="6" t="s">
        <v>13</v>
      </c>
      <c r="F411" s="5" t="s">
        <v>3026</v>
      </c>
      <c r="G411" s="20" t="s">
        <v>3027</v>
      </c>
      <c r="I411" s="11" t="b">
        <f t="shared" si="2"/>
        <v>0</v>
      </c>
      <c r="J411" s="24"/>
      <c r="K411" s="11" t="b">
        <f t="shared" si="3"/>
        <v>0</v>
      </c>
    </row>
    <row r="412" ht="22.5" customHeight="1">
      <c r="A412" s="12">
        <f t="shared" si="4"/>
        <v>910</v>
      </c>
      <c r="B412" s="6" t="s">
        <v>3028</v>
      </c>
      <c r="C412" s="7" t="str">
        <f t="shared" si="1"/>
        <v>🔊</v>
      </c>
      <c r="D412" s="8" t="s">
        <v>3029</v>
      </c>
      <c r="E412" s="6" t="s">
        <v>27</v>
      </c>
      <c r="F412" s="12" t="str">
        <f>IFERROR(__xludf.DUMMYFUNCTION("GOOGLETRANSLATE(B412,""zh_cn"",""vi"")"),"máy giặt")</f>
        <v>máy giặt</v>
      </c>
      <c r="G412" s="20" t="s">
        <v>3030</v>
      </c>
      <c r="I412" s="11" t="b">
        <f t="shared" si="2"/>
        <v>0</v>
      </c>
      <c r="J412" s="24"/>
      <c r="K412" s="11" t="b">
        <f t="shared" si="3"/>
        <v>0</v>
      </c>
    </row>
    <row r="413" ht="22.5" customHeight="1">
      <c r="A413" s="12">
        <f t="shared" si="4"/>
        <v>911</v>
      </c>
      <c r="B413" s="6" t="s">
        <v>3031</v>
      </c>
      <c r="C413" s="7" t="str">
        <f t="shared" si="1"/>
        <v>🔊</v>
      </c>
      <c r="D413" s="8" t="s">
        <v>3032</v>
      </c>
      <c r="E413" s="6" t="s">
        <v>13</v>
      </c>
      <c r="F413" s="5" t="s">
        <v>3033</v>
      </c>
      <c r="G413" s="20" t="s">
        <v>3034</v>
      </c>
      <c r="I413" s="11" t="b">
        <f t="shared" si="2"/>
        <v>0</v>
      </c>
      <c r="J413" s="24"/>
      <c r="K413" s="11" t="b">
        <f t="shared" si="3"/>
        <v>0</v>
      </c>
    </row>
    <row r="414" ht="22.5" customHeight="1">
      <c r="A414" s="12">
        <f t="shared" si="4"/>
        <v>912</v>
      </c>
      <c r="B414" s="6" t="s">
        <v>3035</v>
      </c>
      <c r="C414" s="7" t="str">
        <f t="shared" si="1"/>
        <v>🔊</v>
      </c>
      <c r="D414" s="8" t="s">
        <v>3036</v>
      </c>
      <c r="E414" s="6" t="s">
        <v>13</v>
      </c>
      <c r="F414" s="5" t="s">
        <v>3037</v>
      </c>
      <c r="G414" s="20" t="s">
        <v>3038</v>
      </c>
      <c r="I414" s="11" t="b">
        <f t="shared" si="2"/>
        <v>0</v>
      </c>
      <c r="J414" s="24"/>
      <c r="K414" s="11" t="b">
        <f t="shared" si="3"/>
        <v>0</v>
      </c>
    </row>
    <row r="415" ht="22.5" customHeight="1">
      <c r="A415" s="12">
        <f t="shared" si="4"/>
        <v>913</v>
      </c>
      <c r="B415" s="6" t="s">
        <v>3039</v>
      </c>
      <c r="C415" s="7" t="str">
        <f t="shared" si="1"/>
        <v>🔊</v>
      </c>
      <c r="D415" s="8" t="s">
        <v>3040</v>
      </c>
      <c r="E415" s="6" t="s">
        <v>13</v>
      </c>
      <c r="F415" s="5" t="s">
        <v>3041</v>
      </c>
      <c r="G415" s="20" t="s">
        <v>3042</v>
      </c>
      <c r="I415" s="11" t="b">
        <f t="shared" si="2"/>
        <v>0</v>
      </c>
      <c r="J415" s="24"/>
      <c r="K415" s="11" t="b">
        <f t="shared" si="3"/>
        <v>0</v>
      </c>
    </row>
    <row r="416" ht="22.5" customHeight="1">
      <c r="A416" s="12">
        <f t="shared" si="4"/>
        <v>914</v>
      </c>
      <c r="B416" s="6" t="s">
        <v>3043</v>
      </c>
      <c r="C416" s="7" t="str">
        <f t="shared" si="1"/>
        <v>🔊</v>
      </c>
      <c r="D416" s="8" t="s">
        <v>3044</v>
      </c>
      <c r="E416" s="6" t="s">
        <v>27</v>
      </c>
      <c r="F416" s="12" t="str">
        <f>IFERROR(__xludf.DUMMYFUNCTION("GOOGLETRANSLATE(B416,""zh_cn"",""vi"")"),"học kỳ")</f>
        <v>học kỳ</v>
      </c>
      <c r="G416" s="20" t="s">
        <v>3045</v>
      </c>
      <c r="I416" s="11" t="b">
        <f t="shared" si="2"/>
        <v>0</v>
      </c>
      <c r="J416" s="24"/>
      <c r="K416" s="11" t="b">
        <f t="shared" si="3"/>
        <v>0</v>
      </c>
    </row>
    <row r="417" ht="22.5" customHeight="1">
      <c r="A417" s="12">
        <f t="shared" si="4"/>
        <v>915</v>
      </c>
      <c r="B417" s="6" t="s">
        <v>3046</v>
      </c>
      <c r="C417" s="7" t="str">
        <f t="shared" si="1"/>
        <v>🔊</v>
      </c>
      <c r="D417" s="8" t="s">
        <v>3047</v>
      </c>
      <c r="E417" s="6" t="s">
        <v>232</v>
      </c>
      <c r="F417" s="5" t="s">
        <v>3048</v>
      </c>
      <c r="G417" s="20" t="s">
        <v>3049</v>
      </c>
      <c r="I417" s="11" t="b">
        <f t="shared" si="2"/>
        <v>0</v>
      </c>
      <c r="J417" s="24"/>
      <c r="K417" s="11" t="b">
        <f t="shared" si="3"/>
        <v>0</v>
      </c>
    </row>
    <row r="418" ht="22.5" customHeight="1">
      <c r="A418" s="12">
        <f t="shared" si="4"/>
        <v>916</v>
      </c>
      <c r="B418" s="6" t="s">
        <v>3050</v>
      </c>
      <c r="C418" s="7" t="str">
        <f t="shared" si="1"/>
        <v>🔊</v>
      </c>
      <c r="D418" s="8" t="s">
        <v>3051</v>
      </c>
      <c r="E418" s="6" t="s">
        <v>27</v>
      </c>
      <c r="F418" s="12" t="str">
        <f>IFERROR(__xludf.DUMMYFUNCTION("GOOGLETRANSLATE(B418,""zh_cn"",""vi"")"),"răng")</f>
        <v>răng</v>
      </c>
      <c r="G418" s="20" t="s">
        <v>3052</v>
      </c>
      <c r="I418" s="11" t="b">
        <f t="shared" si="2"/>
        <v>0</v>
      </c>
      <c r="J418" s="24"/>
      <c r="K418" s="11" t="b">
        <f t="shared" si="3"/>
        <v>0</v>
      </c>
    </row>
    <row r="419" ht="22.5" customHeight="1">
      <c r="A419" s="12">
        <f t="shared" si="4"/>
        <v>917</v>
      </c>
      <c r="B419" s="6" t="s">
        <v>3053</v>
      </c>
      <c r="C419" s="7" t="str">
        <f t="shared" si="1"/>
        <v>🔊</v>
      </c>
      <c r="D419" s="8" t="s">
        <v>3054</v>
      </c>
      <c r="E419" s="6" t="s">
        <v>27</v>
      </c>
      <c r="F419" s="12" t="str">
        <f>IFERROR(__xludf.DUMMYFUNCTION("GOOGLETRANSLATE(B419,""zh_cn"",""vi"")"),"con cừu")</f>
        <v>con cừu</v>
      </c>
      <c r="G419" s="20" t="s">
        <v>3055</v>
      </c>
      <c r="I419" s="11" t="b">
        <f t="shared" si="2"/>
        <v>0</v>
      </c>
      <c r="J419" s="24"/>
      <c r="K419" s="11" t="b">
        <f t="shared" si="3"/>
        <v>0</v>
      </c>
    </row>
    <row r="420" ht="22.5" customHeight="1">
      <c r="A420" s="12">
        <f t="shared" si="4"/>
        <v>918</v>
      </c>
      <c r="B420" s="6" t="s">
        <v>3056</v>
      </c>
      <c r="C420" s="7" t="str">
        <f t="shared" si="1"/>
        <v>🔊</v>
      </c>
      <c r="D420" s="8" t="s">
        <v>3057</v>
      </c>
      <c r="E420" s="6" t="s">
        <v>13</v>
      </c>
      <c r="F420" s="5" t="s">
        <v>3058</v>
      </c>
      <c r="G420" s="20" t="s">
        <v>3059</v>
      </c>
      <c r="I420" s="11" t="b">
        <f t="shared" si="2"/>
        <v>0</v>
      </c>
      <c r="J420" s="24"/>
      <c r="K420" s="11" t="b">
        <f t="shared" si="3"/>
        <v>0</v>
      </c>
    </row>
    <row r="421" ht="22.5" customHeight="1">
      <c r="A421" s="12">
        <f t="shared" si="4"/>
        <v>919</v>
      </c>
      <c r="B421" s="6" t="s">
        <v>3060</v>
      </c>
      <c r="C421" s="7" t="str">
        <f t="shared" si="1"/>
        <v>🔊</v>
      </c>
      <c r="D421" s="8" t="s">
        <v>3061</v>
      </c>
      <c r="E421" s="6" t="s">
        <v>232</v>
      </c>
      <c r="F421" s="12" t="str">
        <f>IFERROR(__xludf.DUMMYFUNCTION("GOOGLETRANSLATE(B421,""zh_cn"",""vi"")"),"Yêu cầu")</f>
        <v>Yêu cầu</v>
      </c>
      <c r="G421" s="20" t="s">
        <v>3062</v>
      </c>
      <c r="I421" s="11" t="b">
        <f t="shared" si="2"/>
        <v>0</v>
      </c>
      <c r="J421" s="24"/>
      <c r="K421" s="11" t="b">
        <f t="shared" si="3"/>
        <v>0</v>
      </c>
    </row>
    <row r="422" ht="22.5" customHeight="1">
      <c r="A422" s="12">
        <f t="shared" si="4"/>
        <v>920</v>
      </c>
      <c r="B422" s="6" t="s">
        <v>3063</v>
      </c>
      <c r="C422" s="7" t="str">
        <f t="shared" si="1"/>
        <v>🔊</v>
      </c>
      <c r="D422" s="8" t="s">
        <v>3064</v>
      </c>
      <c r="E422" s="6" t="s">
        <v>27</v>
      </c>
      <c r="F422" s="12" t="str">
        <f>IFERROR(__xludf.DUMMYFUNCTION("GOOGLETRANSLATE(B422,""zh_cn"",""vi"")"),"bàn chải đánh răng")</f>
        <v>bàn chải đánh răng</v>
      </c>
      <c r="G422" s="20" t="s">
        <v>3065</v>
      </c>
      <c r="I422" s="11" t="b">
        <f t="shared" si="2"/>
        <v>0</v>
      </c>
      <c r="J422" s="24"/>
      <c r="K422" s="11" t="b">
        <f t="shared" si="3"/>
        <v>0</v>
      </c>
    </row>
    <row r="423" ht="22.5" customHeight="1">
      <c r="A423" s="12">
        <f t="shared" si="4"/>
        <v>921</v>
      </c>
      <c r="B423" s="6" t="s">
        <v>3066</v>
      </c>
      <c r="C423" s="7" t="str">
        <f t="shared" si="1"/>
        <v>🔊</v>
      </c>
      <c r="D423" s="8" t="s">
        <v>3067</v>
      </c>
      <c r="E423" s="6" t="s">
        <v>47</v>
      </c>
      <c r="F423" s="12" t="str">
        <f>IFERROR(__xludf.DUMMYFUNCTION("GOOGLETRANSLATE(B423,""zh_cn"",""vi"")"),"Trang")</f>
        <v>Trang</v>
      </c>
      <c r="G423" s="20" t="s">
        <v>3068</v>
      </c>
      <c r="I423" s="11" t="b">
        <f t="shared" si="2"/>
        <v>0</v>
      </c>
      <c r="J423" s="24"/>
      <c r="K423" s="11" t="b">
        <f t="shared" si="3"/>
        <v>0</v>
      </c>
    </row>
    <row r="424" ht="22.5" customHeight="1">
      <c r="A424" s="12">
        <f t="shared" si="4"/>
        <v>922</v>
      </c>
      <c r="B424" s="6" t="s">
        <v>3069</v>
      </c>
      <c r="C424" s="7" t="str">
        <f t="shared" si="1"/>
        <v>🔊</v>
      </c>
      <c r="D424" s="8" t="s">
        <v>3070</v>
      </c>
      <c r="E424" s="6" t="s">
        <v>99</v>
      </c>
      <c r="F424" s="5" t="s">
        <v>3071</v>
      </c>
      <c r="G424" s="20" t="s">
        <v>3072</v>
      </c>
      <c r="I424" s="11" t="b">
        <f t="shared" si="2"/>
        <v>0</v>
      </c>
      <c r="J424" s="24"/>
      <c r="K424" s="11" t="b">
        <f t="shared" si="3"/>
        <v>0</v>
      </c>
    </row>
    <row r="425" ht="22.5" customHeight="1">
      <c r="A425" s="12">
        <f t="shared" si="4"/>
        <v>923</v>
      </c>
      <c r="B425" s="6" t="s">
        <v>3073</v>
      </c>
      <c r="C425" s="7" t="str">
        <f t="shared" si="1"/>
        <v>🔊</v>
      </c>
      <c r="D425" s="8" t="s">
        <v>3074</v>
      </c>
      <c r="E425" s="6" t="s">
        <v>61</v>
      </c>
      <c r="F425" s="12" t="str">
        <f>IFERROR(__xludf.DUMMYFUNCTION("GOOGLETRANSLATE(B425,""zh_cn"",""vi"")"),"Một bên")</f>
        <v>Một bên</v>
      </c>
      <c r="G425" s="20" t="s">
        <v>3075</v>
      </c>
      <c r="I425" s="11" t="b">
        <f t="shared" si="2"/>
        <v>0</v>
      </c>
      <c r="J425" s="24"/>
      <c r="K425" s="11" t="b">
        <f t="shared" si="3"/>
        <v>0</v>
      </c>
    </row>
    <row r="426" ht="22.5" customHeight="1">
      <c r="A426" s="12">
        <f t="shared" si="4"/>
        <v>924</v>
      </c>
      <c r="B426" s="6" t="s">
        <v>3076</v>
      </c>
      <c r="C426" s="7" t="str">
        <f t="shared" si="1"/>
        <v>🔊</v>
      </c>
      <c r="D426" s="8" t="s">
        <v>3077</v>
      </c>
      <c r="E426" s="6" t="s">
        <v>1308</v>
      </c>
      <c r="F426" s="5" t="s">
        <v>3078</v>
      </c>
      <c r="G426" s="20" t="s">
        <v>3079</v>
      </c>
      <c r="I426" s="11" t="b">
        <f t="shared" si="2"/>
        <v>0</v>
      </c>
      <c r="J426" s="24"/>
      <c r="K426" s="11" t="b">
        <f t="shared" si="3"/>
        <v>0</v>
      </c>
    </row>
    <row r="427" ht="22.5" customHeight="1">
      <c r="A427" s="12">
        <f t="shared" si="4"/>
        <v>925</v>
      </c>
      <c r="B427" s="6" t="s">
        <v>3080</v>
      </c>
      <c r="C427" s="7" t="str">
        <f t="shared" si="1"/>
        <v>🔊</v>
      </c>
      <c r="D427" s="8" t="s">
        <v>3081</v>
      </c>
      <c r="E427" s="6" t="s">
        <v>61</v>
      </c>
      <c r="F427" s="12" t="str">
        <f>IFERROR(__xludf.DUMMYFUNCTION("GOOGLETRANSLATE(B427,""zh_cn"",""vi"")"),"Tổng cộng")</f>
        <v>Tổng cộng</v>
      </c>
      <c r="G427" s="20" t="s">
        <v>3082</v>
      </c>
      <c r="I427" s="11" t="b">
        <f t="shared" si="2"/>
        <v>0</v>
      </c>
      <c r="J427" s="24"/>
      <c r="K427" s="11" t="b">
        <f t="shared" si="3"/>
        <v>0</v>
      </c>
    </row>
    <row r="428" ht="22.5" customHeight="1">
      <c r="A428" s="12">
        <f t="shared" si="4"/>
        <v>926</v>
      </c>
      <c r="B428" s="6" t="s">
        <v>3083</v>
      </c>
      <c r="C428" s="7" t="str">
        <f t="shared" si="1"/>
        <v>🔊</v>
      </c>
      <c r="D428" s="8" t="s">
        <v>3084</v>
      </c>
      <c r="E428" s="6" t="s">
        <v>27</v>
      </c>
      <c r="F428" s="5" t="s">
        <v>3085</v>
      </c>
      <c r="G428" s="20" t="s">
        <v>3086</v>
      </c>
      <c r="I428" s="11" t="b">
        <f t="shared" si="2"/>
        <v>0</v>
      </c>
      <c r="J428" s="24"/>
      <c r="K428" s="11" t="b">
        <f t="shared" si="3"/>
        <v>0</v>
      </c>
    </row>
    <row r="429" ht="22.5" customHeight="1">
      <c r="A429" s="12">
        <f t="shared" si="4"/>
        <v>927</v>
      </c>
      <c r="B429" s="6" t="s">
        <v>3087</v>
      </c>
      <c r="C429" s="7" t="str">
        <f t="shared" si="1"/>
        <v>🔊</v>
      </c>
      <c r="D429" s="8" t="s">
        <v>3088</v>
      </c>
      <c r="E429" s="6" t="s">
        <v>3089</v>
      </c>
      <c r="F429" s="12" t="str">
        <f>IFERROR(__xludf.DUMMYFUNCTION("GOOGLETRANSLATE(B429,""zh_cn"",""vi"")"),"Cùng nhau")</f>
        <v>Cùng nhau</v>
      </c>
      <c r="G429" s="20" t="s">
        <v>3090</v>
      </c>
      <c r="I429" s="11" t="b">
        <f t="shared" si="2"/>
        <v>0</v>
      </c>
      <c r="J429" s="24"/>
      <c r="K429" s="11" t="b">
        <f t="shared" si="3"/>
        <v>0</v>
      </c>
    </row>
    <row r="430" ht="22.5" customHeight="1">
      <c r="A430" s="12">
        <f t="shared" si="4"/>
        <v>928</v>
      </c>
      <c r="B430" s="6" t="s">
        <v>1630</v>
      </c>
      <c r="C430" s="7" t="str">
        <f t="shared" si="1"/>
        <v>🔊</v>
      </c>
      <c r="D430" s="8" t="s">
        <v>3091</v>
      </c>
      <c r="E430" s="6" t="s">
        <v>13</v>
      </c>
      <c r="F430" s="12" t="str">
        <f>IFERROR(__xludf.DUMMYFUNCTION("GOOGLETRANSLATE(B430,""zh_cn"",""vi"")"),"nên")</f>
        <v>nên</v>
      </c>
      <c r="G430" s="20" t="s">
        <v>3092</v>
      </c>
      <c r="I430" s="11" t="b">
        <f t="shared" si="2"/>
        <v>0</v>
      </c>
      <c r="J430" s="24"/>
      <c r="K430" s="11" t="b">
        <f t="shared" si="3"/>
        <v>0</v>
      </c>
    </row>
    <row r="431" ht="22.5" customHeight="1">
      <c r="A431" s="12">
        <f t="shared" si="4"/>
        <v>929</v>
      </c>
      <c r="B431" s="6" t="s">
        <v>3093</v>
      </c>
      <c r="C431" s="7" t="str">
        <f t="shared" si="1"/>
        <v>🔊</v>
      </c>
      <c r="D431" s="8" t="s">
        <v>3094</v>
      </c>
      <c r="E431" s="6" t="s">
        <v>232</v>
      </c>
      <c r="F431" s="12" t="str">
        <f>IFERROR(__xludf.DUMMYFUNCTION("GOOGLETRANSLATE(B431,""zh_cn"",""vi"")"),"Ảnh hưởng")</f>
        <v>Ảnh hưởng</v>
      </c>
      <c r="G431" s="20" t="s">
        <v>3095</v>
      </c>
      <c r="I431" s="11" t="b">
        <f t="shared" si="2"/>
        <v>0</v>
      </c>
      <c r="J431" s="24"/>
      <c r="K431" s="11" t="b">
        <f t="shared" si="3"/>
        <v>0</v>
      </c>
    </row>
    <row r="432" ht="22.5" customHeight="1">
      <c r="A432" s="12">
        <f t="shared" si="4"/>
        <v>930</v>
      </c>
      <c r="B432" s="6" t="s">
        <v>3096</v>
      </c>
      <c r="C432" s="7" t="str">
        <f t="shared" si="1"/>
        <v>🔊</v>
      </c>
      <c r="D432" s="8" t="s">
        <v>3097</v>
      </c>
      <c r="E432" s="6" t="s">
        <v>27</v>
      </c>
      <c r="F432" s="12" t="str">
        <f>IFERROR(__xludf.DUMMYFUNCTION("GOOGLETRANSLATE(B432,""zh_cn"",""vi"")"),"ngân hàng")</f>
        <v>ngân hàng</v>
      </c>
      <c r="G432" s="20" t="s">
        <v>3098</v>
      </c>
      <c r="I432" s="11" t="b">
        <f t="shared" si="2"/>
        <v>0</v>
      </c>
      <c r="J432" s="24"/>
      <c r="K432" s="11" t="b">
        <f t="shared" si="3"/>
        <v>0</v>
      </c>
    </row>
    <row r="433" ht="22.5" customHeight="1">
      <c r="A433" s="12">
        <f t="shared" si="4"/>
        <v>931</v>
      </c>
      <c r="B433" s="6" t="s">
        <v>3099</v>
      </c>
      <c r="C433" s="7" t="str">
        <f t="shared" si="1"/>
        <v>🔊</v>
      </c>
      <c r="D433" s="8" t="s">
        <v>3100</v>
      </c>
      <c r="E433" s="6" t="s">
        <v>27</v>
      </c>
      <c r="F433" s="12" t="str">
        <f>IFERROR(__xludf.DUMMYFUNCTION("GOOGLETRANSLATE(B433,""zh_cn"",""vi"")"),"thẻ ngân hàng")</f>
        <v>thẻ ngân hàng</v>
      </c>
      <c r="G433" s="20" t="s">
        <v>3101</v>
      </c>
      <c r="I433" s="11" t="b">
        <f t="shared" si="2"/>
        <v>0</v>
      </c>
      <c r="J433" s="24"/>
      <c r="K433" s="11" t="b">
        <f t="shared" si="3"/>
        <v>0</v>
      </c>
    </row>
    <row r="434" ht="22.5" customHeight="1">
      <c r="A434" s="12">
        <f t="shared" si="4"/>
        <v>932</v>
      </c>
      <c r="B434" s="6" t="s">
        <v>3102</v>
      </c>
      <c r="C434" s="7" t="str">
        <f t="shared" si="1"/>
        <v>🔊</v>
      </c>
      <c r="D434" s="8" t="s">
        <v>3103</v>
      </c>
      <c r="E434" s="6" t="s">
        <v>27</v>
      </c>
      <c r="F434" s="12" t="str">
        <f>IFERROR(__xludf.DUMMYFUNCTION("GOOGLETRANSLATE(B434,""zh_cn"",""vi"")"),"đồ uống")</f>
        <v>đồ uống</v>
      </c>
      <c r="G434" s="20" t="s">
        <v>3104</v>
      </c>
      <c r="I434" s="11" t="b">
        <f t="shared" si="2"/>
        <v>0</v>
      </c>
      <c r="J434" s="24"/>
      <c r="K434" s="11" t="b">
        <f t="shared" si="3"/>
        <v>0</v>
      </c>
    </row>
    <row r="435" ht="22.5" customHeight="1">
      <c r="A435" s="12">
        <f t="shared" si="4"/>
        <v>933</v>
      </c>
      <c r="B435" s="6" t="s">
        <v>3105</v>
      </c>
      <c r="C435" s="7" t="str">
        <f t="shared" si="1"/>
        <v>🔊</v>
      </c>
      <c r="D435" s="8" t="s">
        <v>3106</v>
      </c>
      <c r="E435" s="6" t="s">
        <v>27</v>
      </c>
      <c r="F435" s="12" t="str">
        <f>IFERROR(__xludf.DUMMYFUNCTION("GOOGLETRANSLATE(B435,""zh_cn"",""vi"")"),"âm nhạc")</f>
        <v>âm nhạc</v>
      </c>
      <c r="G435" s="20" t="s">
        <v>3107</v>
      </c>
      <c r="I435" s="11" t="b">
        <f t="shared" si="2"/>
        <v>0</v>
      </c>
      <c r="J435" s="24"/>
      <c r="K435" s="11" t="b">
        <f t="shared" si="3"/>
        <v>0</v>
      </c>
    </row>
    <row r="436" ht="22.5" customHeight="1">
      <c r="A436" s="12">
        <f t="shared" si="4"/>
        <v>934</v>
      </c>
      <c r="B436" s="6" t="s">
        <v>3108</v>
      </c>
      <c r="C436" s="7" t="str">
        <f t="shared" si="1"/>
        <v>🔊</v>
      </c>
      <c r="D436" s="8" t="s">
        <v>3109</v>
      </c>
      <c r="E436" s="6" t="s">
        <v>27</v>
      </c>
      <c r="F436" s="5" t="s">
        <v>3110</v>
      </c>
      <c r="G436" s="20" t="s">
        <v>3111</v>
      </c>
      <c r="I436" s="11" t="b">
        <f t="shared" si="2"/>
        <v>0</v>
      </c>
      <c r="J436" s="24"/>
      <c r="K436" s="11" t="b">
        <f t="shared" si="3"/>
        <v>0</v>
      </c>
    </row>
    <row r="437" ht="22.5" customHeight="1">
      <c r="A437" s="12">
        <f t="shared" si="4"/>
        <v>935</v>
      </c>
      <c r="B437" s="6" t="s">
        <v>3112</v>
      </c>
      <c r="C437" s="7" t="str">
        <f t="shared" si="1"/>
        <v>🔊</v>
      </c>
      <c r="D437" s="8" t="s">
        <v>3113</v>
      </c>
      <c r="E437" s="6" t="s">
        <v>27</v>
      </c>
      <c r="F437" s="12" t="str">
        <f>IFERROR(__xludf.DUMMYFUNCTION("GOOGLETRANSLATE(B437,""zh_cn"",""vi"")"),"bên trên")</f>
        <v>bên trên</v>
      </c>
      <c r="G437" s="20" t="s">
        <v>3114</v>
      </c>
      <c r="I437" s="11" t="b">
        <f t="shared" si="2"/>
        <v>0</v>
      </c>
      <c r="J437" s="24"/>
      <c r="K437" s="11" t="b">
        <f t="shared" si="3"/>
        <v>0</v>
      </c>
    </row>
    <row r="438" ht="22.5" customHeight="1">
      <c r="A438" s="12">
        <f t="shared" si="4"/>
        <v>936</v>
      </c>
      <c r="B438" s="6" t="s">
        <v>3115</v>
      </c>
      <c r="C438" s="7" t="str">
        <f t="shared" si="1"/>
        <v>🔊</v>
      </c>
      <c r="D438" s="8" t="s">
        <v>3116</v>
      </c>
      <c r="E438" s="6" t="s">
        <v>27</v>
      </c>
      <c r="F438" s="5" t="s">
        <v>3117</v>
      </c>
      <c r="G438" s="20" t="s">
        <v>3118</v>
      </c>
      <c r="I438" s="11" t="b">
        <f t="shared" si="2"/>
        <v>0</v>
      </c>
      <c r="J438" s="24"/>
      <c r="K438" s="11" t="b">
        <f t="shared" si="3"/>
        <v>0</v>
      </c>
    </row>
    <row r="439" ht="22.5" customHeight="1">
      <c r="A439" s="12">
        <f t="shared" si="4"/>
        <v>937</v>
      </c>
      <c r="B439" s="6" t="s">
        <v>3119</v>
      </c>
      <c r="C439" s="7" t="str">
        <f t="shared" si="1"/>
        <v>🔊</v>
      </c>
      <c r="D439" s="8" t="s">
        <v>3120</v>
      </c>
      <c r="E439" s="6" t="s">
        <v>13</v>
      </c>
      <c r="F439" s="5" t="s">
        <v>3121</v>
      </c>
      <c r="G439" s="20" t="s">
        <v>3122</v>
      </c>
      <c r="I439" s="11" t="b">
        <f t="shared" si="2"/>
        <v>0</v>
      </c>
      <c r="J439" s="24"/>
      <c r="K439" s="11" t="b">
        <f t="shared" si="3"/>
        <v>0</v>
      </c>
    </row>
    <row r="440" ht="22.5" customHeight="1">
      <c r="A440" s="12">
        <f t="shared" si="4"/>
        <v>938</v>
      </c>
      <c r="B440" s="6" t="s">
        <v>3123</v>
      </c>
      <c r="C440" s="7" t="str">
        <f t="shared" si="1"/>
        <v>🔊</v>
      </c>
      <c r="D440" s="8" t="s">
        <v>3124</v>
      </c>
      <c r="E440" s="6" t="s">
        <v>27</v>
      </c>
      <c r="F440" s="5" t="s">
        <v>3125</v>
      </c>
      <c r="G440" s="20" t="s">
        <v>3126</v>
      </c>
      <c r="I440" s="11" t="b">
        <f t="shared" si="2"/>
        <v>0</v>
      </c>
      <c r="J440" s="24"/>
      <c r="K440" s="11" t="b">
        <f t="shared" si="3"/>
        <v>0</v>
      </c>
    </row>
    <row r="441" ht="22.5" customHeight="1">
      <c r="A441" s="12">
        <f t="shared" si="4"/>
        <v>939</v>
      </c>
      <c r="B441" s="6" t="s">
        <v>3127</v>
      </c>
      <c r="C441" s="7" t="str">
        <f t="shared" si="1"/>
        <v>🔊</v>
      </c>
      <c r="D441" s="8" t="s">
        <v>3128</v>
      </c>
      <c r="E441" s="6" t="s">
        <v>99</v>
      </c>
      <c r="F441" s="12" t="str">
        <f>IFERROR(__xludf.DUMMYFUNCTION("GOOGLETRANSLATE(B441,""zh_cn"",""vi"")"),"Như nhau")</f>
        <v>Như nhau</v>
      </c>
      <c r="G441" s="20" t="s">
        <v>3129</v>
      </c>
      <c r="I441" s="11" t="b">
        <f t="shared" si="2"/>
        <v>0</v>
      </c>
      <c r="J441" s="24"/>
      <c r="K441" s="11" t="b">
        <f t="shared" si="3"/>
        <v>0</v>
      </c>
    </row>
    <row r="442" ht="22.5" customHeight="1">
      <c r="A442" s="12">
        <f t="shared" si="4"/>
        <v>940</v>
      </c>
      <c r="B442" s="6" t="s">
        <v>3130</v>
      </c>
      <c r="C442" s="7" t="str">
        <f t="shared" si="1"/>
        <v>🔊</v>
      </c>
      <c r="D442" s="8" t="s">
        <v>3131</v>
      </c>
      <c r="E442" s="6" t="s">
        <v>61</v>
      </c>
      <c r="F442" s="5" t="s">
        <v>3132</v>
      </c>
      <c r="G442" s="20" t="s">
        <v>3133</v>
      </c>
      <c r="I442" s="11" t="b">
        <f t="shared" si="2"/>
        <v>0</v>
      </c>
      <c r="J442" s="24"/>
      <c r="K442" s="11" t="b">
        <f t="shared" si="3"/>
        <v>0</v>
      </c>
    </row>
    <row r="443" ht="22.5" customHeight="1">
      <c r="A443" s="12">
        <f t="shared" si="4"/>
        <v>941</v>
      </c>
      <c r="B443" s="6" t="s">
        <v>3134</v>
      </c>
      <c r="C443" s="7" t="str">
        <f t="shared" si="1"/>
        <v>🔊</v>
      </c>
      <c r="D443" s="8" t="s">
        <v>3135</v>
      </c>
      <c r="E443" s="6" t="s">
        <v>13</v>
      </c>
      <c r="F443" s="12" t="str">
        <f>IFERROR(__xludf.DUMMYFUNCTION("GOOGLETRANSLATE(B443,""zh_cn"",""vi"")"),"sử dụng")</f>
        <v>sử dụng</v>
      </c>
      <c r="G443" s="20" t="s">
        <v>3136</v>
      </c>
      <c r="I443" s="11" t="b">
        <f t="shared" si="2"/>
        <v>0</v>
      </c>
      <c r="J443" s="24"/>
      <c r="K443" s="11" t="b">
        <f t="shared" si="3"/>
        <v>0</v>
      </c>
    </row>
    <row r="444" ht="22.5" customHeight="1">
      <c r="A444" s="12">
        <f t="shared" si="4"/>
        <v>942</v>
      </c>
      <c r="B444" s="6" t="s">
        <v>3137</v>
      </c>
      <c r="C444" s="7" t="str">
        <f t="shared" si="1"/>
        <v>🔊</v>
      </c>
      <c r="D444" s="8" t="s">
        <v>1627</v>
      </c>
      <c r="E444" s="6" t="s">
        <v>61</v>
      </c>
      <c r="F444" s="12" t="str">
        <f>IFERROR(__xludf.DUMMYFUNCTION("GOOGLETRANSLATE(B444,""zh_cn"",""vi"")"),"lại")</f>
        <v>lại</v>
      </c>
      <c r="G444" s="20" t="s">
        <v>3138</v>
      </c>
      <c r="I444" s="11" t="b">
        <f t="shared" si="2"/>
        <v>0</v>
      </c>
      <c r="J444" s="24"/>
      <c r="K444" s="11" t="b">
        <f t="shared" si="3"/>
        <v>0</v>
      </c>
    </row>
    <row r="445" ht="22.5" customHeight="1">
      <c r="A445" s="12">
        <f t="shared" si="4"/>
        <v>943</v>
      </c>
      <c r="B445" s="6" t="s">
        <v>3139</v>
      </c>
      <c r="C445" s="7" t="str">
        <f t="shared" si="1"/>
        <v>🔊</v>
      </c>
      <c r="D445" s="8" t="s">
        <v>3140</v>
      </c>
      <c r="E445" s="6" t="s">
        <v>1054</v>
      </c>
      <c r="F445" s="12" t="str">
        <f>IFERROR(__xludf.DUMMYFUNCTION("GOOGLETRANSLATE(B445,""zh_cn"",""vi"")"),"có liên quan")</f>
        <v>có liên quan</v>
      </c>
      <c r="G445" s="20" t="s">
        <v>3141</v>
      </c>
      <c r="I445" s="11" t="b">
        <f t="shared" si="2"/>
        <v>0</v>
      </c>
      <c r="J445" s="24"/>
      <c r="K445" s="11" t="b">
        <f t="shared" si="3"/>
        <v>0</v>
      </c>
    </row>
    <row r="446" ht="22.5" customHeight="1">
      <c r="A446" s="12">
        <f t="shared" si="4"/>
        <v>944</v>
      </c>
      <c r="B446" s="6" t="s">
        <v>3142</v>
      </c>
      <c r="C446" s="7" t="str">
        <f t="shared" si="1"/>
        <v>🔊</v>
      </c>
      <c r="D446" s="8" t="s">
        <v>3143</v>
      </c>
      <c r="E446" s="6" t="s">
        <v>27</v>
      </c>
      <c r="F446" s="12" t="str">
        <f>IFERROR(__xludf.DUMMYFUNCTION("GOOGLETRANSLATE(B446,""zh_cn"",""vi"")"),"thư")</f>
        <v>thư</v>
      </c>
      <c r="G446" s="20" t="s">
        <v>3144</v>
      </c>
      <c r="I446" s="11" t="b">
        <f t="shared" si="2"/>
        <v>0</v>
      </c>
      <c r="J446" s="24"/>
      <c r="K446" s="11" t="b">
        <f t="shared" si="3"/>
        <v>0</v>
      </c>
    </row>
    <row r="447" ht="22.5" customHeight="1">
      <c r="A447" s="12">
        <f t="shared" si="4"/>
        <v>945</v>
      </c>
      <c r="B447" s="6" t="s">
        <v>3145</v>
      </c>
      <c r="C447" s="7" t="str">
        <f t="shared" si="1"/>
        <v>🔊</v>
      </c>
      <c r="D447" s="8" t="s">
        <v>3146</v>
      </c>
      <c r="E447" s="6" t="s">
        <v>27</v>
      </c>
      <c r="F447" s="12" t="str">
        <f>IFERROR(__xludf.DUMMYFUNCTION("GOOGLETRANSLATE(B447,""zh_cn"",""vi"")"),"khách du lịch")</f>
        <v>khách du lịch</v>
      </c>
      <c r="G447" s="20" t="s">
        <v>3147</v>
      </c>
      <c r="I447" s="11" t="b">
        <f t="shared" si="2"/>
        <v>0</v>
      </c>
      <c r="J447" s="24"/>
      <c r="K447" s="11" t="b">
        <f t="shared" si="3"/>
        <v>0</v>
      </c>
    </row>
    <row r="448" ht="22.5" customHeight="1">
      <c r="A448" s="12">
        <f t="shared" si="4"/>
        <v>946</v>
      </c>
      <c r="B448" s="6" t="s">
        <v>3148</v>
      </c>
      <c r="C448" s="7" t="str">
        <f t="shared" si="1"/>
        <v>🔊</v>
      </c>
      <c r="D448" s="8" t="s">
        <v>3149</v>
      </c>
      <c r="E448" s="6" t="s">
        <v>99</v>
      </c>
      <c r="F448" s="12" t="str">
        <f>IFERROR(__xludf.DUMMYFUNCTION("GOOGLETRANSLATE(B448,""zh_cn"",""vi"")"),"nổi tiếng")</f>
        <v>nổi tiếng</v>
      </c>
      <c r="G448" s="20" t="s">
        <v>3150</v>
      </c>
      <c r="I448" s="11" t="b">
        <f t="shared" si="2"/>
        <v>0</v>
      </c>
      <c r="J448" s="24"/>
      <c r="K448" s="11" t="b">
        <f t="shared" si="3"/>
        <v>0</v>
      </c>
    </row>
    <row r="449" ht="22.5" customHeight="1">
      <c r="A449" s="12">
        <f t="shared" si="4"/>
        <v>947</v>
      </c>
      <c r="B449" s="6" t="s">
        <v>3151</v>
      </c>
      <c r="C449" s="7" t="str">
        <f t="shared" si="1"/>
        <v>🔊</v>
      </c>
      <c r="D449" s="8" t="s">
        <v>3152</v>
      </c>
      <c r="E449" s="6" t="s">
        <v>27</v>
      </c>
      <c r="F449" s="12" t="str">
        <f>IFERROR(__xludf.DUMMYFUNCTION("GOOGLETRANSLATE(B449,""zh_cn"",""vi"")"),"trò chơi")</f>
        <v>trò chơi</v>
      </c>
      <c r="G449" s="20" t="s">
        <v>3153</v>
      </c>
      <c r="I449" s="11" t="b">
        <f t="shared" si="2"/>
        <v>0</v>
      </c>
      <c r="J449" s="24"/>
      <c r="K449" s="11" t="b">
        <f t="shared" si="3"/>
        <v>0</v>
      </c>
    </row>
    <row r="450" ht="22.5" customHeight="1">
      <c r="A450" s="12">
        <f t="shared" si="4"/>
        <v>948</v>
      </c>
      <c r="B450" s="6" t="s">
        <v>3154</v>
      </c>
      <c r="C450" s="7" t="str">
        <f t="shared" si="1"/>
        <v>🔊</v>
      </c>
      <c r="D450" s="8" t="s">
        <v>3155</v>
      </c>
      <c r="E450" s="6" t="s">
        <v>27</v>
      </c>
      <c r="F450" s="5" t="s">
        <v>3156</v>
      </c>
      <c r="G450" s="20" t="s">
        <v>3157</v>
      </c>
      <c r="I450" s="11" t="b">
        <f t="shared" si="2"/>
        <v>0</v>
      </c>
      <c r="J450" s="24"/>
      <c r="K450" s="11" t="b">
        <f t="shared" si="3"/>
        <v>0</v>
      </c>
    </row>
    <row r="451" ht="22.5" customHeight="1">
      <c r="A451" s="12">
        <f t="shared" si="4"/>
        <v>949</v>
      </c>
      <c r="B451" s="6" t="s">
        <v>3158</v>
      </c>
      <c r="C451" s="7" t="str">
        <f t="shared" si="1"/>
        <v>🔊</v>
      </c>
      <c r="D451" s="8" t="s">
        <v>3159</v>
      </c>
      <c r="E451" s="6" t="s">
        <v>99</v>
      </c>
      <c r="F451" s="5" t="s">
        <v>3160</v>
      </c>
      <c r="G451" s="20" t="s">
        <v>3161</v>
      </c>
      <c r="I451" s="11" t="b">
        <f t="shared" si="2"/>
        <v>0</v>
      </c>
      <c r="J451" s="24"/>
      <c r="K451" s="11" t="b">
        <f t="shared" si="3"/>
        <v>0</v>
      </c>
    </row>
    <row r="452" ht="22.5" customHeight="1">
      <c r="A452" s="12">
        <f t="shared" si="4"/>
        <v>950</v>
      </c>
      <c r="B452" s="6" t="s">
        <v>3162</v>
      </c>
      <c r="C452" s="7" t="str">
        <f t="shared" si="1"/>
        <v>🔊</v>
      </c>
      <c r="D452" s="8" t="s">
        <v>915</v>
      </c>
      <c r="E452" s="6" t="s">
        <v>27</v>
      </c>
      <c r="F452" s="12" t="str">
        <f>IFERROR(__xludf.DUMMYFUNCTION("GOOGLETRANSLATE(B452,""zh_cn"",""vi"")"),"vườn")</f>
        <v>vườn</v>
      </c>
      <c r="G452" s="20" t="s">
        <v>3163</v>
      </c>
      <c r="I452" s="11" t="b">
        <f t="shared" si="2"/>
        <v>0</v>
      </c>
      <c r="J452" s="24"/>
      <c r="K452" s="11" t="b">
        <f t="shared" si="3"/>
        <v>0</v>
      </c>
    </row>
    <row r="453" ht="22.5" customHeight="1">
      <c r="A453" s="12">
        <f t="shared" si="4"/>
        <v>951</v>
      </c>
      <c r="B453" s="6" t="s">
        <v>3164</v>
      </c>
      <c r="C453" s="7" t="str">
        <f t="shared" si="1"/>
        <v>🔊</v>
      </c>
      <c r="D453" s="8" t="s">
        <v>915</v>
      </c>
      <c r="E453" s="6" t="s">
        <v>437</v>
      </c>
      <c r="F453" s="12" t="str">
        <f>IFERROR(__xludf.DUMMYFUNCTION("GOOGLETRANSLATE(B453,""zh_cn"",""vi"")"),"thành viên")</f>
        <v>thành viên</v>
      </c>
      <c r="G453" s="20" t="s">
        <v>3165</v>
      </c>
      <c r="I453" s="11" t="b">
        <f t="shared" si="2"/>
        <v>0</v>
      </c>
      <c r="J453" s="24"/>
      <c r="K453" s="11" t="b">
        <f t="shared" si="3"/>
        <v>0</v>
      </c>
    </row>
    <row r="454" ht="22.5" customHeight="1">
      <c r="A454" s="12">
        <f t="shared" si="4"/>
        <v>952</v>
      </c>
      <c r="B454" s="6" t="s">
        <v>3166</v>
      </c>
      <c r="C454" s="7" t="str">
        <f t="shared" si="1"/>
        <v>🔊</v>
      </c>
      <c r="D454" s="8" t="s">
        <v>3167</v>
      </c>
      <c r="E454" s="6" t="s">
        <v>13</v>
      </c>
      <c r="F454" s="5" t="s">
        <v>3168</v>
      </c>
      <c r="G454" s="20" t="s">
        <v>3169</v>
      </c>
      <c r="I454" s="11" t="b">
        <f t="shared" si="2"/>
        <v>0</v>
      </c>
      <c r="J454" s="24"/>
      <c r="K454" s="11" t="b">
        <f t="shared" si="3"/>
        <v>0</v>
      </c>
    </row>
    <row r="455" ht="22.5" customHeight="1">
      <c r="A455" s="12">
        <f t="shared" si="4"/>
        <v>953</v>
      </c>
      <c r="B455" s="6" t="s">
        <v>3170</v>
      </c>
      <c r="C455" s="7" t="str">
        <f t="shared" si="1"/>
        <v>🔊</v>
      </c>
      <c r="D455" s="8" t="s">
        <v>3171</v>
      </c>
      <c r="E455" s="6" t="s">
        <v>13</v>
      </c>
      <c r="F455" s="12" t="str">
        <f>IFERROR(__xludf.DUMMYFUNCTION("GOOGLETRANSLATE(B455,""zh_cn"",""vi"")"),"gặp")</f>
        <v>gặp</v>
      </c>
      <c r="G455" s="20" t="s">
        <v>3172</v>
      </c>
      <c r="I455" s="11" t="b">
        <f t="shared" si="2"/>
        <v>0</v>
      </c>
      <c r="J455" s="24"/>
      <c r="K455" s="11" t="b">
        <f t="shared" si="3"/>
        <v>0</v>
      </c>
    </row>
    <row r="456" ht="22.5" customHeight="1">
      <c r="A456" s="12">
        <f t="shared" si="4"/>
        <v>954</v>
      </c>
      <c r="B456" s="6" t="s">
        <v>3173</v>
      </c>
      <c r="C456" s="7" t="str">
        <f t="shared" si="1"/>
        <v>🔊</v>
      </c>
      <c r="D456" s="8" t="s">
        <v>918</v>
      </c>
      <c r="E456" s="6" t="s">
        <v>61</v>
      </c>
      <c r="F456" s="5" t="s">
        <v>3174</v>
      </c>
      <c r="G456" s="20" t="s">
        <v>3175</v>
      </c>
      <c r="I456" s="11" t="b">
        <f t="shared" si="2"/>
        <v>0</v>
      </c>
      <c r="J456" s="24"/>
      <c r="K456" s="11" t="b">
        <f t="shared" si="3"/>
        <v>0</v>
      </c>
    </row>
    <row r="457" ht="22.5" customHeight="1">
      <c r="A457" s="12">
        <f t="shared" si="4"/>
        <v>955</v>
      </c>
      <c r="B457" s="6" t="s">
        <v>3176</v>
      </c>
      <c r="C457" s="7" t="str">
        <f t="shared" si="1"/>
        <v>🔊</v>
      </c>
      <c r="D457" s="8" t="s">
        <v>3177</v>
      </c>
      <c r="E457" s="6" t="s">
        <v>27</v>
      </c>
      <c r="F457" s="12" t="str">
        <f>IFERROR(__xludf.DUMMYFUNCTION("GOOGLETRANSLATE(B457,""zh_cn"",""vi"")"),"mặt trăng")</f>
        <v>mặt trăng</v>
      </c>
      <c r="G457" s="20" t="s">
        <v>3178</v>
      </c>
      <c r="I457" s="11" t="b">
        <f t="shared" si="2"/>
        <v>0</v>
      </c>
      <c r="J457" s="24"/>
      <c r="K457" s="11" t="b">
        <f t="shared" si="3"/>
        <v>0</v>
      </c>
    </row>
    <row r="458" ht="22.5" customHeight="1">
      <c r="A458" s="12">
        <f t="shared" si="4"/>
        <v>956</v>
      </c>
      <c r="B458" s="6" t="s">
        <v>3179</v>
      </c>
      <c r="C458" s="7" t="str">
        <f t="shared" si="1"/>
        <v>🔊</v>
      </c>
      <c r="D458" s="8" t="s">
        <v>3180</v>
      </c>
      <c r="E458" s="6" t="s">
        <v>13</v>
      </c>
      <c r="F458" s="12" t="str">
        <f>IFERROR(__xludf.DUMMYFUNCTION("GOOGLETRANSLATE(B458,""zh_cn"",""vi"")"),"gặp")</f>
        <v>gặp</v>
      </c>
      <c r="G458" s="20" t="s">
        <v>3181</v>
      </c>
      <c r="I458" s="11" t="b">
        <f t="shared" si="2"/>
        <v>0</v>
      </c>
      <c r="J458" s="24"/>
      <c r="K458" s="11" t="b">
        <f t="shared" si="3"/>
        <v>0</v>
      </c>
    </row>
    <row r="459" ht="22.5" customHeight="1">
      <c r="A459" s="12">
        <f t="shared" si="4"/>
        <v>957</v>
      </c>
      <c r="B459" s="6" t="s">
        <v>3182</v>
      </c>
      <c r="C459" s="7" t="str">
        <f t="shared" si="1"/>
        <v>🔊</v>
      </c>
      <c r="D459" s="8" t="s">
        <v>3183</v>
      </c>
      <c r="E459" s="6" t="s">
        <v>27</v>
      </c>
      <c r="F459" s="12" t="str">
        <f>IFERROR(__xludf.DUMMYFUNCTION("GOOGLETRANSLATE(B459,""zh_cn"",""vi"")"),"cầu lông")</f>
        <v>cầu lông</v>
      </c>
      <c r="G459" s="20" t="s">
        <v>3184</v>
      </c>
      <c r="I459" s="11" t="b">
        <f t="shared" si="2"/>
        <v>0</v>
      </c>
      <c r="J459" s="24"/>
      <c r="K459" s="11" t="b">
        <f t="shared" si="3"/>
        <v>0</v>
      </c>
    </row>
    <row r="460" ht="22.5" customHeight="1">
      <c r="A460" s="12">
        <f t="shared" si="4"/>
        <v>958</v>
      </c>
      <c r="B460" s="6" t="s">
        <v>3185</v>
      </c>
      <c r="C460" s="7" t="str">
        <f t="shared" si="1"/>
        <v>🔊</v>
      </c>
      <c r="D460" s="8" t="s">
        <v>3186</v>
      </c>
      <c r="E460" s="6" t="s">
        <v>27</v>
      </c>
      <c r="F460" s="12" t="str">
        <f>IFERROR(__xludf.DUMMYFUNCTION("GOOGLETRANSLATE(B460,""zh_cn"",""vi"")"),"Hội thi thể thao")</f>
        <v>Hội thi thể thao</v>
      </c>
      <c r="G460" s="20" t="s">
        <v>3187</v>
      </c>
      <c r="I460" s="11" t="b">
        <f t="shared" si="2"/>
        <v>0</v>
      </c>
      <c r="J460" s="24"/>
      <c r="K460" s="11" t="b">
        <f t="shared" si="3"/>
        <v>0</v>
      </c>
    </row>
    <row r="461" ht="22.5" customHeight="1">
      <c r="A461" s="12">
        <f t="shared" si="4"/>
        <v>959</v>
      </c>
      <c r="B461" s="6" t="s">
        <v>3188</v>
      </c>
      <c r="C461" s="7" t="str">
        <f t="shared" si="1"/>
        <v>🔊</v>
      </c>
      <c r="D461" s="8" t="s">
        <v>3189</v>
      </c>
      <c r="E461" s="6" t="s">
        <v>27</v>
      </c>
      <c r="F461" s="12" t="str">
        <f>IFERROR(__xludf.DUMMYFUNCTION("GOOGLETRANSLATE(B461,""zh_cn"",""vi"")"),"vận động viên")</f>
        <v>vận động viên</v>
      </c>
      <c r="G461" s="20" t="s">
        <v>3190</v>
      </c>
      <c r="I461" s="11" t="b">
        <f t="shared" si="2"/>
        <v>0</v>
      </c>
      <c r="J461" s="24"/>
      <c r="K461" s="11" t="b">
        <f t="shared" si="3"/>
        <v>0</v>
      </c>
    </row>
    <row r="462" ht="22.5" customHeight="1">
      <c r="A462" s="12">
        <f t="shared" si="4"/>
        <v>960</v>
      </c>
      <c r="B462" s="6" t="s">
        <v>3191</v>
      </c>
      <c r="C462" s="7" t="str">
        <f t="shared" si="1"/>
        <v>🔊</v>
      </c>
      <c r="D462" s="8" t="s">
        <v>3192</v>
      </c>
      <c r="E462" s="6" t="s">
        <v>27</v>
      </c>
      <c r="F462" s="12" t="str">
        <f>IFERROR(__xludf.DUMMYFUNCTION("GOOGLETRANSLATE(B462,""zh_cn"",""vi"")"),"ngôn ngữ")</f>
        <v>ngôn ngữ</v>
      </c>
      <c r="G462" s="20" t="s">
        <v>3193</v>
      </c>
      <c r="I462" s="11" t="b">
        <f t="shared" si="2"/>
        <v>0</v>
      </c>
      <c r="J462" s="24"/>
      <c r="K462" s="11" t="b">
        <f t="shared" si="3"/>
        <v>0</v>
      </c>
    </row>
    <row r="463" ht="22.5" customHeight="1">
      <c r="A463" s="12">
        <f t="shared" si="4"/>
        <v>961</v>
      </c>
      <c r="B463" s="6" t="s">
        <v>3194</v>
      </c>
      <c r="C463" s="7" t="str">
        <f t="shared" si="1"/>
        <v>🔊</v>
      </c>
      <c r="D463" s="8" t="s">
        <v>3195</v>
      </c>
      <c r="E463" s="6" t="s">
        <v>27</v>
      </c>
      <c r="F463" s="12" t="str">
        <f>IFERROR(__xludf.DUMMYFUNCTION("GOOGLETRANSLATE(B463,""zh_cn"",""vi"")"),"áo mưa")</f>
        <v>áo mưa</v>
      </c>
      <c r="G463" s="20" t="s">
        <v>3196</v>
      </c>
      <c r="I463" s="11" t="b">
        <f t="shared" si="2"/>
        <v>0</v>
      </c>
      <c r="J463" s="24"/>
      <c r="K463" s="11" t="b">
        <f t="shared" si="3"/>
        <v>0</v>
      </c>
    </row>
    <row r="464" ht="22.5" customHeight="1">
      <c r="A464" s="12">
        <f t="shared" si="4"/>
        <v>962</v>
      </c>
      <c r="B464" s="6" t="s">
        <v>3197</v>
      </c>
      <c r="C464" s="7" t="str">
        <f t="shared" si="1"/>
        <v>🔊</v>
      </c>
      <c r="D464" s="8" t="s">
        <v>3198</v>
      </c>
      <c r="E464" s="6" t="s">
        <v>99</v>
      </c>
      <c r="F464" s="12" t="str">
        <f>IFERROR(__xludf.DUMMYFUNCTION("GOOGLETRANSLATE(B464,""zh_cn"",""vi"")"),"bẩn thỉu")</f>
        <v>bẩn thỉu</v>
      </c>
      <c r="G464" s="20" t="s">
        <v>3199</v>
      </c>
      <c r="I464" s="11" t="b">
        <f t="shared" si="2"/>
        <v>0</v>
      </c>
      <c r="J464" s="24"/>
      <c r="K464" s="11" t="b">
        <f t="shared" si="3"/>
        <v>0</v>
      </c>
    </row>
    <row r="465" ht="22.5" customHeight="1">
      <c r="A465" s="12">
        <f t="shared" si="4"/>
        <v>963</v>
      </c>
      <c r="B465" s="6" t="s">
        <v>3200</v>
      </c>
      <c r="C465" s="7" t="str">
        <f t="shared" si="1"/>
        <v>🔊</v>
      </c>
      <c r="D465" s="8" t="s">
        <v>3201</v>
      </c>
      <c r="E465" s="6" t="s">
        <v>106</v>
      </c>
      <c r="F465" s="12" t="str">
        <f>IFERROR(__xludf.DUMMYFUNCTION("GOOGLETRANSLATE(B465,""zh_cn"",""vi"")"),"chúng tôi")</f>
        <v>chúng tôi</v>
      </c>
      <c r="G465" s="20" t="s">
        <v>3202</v>
      </c>
      <c r="I465" s="11" t="b">
        <f t="shared" si="2"/>
        <v>0</v>
      </c>
      <c r="J465" s="24"/>
      <c r="K465" s="11" t="b">
        <f t="shared" si="3"/>
        <v>0</v>
      </c>
    </row>
    <row r="466" ht="22.5" customHeight="1">
      <c r="A466" s="12">
        <f t="shared" si="4"/>
        <v>964</v>
      </c>
      <c r="B466" s="6" t="s">
        <v>3203</v>
      </c>
      <c r="C466" s="7" t="str">
        <f t="shared" si="1"/>
        <v>🔊</v>
      </c>
      <c r="D466" s="8" t="s">
        <v>3204</v>
      </c>
      <c r="E466" s="14"/>
      <c r="F466" s="12" t="str">
        <f>IFERROR(__xludf.DUMMYFUNCTION("GOOGLETRANSLATE(B466,""zh_cn"",""vi"")"),"phải làm gì")</f>
        <v>phải làm gì</v>
      </c>
      <c r="G466" s="20" t="s">
        <v>3205</v>
      </c>
      <c r="I466" s="11" t="b">
        <f t="shared" si="2"/>
        <v>0</v>
      </c>
      <c r="J466" s="24"/>
      <c r="K466" s="11" t="b">
        <f t="shared" si="3"/>
        <v>0</v>
      </c>
    </row>
    <row r="467" ht="22.5" customHeight="1">
      <c r="A467" s="12">
        <f t="shared" si="4"/>
        <v>965</v>
      </c>
      <c r="B467" s="6" t="s">
        <v>3206</v>
      </c>
      <c r="C467" s="7" t="str">
        <f t="shared" si="1"/>
        <v>🔊</v>
      </c>
      <c r="D467" s="8" t="s">
        <v>3207</v>
      </c>
      <c r="E467" s="6" t="s">
        <v>106</v>
      </c>
      <c r="F467" s="12" t="str">
        <f>IFERROR(__xludf.DUMMYFUNCTION("GOOGLETRANSLATE(B467,""zh_cn"",""vi"")"),"Làm sao")</f>
        <v>Làm sao</v>
      </c>
      <c r="G467" s="20" t="s">
        <v>3208</v>
      </c>
      <c r="I467" s="11" t="b">
        <f t="shared" si="2"/>
        <v>0</v>
      </c>
      <c r="J467" s="24"/>
      <c r="K467" s="11" t="b">
        <f t="shared" si="3"/>
        <v>0</v>
      </c>
    </row>
    <row r="468" ht="22.5" customHeight="1">
      <c r="A468" s="12">
        <f t="shared" si="4"/>
        <v>966</v>
      </c>
      <c r="B468" s="6" t="s">
        <v>1655</v>
      </c>
      <c r="C468" s="7" t="str">
        <f t="shared" si="1"/>
        <v>🔊</v>
      </c>
      <c r="D468" s="8" t="s">
        <v>1656</v>
      </c>
      <c r="E468" s="6" t="s">
        <v>13</v>
      </c>
      <c r="F468" s="12" t="str">
        <f>IFERROR(__xludf.DUMMYFUNCTION("GOOGLETRANSLATE(B468,""zh_cn"",""vi"")"),"đứng")</f>
        <v>đứng</v>
      </c>
      <c r="G468" s="20" t="s">
        <v>3209</v>
      </c>
      <c r="I468" s="11" t="b">
        <f t="shared" si="2"/>
        <v>0</v>
      </c>
      <c r="J468" s="24"/>
      <c r="K468" s="11" t="b">
        <f t="shared" si="3"/>
        <v>0</v>
      </c>
    </row>
    <row r="469" ht="22.5" customHeight="1">
      <c r="A469" s="12">
        <f t="shared" si="4"/>
        <v>967</v>
      </c>
      <c r="B469" s="6" t="s">
        <v>1067</v>
      </c>
      <c r="C469" s="7" t="str">
        <f t="shared" si="1"/>
        <v>🔊</v>
      </c>
      <c r="D469" s="8" t="s">
        <v>3210</v>
      </c>
      <c r="E469" s="6" t="s">
        <v>3211</v>
      </c>
      <c r="F469" s="12" t="str">
        <f>IFERROR(__xludf.DUMMYFUNCTION("GOOGLETRANSLATE(B469,""zh_cn"",""vi"")"),"dài")</f>
        <v>dài</v>
      </c>
      <c r="G469" s="20" t="s">
        <v>3212</v>
      </c>
      <c r="I469" s="11" t="b">
        <f t="shared" si="2"/>
        <v>0</v>
      </c>
      <c r="J469" s="24"/>
      <c r="K469" s="11" t="b">
        <f t="shared" si="3"/>
        <v>0</v>
      </c>
    </row>
    <row r="470" ht="22.5" customHeight="1">
      <c r="A470" s="12">
        <f t="shared" si="4"/>
        <v>968</v>
      </c>
      <c r="B470" s="6" t="s">
        <v>3213</v>
      </c>
      <c r="C470" s="7" t="str">
        <f t="shared" si="1"/>
        <v>🔊</v>
      </c>
      <c r="D470" s="8" t="s">
        <v>3214</v>
      </c>
      <c r="E470" s="6" t="s">
        <v>3215</v>
      </c>
      <c r="F470" s="12" t="str">
        <f>IFERROR(__xludf.DUMMYFUNCTION("GOOGLETRANSLATE(B470,""zh_cn"",""vi"")"),"mở")</f>
        <v>mở</v>
      </c>
      <c r="G470" s="20" t="s">
        <v>3216</v>
      </c>
      <c r="I470" s="11" t="b">
        <f t="shared" si="2"/>
        <v>0</v>
      </c>
      <c r="J470" s="24"/>
      <c r="K470" s="11" t="b">
        <f t="shared" si="3"/>
        <v>0</v>
      </c>
    </row>
    <row r="471" ht="22.5" customHeight="1">
      <c r="A471" s="12">
        <f t="shared" si="4"/>
        <v>969</v>
      </c>
      <c r="B471" s="6" t="s">
        <v>3217</v>
      </c>
      <c r="C471" s="7" t="str">
        <f t="shared" si="1"/>
        <v>🔊</v>
      </c>
      <c r="D471" s="8" t="s">
        <v>3218</v>
      </c>
      <c r="E471" s="6" t="s">
        <v>13</v>
      </c>
      <c r="F471" s="12" t="str">
        <f>IFERROR(__xludf.DUMMYFUNCTION("GOOGLETRANSLATE(B471,""zh_cn"",""vi"")"),"Theo")</f>
        <v>Theo</v>
      </c>
      <c r="G471" s="20" t="s">
        <v>3219</v>
      </c>
      <c r="I471" s="11" t="b">
        <f t="shared" si="2"/>
        <v>0</v>
      </c>
      <c r="J471" s="24"/>
      <c r="K471" s="11" t="b">
        <f t="shared" si="3"/>
        <v>0</v>
      </c>
    </row>
    <row r="472" ht="22.5" customHeight="1">
      <c r="A472" s="12">
        <f t="shared" si="4"/>
        <v>970</v>
      </c>
      <c r="B472" s="6" t="s">
        <v>3220</v>
      </c>
      <c r="C472" s="7" t="str">
        <f t="shared" si="1"/>
        <v>🔊</v>
      </c>
      <c r="D472" s="8" t="s">
        <v>3221</v>
      </c>
      <c r="E472" s="6" t="s">
        <v>13</v>
      </c>
      <c r="F472" s="12" t="str">
        <f>IFERROR(__xludf.DUMMYFUNCTION("GOOGLETRANSLATE(B472,""zh_cn"",""vi"")"),"chăm sóc")</f>
        <v>chăm sóc</v>
      </c>
      <c r="G472" s="20" t="s">
        <v>3222</v>
      </c>
      <c r="I472" s="11" t="b">
        <f t="shared" si="2"/>
        <v>0</v>
      </c>
      <c r="J472" s="24"/>
      <c r="K472" s="11" t="b">
        <f t="shared" si="3"/>
        <v>0</v>
      </c>
    </row>
    <row r="473" ht="22.5" customHeight="1">
      <c r="A473" s="12">
        <f t="shared" si="4"/>
        <v>971</v>
      </c>
      <c r="B473" s="6" t="s">
        <v>3223</v>
      </c>
      <c r="C473" s="7" t="str">
        <f t="shared" si="1"/>
        <v>🔊</v>
      </c>
      <c r="D473" s="8" t="s">
        <v>3224</v>
      </c>
      <c r="E473" s="6" t="s">
        <v>99</v>
      </c>
      <c r="F473" s="12" t="str">
        <f>IFERROR(__xludf.DUMMYFUNCTION("GOOGLETRANSLATE(B473,""zh_cn"",""vi"")"),"vội vàng")</f>
        <v>vội vàng</v>
      </c>
      <c r="G473" s="20" t="s">
        <v>3225</v>
      </c>
      <c r="I473" s="11" t="b">
        <f t="shared" si="2"/>
        <v>0</v>
      </c>
      <c r="J473" s="24"/>
      <c r="K473" s="11" t="b">
        <f t="shared" si="3"/>
        <v>0</v>
      </c>
    </row>
    <row r="474" ht="22.5" customHeight="1">
      <c r="A474" s="12">
        <f t="shared" si="4"/>
        <v>972</v>
      </c>
      <c r="B474" s="6" t="s">
        <v>3226</v>
      </c>
      <c r="C474" s="7" t="str">
        <f t="shared" si="1"/>
        <v>🔊</v>
      </c>
      <c r="D474" s="8" t="s">
        <v>3227</v>
      </c>
      <c r="E474" s="6" t="s">
        <v>27</v>
      </c>
      <c r="F474" s="12" t="str">
        <f>IFERROR(__xludf.DUMMYFUNCTION("GOOGLETRANSLATE(B474,""zh_cn"",""vi"")"),"ảnh")</f>
        <v>ảnh</v>
      </c>
      <c r="G474" s="20" t="s">
        <v>3228</v>
      </c>
      <c r="I474" s="11" t="b">
        <f t="shared" si="2"/>
        <v>0</v>
      </c>
      <c r="J474" s="24"/>
      <c r="K474" s="11" t="b">
        <f t="shared" si="3"/>
        <v>0</v>
      </c>
    </row>
    <row r="475" ht="22.5" customHeight="1">
      <c r="A475" s="12">
        <f t="shared" si="4"/>
        <v>973</v>
      </c>
      <c r="B475" s="6" t="s">
        <v>3229</v>
      </c>
      <c r="C475" s="7" t="str">
        <f t="shared" si="1"/>
        <v>🔊</v>
      </c>
      <c r="D475" s="8" t="s">
        <v>3230</v>
      </c>
      <c r="E475" s="6" t="s">
        <v>13</v>
      </c>
      <c r="F475" s="5" t="s">
        <v>2657</v>
      </c>
      <c r="G475" s="20" t="s">
        <v>3231</v>
      </c>
      <c r="I475" s="11" t="b">
        <f t="shared" si="2"/>
        <v>0</v>
      </c>
      <c r="J475" s="24"/>
      <c r="K475" s="11" t="b">
        <f t="shared" si="3"/>
        <v>0</v>
      </c>
    </row>
    <row r="476" ht="22.5" customHeight="1">
      <c r="A476" s="12">
        <f t="shared" si="4"/>
        <v>974</v>
      </c>
      <c r="B476" s="6" t="s">
        <v>976</v>
      </c>
      <c r="C476" s="7" t="str">
        <f t="shared" si="1"/>
        <v>🔊</v>
      </c>
      <c r="D476" s="8" t="s">
        <v>3232</v>
      </c>
      <c r="E476" s="6" t="s">
        <v>61</v>
      </c>
      <c r="F476" s="12" t="str">
        <f>IFERROR(__xludf.DUMMYFUNCTION("GOOGLETRANSLATE(B476,""zh_cn"",""vi"")"),"Chỉ một")</f>
        <v>Chỉ một</v>
      </c>
      <c r="G476" s="20" t="s">
        <v>3233</v>
      </c>
      <c r="I476" s="11" t="b">
        <f t="shared" si="2"/>
        <v>0</v>
      </c>
      <c r="J476" s="24"/>
      <c r="K476" s="11" t="b">
        <f t="shared" si="3"/>
        <v>0</v>
      </c>
    </row>
    <row r="477" ht="22.5" customHeight="1">
      <c r="A477" s="12">
        <f t="shared" si="4"/>
        <v>975</v>
      </c>
      <c r="B477" s="6" t="s">
        <v>3234</v>
      </c>
      <c r="C477" s="7" t="str">
        <f t="shared" si="1"/>
        <v>🔊</v>
      </c>
      <c r="D477" s="8" t="s">
        <v>3232</v>
      </c>
      <c r="E477" s="6" t="s">
        <v>27</v>
      </c>
      <c r="F477" s="12" t="str">
        <f>IFERROR(__xludf.DUMMYFUNCTION("GOOGLETRANSLATE(B477,""zh_cn"",""vi"")"),"Giấy")</f>
        <v>Giấy</v>
      </c>
      <c r="G477" s="20" t="s">
        <v>3235</v>
      </c>
      <c r="I477" s="11" t="b">
        <f t="shared" si="2"/>
        <v>0</v>
      </c>
      <c r="J477" s="24"/>
      <c r="K477" s="11" t="b">
        <f t="shared" si="3"/>
        <v>0</v>
      </c>
    </row>
    <row r="478" ht="22.5" customHeight="1">
      <c r="A478" s="12">
        <f t="shared" si="4"/>
        <v>976</v>
      </c>
      <c r="B478" s="6" t="s">
        <v>3236</v>
      </c>
      <c r="C478" s="7" t="str">
        <f t="shared" si="1"/>
        <v>🔊</v>
      </c>
      <c r="D478" s="8" t="s">
        <v>3237</v>
      </c>
      <c r="E478" s="14"/>
      <c r="F478" s="5" t="s">
        <v>3238</v>
      </c>
      <c r="G478" s="20" t="s">
        <v>3239</v>
      </c>
      <c r="I478" s="11" t="b">
        <f t="shared" si="2"/>
        <v>0</v>
      </c>
      <c r="J478" s="24"/>
      <c r="K478" s="11" t="b">
        <f t="shared" si="3"/>
        <v>0</v>
      </c>
    </row>
    <row r="479" ht="22.5" customHeight="1">
      <c r="A479" s="12">
        <f t="shared" si="4"/>
        <v>977</v>
      </c>
      <c r="B479" s="6" t="s">
        <v>3240</v>
      </c>
      <c r="C479" s="7" t="str">
        <f t="shared" si="1"/>
        <v>🔊</v>
      </c>
      <c r="D479" s="8" t="s">
        <v>3241</v>
      </c>
      <c r="E479" s="6" t="s">
        <v>13</v>
      </c>
      <c r="F479" s="12" t="str">
        <f>IFERROR(__xludf.DUMMYFUNCTION("GOOGLETRANSLATE(B479,""zh_cn"",""vi"")"),"cho đến khi")</f>
        <v>cho đến khi</v>
      </c>
      <c r="G479" s="20" t="s">
        <v>3242</v>
      </c>
      <c r="I479" s="11" t="b">
        <f t="shared" si="2"/>
        <v>0</v>
      </c>
      <c r="J479" s="24"/>
      <c r="K479" s="11" t="b">
        <f t="shared" si="3"/>
        <v>0</v>
      </c>
    </row>
    <row r="480" ht="22.5" customHeight="1">
      <c r="A480" s="12">
        <f t="shared" si="4"/>
        <v>978</v>
      </c>
      <c r="B480" s="6" t="s">
        <v>3243</v>
      </c>
      <c r="C480" s="7" t="str">
        <f t="shared" si="1"/>
        <v>🔊</v>
      </c>
      <c r="D480" s="8" t="s">
        <v>3244</v>
      </c>
      <c r="E480" s="6" t="s">
        <v>1203</v>
      </c>
      <c r="F480" s="5" t="s">
        <v>3245</v>
      </c>
      <c r="G480" s="20" t="s">
        <v>3246</v>
      </c>
      <c r="I480" s="11" t="b">
        <f t="shared" si="2"/>
        <v>0</v>
      </c>
      <c r="J480" s="24"/>
      <c r="K480" s="11" t="b">
        <f t="shared" si="3"/>
        <v>0</v>
      </c>
    </row>
    <row r="481" ht="22.5" customHeight="1">
      <c r="A481" s="12">
        <f t="shared" si="4"/>
        <v>979</v>
      </c>
      <c r="B481" s="6" t="s">
        <v>3247</v>
      </c>
      <c r="C481" s="7" t="str">
        <f t="shared" si="1"/>
        <v>🔊</v>
      </c>
      <c r="D481" s="8" t="s">
        <v>3248</v>
      </c>
      <c r="E481" s="6" t="s">
        <v>1132</v>
      </c>
      <c r="F481" s="5" t="s">
        <v>3249</v>
      </c>
      <c r="G481" s="20" t="s">
        <v>3250</v>
      </c>
      <c r="I481" s="11" t="b">
        <f t="shared" si="2"/>
        <v>0</v>
      </c>
      <c r="J481" s="24"/>
      <c r="K481" s="11" t="b">
        <f t="shared" si="3"/>
        <v>0</v>
      </c>
    </row>
    <row r="482" ht="22.5" customHeight="1">
      <c r="A482" s="12">
        <f t="shared" si="4"/>
        <v>980</v>
      </c>
      <c r="B482" s="6" t="s">
        <v>3251</v>
      </c>
      <c r="C482" s="7" t="str">
        <f t="shared" si="1"/>
        <v>🔊</v>
      </c>
      <c r="D482" s="8" t="s">
        <v>3252</v>
      </c>
      <c r="E482" s="6" t="s">
        <v>1132</v>
      </c>
      <c r="F482" s="5" t="s">
        <v>3253</v>
      </c>
      <c r="G482" s="20" t="s">
        <v>3254</v>
      </c>
      <c r="I482" s="11" t="b">
        <f t="shared" si="2"/>
        <v>0</v>
      </c>
      <c r="J482" s="24"/>
      <c r="K482" s="11" t="b">
        <f t="shared" si="3"/>
        <v>0</v>
      </c>
    </row>
    <row r="483" ht="22.5" customHeight="1">
      <c r="A483" s="12">
        <f t="shared" si="4"/>
        <v>981</v>
      </c>
      <c r="B483" s="6" t="s">
        <v>3255</v>
      </c>
      <c r="C483" s="7" t="str">
        <f t="shared" si="1"/>
        <v>🔊</v>
      </c>
      <c r="D483" s="8" t="s">
        <v>3256</v>
      </c>
      <c r="E483" s="6" t="s">
        <v>47</v>
      </c>
      <c r="F483" s="12" t="str">
        <f>IFERROR(__xludf.DUMMYFUNCTION("GOOGLETRANSLATE(B483,""zh_cn"",""vi"")"),"loại")</f>
        <v>loại</v>
      </c>
      <c r="G483" s="20" t="s">
        <v>3257</v>
      </c>
      <c r="I483" s="11" t="b">
        <f t="shared" si="2"/>
        <v>0</v>
      </c>
      <c r="J483" s="24"/>
      <c r="K483" s="11" t="b">
        <f t="shared" si="3"/>
        <v>0</v>
      </c>
    </row>
    <row r="484" ht="22.5" customHeight="1">
      <c r="A484" s="12">
        <f t="shared" si="4"/>
        <v>982</v>
      </c>
      <c r="B484" s="6" t="s">
        <v>3258</v>
      </c>
      <c r="C484" s="7" t="str">
        <f t="shared" si="1"/>
        <v>🔊</v>
      </c>
      <c r="D484" s="8" t="s">
        <v>3259</v>
      </c>
      <c r="E484" s="6" t="s">
        <v>27</v>
      </c>
      <c r="F484" s="12" t="str">
        <f>IFERROR(__xludf.DUMMYFUNCTION("GOOGLETRANSLATE(B484,""zh_cn"",""vi"")"),"ở giữa")</f>
        <v>ở giữa</v>
      </c>
      <c r="G484" s="20" t="s">
        <v>3260</v>
      </c>
      <c r="I484" s="11" t="b">
        <f t="shared" si="2"/>
        <v>0</v>
      </c>
      <c r="J484" s="24"/>
      <c r="K484" s="11" t="b">
        <f t="shared" si="3"/>
        <v>0</v>
      </c>
    </row>
    <row r="485" ht="22.5" customHeight="1">
      <c r="A485" s="12">
        <f t="shared" si="4"/>
        <v>983</v>
      </c>
      <c r="B485" s="6" t="s">
        <v>3261</v>
      </c>
      <c r="C485" s="7" t="str">
        <f t="shared" si="1"/>
        <v>🔊</v>
      </c>
      <c r="D485" s="8" t="s">
        <v>3262</v>
      </c>
      <c r="E485" s="6" t="s">
        <v>27</v>
      </c>
      <c r="F485" s="12" t="str">
        <f>IFERROR(__xludf.DUMMYFUNCTION("GOOGLETRANSLATE(B485,""zh_cn"",""vi"")"),"ở giữa")</f>
        <v>ở giữa</v>
      </c>
      <c r="G485" s="20" t="s">
        <v>3263</v>
      </c>
      <c r="I485" s="11" t="b">
        <f t="shared" si="2"/>
        <v>0</v>
      </c>
      <c r="J485" s="24"/>
      <c r="K485" s="11" t="b">
        <f t="shared" si="3"/>
        <v>0</v>
      </c>
    </row>
    <row r="486" ht="22.5" customHeight="1">
      <c r="A486" s="12">
        <f t="shared" si="4"/>
        <v>984</v>
      </c>
      <c r="B486" s="6" t="s">
        <v>3264</v>
      </c>
      <c r="C486" s="7" t="str">
        <f t="shared" si="1"/>
        <v>🔊</v>
      </c>
      <c r="D486" s="8" t="s">
        <v>3265</v>
      </c>
      <c r="E486" s="6" t="s">
        <v>99</v>
      </c>
      <c r="F486" s="12" t="str">
        <f>IFERROR(__xludf.DUMMYFUNCTION("GOOGLETRANSLATE(B486,""zh_cn"",""vi"")"),"quan trọng")</f>
        <v>quan trọng</v>
      </c>
      <c r="G486" s="20" t="s">
        <v>3266</v>
      </c>
      <c r="I486" s="11" t="b">
        <f t="shared" si="2"/>
        <v>0</v>
      </c>
      <c r="J486" s="24"/>
      <c r="K486" s="11" t="b">
        <f t="shared" si="3"/>
        <v>0</v>
      </c>
    </row>
    <row r="487" ht="22.5" customHeight="1">
      <c r="A487" s="12">
        <f t="shared" si="4"/>
        <v>985</v>
      </c>
      <c r="B487" s="6" t="s">
        <v>3267</v>
      </c>
      <c r="C487" s="7" t="str">
        <f t="shared" si="1"/>
        <v>🔊</v>
      </c>
      <c r="D487" s="8" t="s">
        <v>3268</v>
      </c>
      <c r="E487" s="6" t="s">
        <v>61</v>
      </c>
      <c r="F487" s="12" t="str">
        <f>IFERROR(__xludf.DUMMYFUNCTION("GOOGLETRANSLATE(B487,""zh_cn"",""vi"")"),"Cuối cùng")</f>
        <v>Cuối cùng</v>
      </c>
      <c r="G487" s="20" t="s">
        <v>3269</v>
      </c>
      <c r="I487" s="11" t="b">
        <f t="shared" si="2"/>
        <v>0</v>
      </c>
      <c r="J487" s="24"/>
      <c r="K487" s="11" t="b">
        <f t="shared" si="3"/>
        <v>0</v>
      </c>
    </row>
    <row r="488" ht="22.5" customHeight="1">
      <c r="A488" s="12">
        <f t="shared" si="4"/>
        <v>986</v>
      </c>
      <c r="B488" s="6" t="s">
        <v>3270</v>
      </c>
      <c r="C488" s="7" t="str">
        <f t="shared" si="1"/>
        <v>🔊</v>
      </c>
      <c r="D488" s="8" t="s">
        <v>3271</v>
      </c>
      <c r="E488" s="6" t="s">
        <v>27</v>
      </c>
      <c r="F488" s="12" t="str">
        <f>IFERROR(__xludf.DUMMYFUNCTION("GOOGLETRANSLATE(B488,""zh_cn"",""vi"")"),"ngày cuối tuần")</f>
        <v>ngày cuối tuần</v>
      </c>
      <c r="G488" s="20" t="s">
        <v>3272</v>
      </c>
      <c r="I488" s="11" t="b">
        <f t="shared" si="2"/>
        <v>0</v>
      </c>
      <c r="J488" s="24"/>
      <c r="K488" s="11" t="b">
        <f t="shared" si="3"/>
        <v>0</v>
      </c>
    </row>
    <row r="489" ht="22.5" customHeight="1">
      <c r="A489" s="12">
        <f t="shared" si="4"/>
        <v>987</v>
      </c>
      <c r="B489" s="6" t="s">
        <v>3273</v>
      </c>
      <c r="C489" s="7" t="str">
        <f t="shared" si="1"/>
        <v>🔊</v>
      </c>
      <c r="D489" s="8" t="s">
        <v>3274</v>
      </c>
      <c r="E489" s="6" t="s">
        <v>99</v>
      </c>
      <c r="F489" s="12" t="str">
        <f>IFERROR(__xludf.DUMMYFUNCTION("GOOGLETRANSLATE(B489,""zh_cn"",""vi"")"),"chủ yếu")</f>
        <v>chủ yếu</v>
      </c>
      <c r="G489" s="20" t="s">
        <v>3275</v>
      </c>
      <c r="I489" s="11" t="b">
        <f t="shared" si="2"/>
        <v>0</v>
      </c>
      <c r="J489" s="24"/>
      <c r="K489" s="11" t="b">
        <f t="shared" si="3"/>
        <v>0</v>
      </c>
    </row>
    <row r="490" ht="22.5" customHeight="1">
      <c r="A490" s="12">
        <f t="shared" si="4"/>
        <v>988</v>
      </c>
      <c r="B490" s="6" t="s">
        <v>3276</v>
      </c>
      <c r="C490" s="7" t="str">
        <f t="shared" si="1"/>
        <v>🔊</v>
      </c>
      <c r="D490" s="8" t="s">
        <v>3277</v>
      </c>
      <c r="E490" s="6" t="s">
        <v>13</v>
      </c>
      <c r="F490" s="12" t="str">
        <f>IFERROR(__xludf.DUMMYFUNCTION("GOOGLETRANSLATE(B490,""zh_cn"",""vi"")"),"Để ý")</f>
        <v>Để ý</v>
      </c>
      <c r="G490" s="20" t="s">
        <v>3278</v>
      </c>
      <c r="I490" s="11" t="b">
        <f t="shared" si="2"/>
        <v>0</v>
      </c>
      <c r="J490" s="24"/>
      <c r="K490" s="11" t="b">
        <f t="shared" si="3"/>
        <v>0</v>
      </c>
    </row>
    <row r="491" ht="22.5" customHeight="1">
      <c r="A491" s="12">
        <f t="shared" si="4"/>
        <v>989</v>
      </c>
      <c r="B491" s="6" t="s">
        <v>3279</v>
      </c>
      <c r="C491" s="7" t="str">
        <f t="shared" si="1"/>
        <v>🔊</v>
      </c>
      <c r="D491" s="8" t="s">
        <v>3280</v>
      </c>
      <c r="E491" s="6" t="s">
        <v>13</v>
      </c>
      <c r="F491" s="12" t="str">
        <f>IFERROR(__xludf.DUMMYFUNCTION("GOOGLETRANSLATE(B491,""zh_cn"",""vi"")"),"Nhập viện")</f>
        <v>Nhập viện</v>
      </c>
      <c r="G491" s="20" t="s">
        <v>3281</v>
      </c>
      <c r="I491" s="11" t="b">
        <f t="shared" si="2"/>
        <v>0</v>
      </c>
      <c r="J491" s="24"/>
      <c r="K491" s="11" t="b">
        <f t="shared" si="3"/>
        <v>0</v>
      </c>
    </row>
    <row r="492" ht="22.5" customHeight="1">
      <c r="A492" s="12">
        <f t="shared" si="4"/>
        <v>990</v>
      </c>
      <c r="B492" s="6" t="s">
        <v>3282</v>
      </c>
      <c r="C492" s="7" t="str">
        <f t="shared" si="1"/>
        <v>🔊</v>
      </c>
      <c r="D492" s="8" t="s">
        <v>3283</v>
      </c>
      <c r="E492" s="6" t="s">
        <v>437</v>
      </c>
      <c r="F492" s="12" t="str">
        <f>IFERROR(__xludf.DUMMYFUNCTION("GOOGLETRANSLATE(B492,""zh_cn"",""vi"")"),"con trai")</f>
        <v>con trai</v>
      </c>
      <c r="G492" s="20" t="s">
        <v>3284</v>
      </c>
      <c r="I492" s="11" t="b">
        <f t="shared" si="2"/>
        <v>0</v>
      </c>
      <c r="J492" s="24"/>
      <c r="K492" s="11" t="b">
        <f t="shared" si="3"/>
        <v>0</v>
      </c>
    </row>
    <row r="493" ht="22.5" customHeight="1">
      <c r="A493" s="12">
        <f t="shared" si="4"/>
        <v>991</v>
      </c>
      <c r="B493" s="6" t="s">
        <v>3285</v>
      </c>
      <c r="C493" s="7" t="str">
        <f t="shared" si="1"/>
        <v>🔊</v>
      </c>
      <c r="D493" s="8" t="s">
        <v>3286</v>
      </c>
      <c r="E493" s="6" t="s">
        <v>27</v>
      </c>
      <c r="F493" s="12" t="str">
        <f>IFERROR(__xludf.DUMMYFUNCTION("GOOGLETRANSLATE(B493,""zh_cn"",""vi"")"),"từ điển")</f>
        <v>từ điển</v>
      </c>
      <c r="G493" s="20" t="s">
        <v>3287</v>
      </c>
      <c r="I493" s="11" t="b">
        <f t="shared" si="2"/>
        <v>0</v>
      </c>
      <c r="J493" s="24"/>
      <c r="K493" s="11" t="b">
        <f t="shared" si="3"/>
        <v>0</v>
      </c>
    </row>
    <row r="494" ht="22.5" customHeight="1">
      <c r="A494" s="12">
        <f t="shared" si="4"/>
        <v>992</v>
      </c>
      <c r="B494" s="6" t="s">
        <v>3288</v>
      </c>
      <c r="C494" s="7" t="str">
        <f t="shared" si="1"/>
        <v>🔊</v>
      </c>
      <c r="D494" s="8" t="s">
        <v>3289</v>
      </c>
      <c r="E494" s="6" t="s">
        <v>27</v>
      </c>
      <c r="F494" s="12" t="str">
        <f>IFERROR(__xludf.DUMMYFUNCTION("GOOGLETRANSLATE(B494,""zh_cn"",""vi"")"),"xe đạp")</f>
        <v>xe đạp</v>
      </c>
      <c r="G494" s="20" t="s">
        <v>3290</v>
      </c>
      <c r="I494" s="11" t="b">
        <f t="shared" si="2"/>
        <v>0</v>
      </c>
      <c r="J494" s="24"/>
      <c r="K494" s="11" t="b">
        <f t="shared" si="3"/>
        <v>0</v>
      </c>
    </row>
    <row r="495" ht="22.5" customHeight="1">
      <c r="A495" s="12">
        <f t="shared" si="4"/>
        <v>993</v>
      </c>
      <c r="B495" s="6" t="s">
        <v>3291</v>
      </c>
      <c r="C495" s="7" t="str">
        <f t="shared" si="1"/>
        <v>🔊</v>
      </c>
      <c r="D495" s="8" t="s">
        <v>3292</v>
      </c>
      <c r="E495" s="6" t="s">
        <v>3293</v>
      </c>
      <c r="F495" s="12" t="str">
        <f>IFERROR(__xludf.DUMMYFUNCTION("GOOGLETRANSLATE(B495,""zh_cn"",""vi"")"),"tổng cộng")</f>
        <v>tổng cộng</v>
      </c>
      <c r="G495" s="20" t="s">
        <v>3294</v>
      </c>
      <c r="I495" s="11" t="b">
        <f t="shared" si="2"/>
        <v>0</v>
      </c>
      <c r="J495" s="24"/>
      <c r="K495" s="11" t="b">
        <f t="shared" si="3"/>
        <v>0</v>
      </c>
    </row>
    <row r="496" ht="22.5" customHeight="1">
      <c r="A496" s="12">
        <f t="shared" si="4"/>
        <v>994</v>
      </c>
      <c r="B496" s="6" t="s">
        <v>3295</v>
      </c>
      <c r="C496" s="7" t="str">
        <f t="shared" si="1"/>
        <v>🔊</v>
      </c>
      <c r="D496" s="8" t="s">
        <v>3296</v>
      </c>
      <c r="E496" s="6" t="s">
        <v>61</v>
      </c>
      <c r="F496" s="12" t="str">
        <f>IFERROR(__xludf.DUMMYFUNCTION("GOOGLETRANSLATE(B496,""zh_cn"",""vi"")"),"luôn luôn")</f>
        <v>luôn luôn</v>
      </c>
      <c r="G496" s="20" t="s">
        <v>3297</v>
      </c>
      <c r="I496" s="11" t="b">
        <f t="shared" si="2"/>
        <v>0</v>
      </c>
      <c r="J496" s="24"/>
      <c r="K496" s="11" t="b">
        <f t="shared" si="3"/>
        <v>0</v>
      </c>
    </row>
    <row r="497" ht="22.5" customHeight="1">
      <c r="A497" s="12">
        <f t="shared" si="4"/>
        <v>995</v>
      </c>
      <c r="B497" s="6" t="s">
        <v>3298</v>
      </c>
      <c r="C497" s="7" t="str">
        <f t="shared" si="1"/>
        <v>🔊</v>
      </c>
      <c r="D497" s="8" t="s">
        <v>3299</v>
      </c>
      <c r="E497" s="6" t="s">
        <v>27</v>
      </c>
      <c r="F497" s="12" t="str">
        <f>IFERROR(__xludf.DUMMYFUNCTION("GOOGLETRANSLATE(B497,""zh_cn"",""vi"")"),"Miệng")</f>
        <v>Miệng</v>
      </c>
      <c r="G497" s="20" t="s">
        <v>3300</v>
      </c>
      <c r="I497" s="11" t="b">
        <f t="shared" si="2"/>
        <v>0</v>
      </c>
      <c r="J497" s="24"/>
      <c r="K497" s="11" t="b">
        <f t="shared" si="3"/>
        <v>0</v>
      </c>
    </row>
    <row r="498" ht="22.5" customHeight="1">
      <c r="A498" s="12">
        <f t="shared" si="4"/>
        <v>996</v>
      </c>
      <c r="B498" s="6" t="s">
        <v>3301</v>
      </c>
      <c r="C498" s="7" t="str">
        <f t="shared" si="1"/>
        <v>🔊</v>
      </c>
      <c r="D498" s="8" t="s">
        <v>3302</v>
      </c>
      <c r="E498" s="6" t="s">
        <v>61</v>
      </c>
      <c r="F498" s="5" t="s">
        <v>3303</v>
      </c>
      <c r="G498" s="20" t="s">
        <v>3304</v>
      </c>
      <c r="I498" s="11" t="b">
        <f t="shared" si="2"/>
        <v>0</v>
      </c>
      <c r="J498" s="24"/>
      <c r="K498" s="11" t="b">
        <f t="shared" si="3"/>
        <v>0</v>
      </c>
    </row>
    <row r="499" ht="22.5" customHeight="1">
      <c r="A499" s="12">
        <f t="shared" si="4"/>
        <v>997</v>
      </c>
      <c r="B499" s="6" t="s">
        <v>3305</v>
      </c>
      <c r="C499" s="7" t="str">
        <f t="shared" si="1"/>
        <v>🔊</v>
      </c>
      <c r="D499" s="8" t="s">
        <v>3306</v>
      </c>
      <c r="E499" s="6" t="s">
        <v>27</v>
      </c>
      <c r="F499" s="12" t="str">
        <f>IFERROR(__xludf.DUMMYFUNCTION("GOOGLETRANSLATE(B499,""zh_cn"",""vi"")"),"cuối cùng")</f>
        <v>cuối cùng</v>
      </c>
      <c r="G499" s="20" t="s">
        <v>3307</v>
      </c>
      <c r="I499" s="11" t="b">
        <f t="shared" si="2"/>
        <v>0</v>
      </c>
      <c r="J499" s="24"/>
      <c r="K499" s="11" t="b">
        <f t="shared" si="3"/>
        <v>0</v>
      </c>
    </row>
    <row r="500" ht="22.5" customHeight="1">
      <c r="A500" s="12">
        <f t="shared" si="4"/>
        <v>998</v>
      </c>
      <c r="B500" s="6" t="s">
        <v>3308</v>
      </c>
      <c r="C500" s="7" t="str">
        <f t="shared" si="1"/>
        <v>🔊</v>
      </c>
      <c r="D500" s="8" t="s">
        <v>3309</v>
      </c>
      <c r="E500" s="6" t="s">
        <v>27</v>
      </c>
      <c r="F500" s="12" t="str">
        <f>IFERROR(__xludf.DUMMYFUNCTION("GOOGLETRANSLATE(B500,""zh_cn"",""vi"")"),"gần đây")</f>
        <v>gần đây</v>
      </c>
      <c r="G500" s="20" t="s">
        <v>3310</v>
      </c>
      <c r="I500" s="11" t="b">
        <f t="shared" si="2"/>
        <v>0</v>
      </c>
      <c r="J500" s="24"/>
      <c r="K500" s="11" t="b">
        <f t="shared" si="3"/>
        <v>0</v>
      </c>
    </row>
    <row r="501" ht="22.5" customHeight="1">
      <c r="A501" s="12">
        <f t="shared" si="4"/>
        <v>999</v>
      </c>
      <c r="B501" s="6" t="s">
        <v>3311</v>
      </c>
      <c r="C501" s="7" t="str">
        <f t="shared" si="1"/>
        <v>🔊</v>
      </c>
      <c r="D501" s="8" t="s">
        <v>3312</v>
      </c>
      <c r="E501" s="6" t="s">
        <v>13</v>
      </c>
      <c r="F501" s="5" t="s">
        <v>3313</v>
      </c>
      <c r="G501" s="20" t="s">
        <v>3314</v>
      </c>
      <c r="I501" s="11" t="b">
        <f t="shared" si="2"/>
        <v>0</v>
      </c>
      <c r="J501" s="24"/>
      <c r="K501" s="11" t="b">
        <f t="shared" si="3"/>
        <v>0</v>
      </c>
    </row>
    <row r="502" ht="22.5" customHeight="1">
      <c r="A502" s="12">
        <f t="shared" si="4"/>
        <v>1000</v>
      </c>
      <c r="B502" s="6" t="s">
        <v>3315</v>
      </c>
      <c r="C502" s="7" t="str">
        <f t="shared" si="1"/>
        <v>🔊</v>
      </c>
      <c r="D502" s="8" t="s">
        <v>3316</v>
      </c>
      <c r="E502" s="6" t="s">
        <v>27</v>
      </c>
      <c r="F502" s="5" t="s">
        <v>3317</v>
      </c>
      <c r="G502" s="20" t="s">
        <v>3318</v>
      </c>
      <c r="I502" s="11" t="b">
        <f t="shared" si="2"/>
        <v>0</v>
      </c>
      <c r="J502" s="24"/>
      <c r="K502" s="11" t="b">
        <f t="shared" si="3"/>
        <v>0</v>
      </c>
    </row>
  </sheetData>
  <conditionalFormatting sqref="I3:I502 K3:K502">
    <cfRule type="expression" dxfId="5" priority="1">
      <formula>I3=TRUE</formula>
    </cfRule>
  </conditionalFormatting>
  <conditionalFormatting sqref="I3:I502 K3:K502">
    <cfRule type="expression" dxfId="6" priority="2">
      <formula>I3=FALSE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6.13"/>
    <col customWidth="1" min="3" max="3" width="10.38"/>
    <col customWidth="1" min="4" max="4" width="17.75"/>
    <col customWidth="1" min="5" max="5" width="22.0"/>
    <col customWidth="1" min="6" max="6" width="16.13"/>
    <col customWidth="1" min="7" max="7" width="22.63"/>
    <col customWidth="1" min="8" max="8" width="15.25"/>
    <col customWidth="1" min="10" max="10" width="18.5"/>
  </cols>
  <sheetData>
    <row r="1" ht="22.5" customHeight="1">
      <c r="A1" s="1" t="s">
        <v>0</v>
      </c>
      <c r="B1" s="25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3319</v>
      </c>
      <c r="I1" s="4" t="s">
        <v>8</v>
      </c>
      <c r="J1" s="4" t="s">
        <v>9</v>
      </c>
      <c r="K1" s="4" t="s">
        <v>10</v>
      </c>
    </row>
    <row r="2" ht="22.5" customHeight="1">
      <c r="A2" s="1"/>
      <c r="B2" s="8" t="s">
        <v>3320</v>
      </c>
      <c r="C2" s="1"/>
      <c r="D2" s="2"/>
      <c r="E2" s="1"/>
      <c r="F2" s="1"/>
      <c r="G2" s="20"/>
      <c r="H2" s="21"/>
      <c r="I2" s="21"/>
      <c r="J2" s="21"/>
      <c r="K2" s="21"/>
    </row>
    <row r="3" ht="22.5" customHeight="1">
      <c r="A3" s="5">
        <v>1001.0</v>
      </c>
      <c r="B3" s="26" t="s">
        <v>1022</v>
      </c>
      <c r="C3" s="7" t="str">
        <f t="shared" ref="C3:C1002" si="1">HYPERLINK("https://translate.google.com/translate_tts?ie=UTF-8&amp;client=tw-ob&amp;tl=zh-CN&amp;q="&amp;ENCODEURL(B3),"🔊")</f>
        <v>🔊</v>
      </c>
      <c r="D3" s="8" t="s">
        <v>3321</v>
      </c>
      <c r="E3" s="6" t="s">
        <v>747</v>
      </c>
      <c r="F3" s="12" t="str">
        <f>IFERROR(__xludf.DUMMYFUNCTION("GOOGLETRANSLATE(B3,""zh_cn"",""vi"")"),"à")</f>
        <v>à</v>
      </c>
      <c r="G3" s="20" t="s">
        <v>3322</v>
      </c>
      <c r="H3" s="6"/>
      <c r="I3" s="11" t="b">
        <f t="shared" ref="I3:I437" si="2">H3=B3</f>
        <v>0</v>
      </c>
      <c r="J3" s="6"/>
      <c r="K3" s="11" t="b">
        <f t="shared" ref="K3:K437" si="3">J3=F3</f>
        <v>0</v>
      </c>
    </row>
    <row r="4" ht="22.5" customHeight="1">
      <c r="A4" s="12">
        <f t="shared" ref="A4:A1002" si="4">A3+1</f>
        <v>1002</v>
      </c>
      <c r="B4" s="26" t="s">
        <v>3323</v>
      </c>
      <c r="C4" s="7" t="str">
        <f t="shared" si="1"/>
        <v>🔊</v>
      </c>
      <c r="D4" s="8" t="s">
        <v>3324</v>
      </c>
      <c r="E4" s="6" t="s">
        <v>27</v>
      </c>
      <c r="F4" s="5" t="s">
        <v>3325</v>
      </c>
      <c r="G4" s="20" t="s">
        <v>3326</v>
      </c>
      <c r="H4" s="6"/>
      <c r="I4" s="11" t="b">
        <f t="shared" si="2"/>
        <v>0</v>
      </c>
      <c r="J4" s="6"/>
      <c r="K4" s="11" t="b">
        <f t="shared" si="3"/>
        <v>0</v>
      </c>
    </row>
    <row r="5" ht="22.5" customHeight="1">
      <c r="A5" s="12">
        <f t="shared" si="4"/>
        <v>1003</v>
      </c>
      <c r="B5" s="26" t="s">
        <v>3327</v>
      </c>
      <c r="C5" s="7" t="str">
        <f t="shared" si="1"/>
        <v>🔊</v>
      </c>
      <c r="D5" s="8" t="s">
        <v>3328</v>
      </c>
      <c r="E5" s="6" t="s">
        <v>27</v>
      </c>
      <c r="F5" s="5" t="s">
        <v>3329</v>
      </c>
      <c r="G5" s="20" t="s">
        <v>3330</v>
      </c>
      <c r="H5" s="6"/>
      <c r="I5" s="11" t="b">
        <f t="shared" si="2"/>
        <v>0</v>
      </c>
      <c r="J5" s="6"/>
      <c r="K5" s="11" t="b">
        <f t="shared" si="3"/>
        <v>0</v>
      </c>
    </row>
    <row r="6" ht="22.5" customHeight="1">
      <c r="A6" s="12">
        <f t="shared" si="4"/>
        <v>1004</v>
      </c>
      <c r="B6" s="26" t="s">
        <v>3331</v>
      </c>
      <c r="C6" s="7" t="str">
        <f t="shared" si="1"/>
        <v>🔊</v>
      </c>
      <c r="D6" s="8" t="s">
        <v>3332</v>
      </c>
      <c r="E6" s="6" t="s">
        <v>1054</v>
      </c>
      <c r="F6" s="5" t="s">
        <v>3333</v>
      </c>
      <c r="G6" s="20" t="s">
        <v>3334</v>
      </c>
      <c r="H6" s="6"/>
      <c r="I6" s="11" t="b">
        <f t="shared" si="2"/>
        <v>0</v>
      </c>
      <c r="K6" s="11" t="b">
        <f t="shared" si="3"/>
        <v>0</v>
      </c>
    </row>
    <row r="7" ht="22.5" customHeight="1">
      <c r="A7" s="12">
        <f t="shared" si="4"/>
        <v>1005</v>
      </c>
      <c r="B7" s="26" t="s">
        <v>3335</v>
      </c>
      <c r="C7" s="7" t="str">
        <f t="shared" si="1"/>
        <v>🔊</v>
      </c>
      <c r="D7" s="8" t="s">
        <v>3336</v>
      </c>
      <c r="E7" s="6" t="s">
        <v>13</v>
      </c>
      <c r="F7" s="12" t="str">
        <f>IFERROR(__xludf.DUMMYFUNCTION("GOOGLETRANSLATE(B7,""zh_cn"",""vi"")"),"Kiểm tra an ninh")</f>
        <v>Kiểm tra an ninh</v>
      </c>
      <c r="G7" s="20" t="s">
        <v>3337</v>
      </c>
      <c r="I7" s="11" t="b">
        <f t="shared" si="2"/>
        <v>0</v>
      </c>
      <c r="K7" s="11" t="b">
        <f t="shared" si="3"/>
        <v>0</v>
      </c>
    </row>
    <row r="8" ht="22.5" customHeight="1">
      <c r="A8" s="12">
        <f t="shared" si="4"/>
        <v>1006</v>
      </c>
      <c r="B8" s="26" t="s">
        <v>3338</v>
      </c>
      <c r="C8" s="7" t="str">
        <f t="shared" si="1"/>
        <v>🔊</v>
      </c>
      <c r="D8" s="8" t="s">
        <v>3339</v>
      </c>
      <c r="E8" s="6" t="s">
        <v>13</v>
      </c>
      <c r="F8" s="12" t="str">
        <f>IFERROR(__xludf.DUMMYFUNCTION("GOOGLETRANSLATE(B8,""zh_cn"",""vi"")"),"sắp xếp")</f>
        <v>sắp xếp</v>
      </c>
      <c r="G8" s="20" t="s">
        <v>3340</v>
      </c>
      <c r="I8" s="11" t="b">
        <f t="shared" si="2"/>
        <v>0</v>
      </c>
      <c r="K8" s="11" t="b">
        <f t="shared" si="3"/>
        <v>0</v>
      </c>
    </row>
    <row r="9" ht="22.5" customHeight="1">
      <c r="A9" s="12">
        <f t="shared" si="4"/>
        <v>1007</v>
      </c>
      <c r="B9" s="26" t="s">
        <v>3341</v>
      </c>
      <c r="C9" s="7" t="str">
        <f t="shared" si="1"/>
        <v>🔊</v>
      </c>
      <c r="D9" s="8" t="s">
        <v>3342</v>
      </c>
      <c r="E9" s="6" t="s">
        <v>61</v>
      </c>
      <c r="F9" s="12" t="str">
        <f>IFERROR(__xludf.DUMMYFUNCTION("GOOGLETRANSLATE(B9,""zh_cn"",""vi"")"),"đúng giờ")</f>
        <v>đúng giờ</v>
      </c>
      <c r="G9" s="20" t="s">
        <v>3343</v>
      </c>
      <c r="I9" s="11" t="b">
        <f t="shared" si="2"/>
        <v>0</v>
      </c>
      <c r="K9" s="11" t="b">
        <f t="shared" si="3"/>
        <v>0</v>
      </c>
    </row>
    <row r="10" ht="22.5" customHeight="1">
      <c r="A10" s="12">
        <f t="shared" si="4"/>
        <v>1008</v>
      </c>
      <c r="B10" s="26" t="s">
        <v>3344</v>
      </c>
      <c r="C10" s="7" t="str">
        <f t="shared" si="1"/>
        <v>🔊</v>
      </c>
      <c r="D10" s="8" t="s">
        <v>3345</v>
      </c>
      <c r="E10" s="6" t="s">
        <v>1766</v>
      </c>
      <c r="F10" s="12" t="str">
        <f>IFERROR(__xludf.DUMMYFUNCTION("GOOGLETRANSLATE(B10,""zh_cn"",""vi"")"),"theo")</f>
        <v>theo</v>
      </c>
      <c r="G10" s="20" t="s">
        <v>3346</v>
      </c>
      <c r="I10" s="11" t="b">
        <f t="shared" si="2"/>
        <v>0</v>
      </c>
      <c r="K10" s="11" t="b">
        <f t="shared" si="3"/>
        <v>0</v>
      </c>
    </row>
    <row r="11" ht="22.5" customHeight="1">
      <c r="A11" s="12">
        <f t="shared" si="4"/>
        <v>1009</v>
      </c>
      <c r="B11" s="26" t="s">
        <v>3347</v>
      </c>
      <c r="C11" s="7" t="str">
        <f t="shared" si="1"/>
        <v>🔊</v>
      </c>
      <c r="D11" s="8" t="s">
        <v>3348</v>
      </c>
      <c r="E11" s="6" t="s">
        <v>27</v>
      </c>
      <c r="F11" s="12" t="str">
        <f>IFERROR(__xludf.DUMMYFUNCTION("GOOGLETRANSLATE(B11,""zh_cn"",""vi"")"),"Rượu")</f>
        <v>Rượu</v>
      </c>
      <c r="G11" s="20" t="s">
        <v>3349</v>
      </c>
      <c r="I11" s="11" t="b">
        <f t="shared" si="2"/>
        <v>0</v>
      </c>
      <c r="K11" s="11" t="b">
        <f t="shared" si="3"/>
        <v>0</v>
      </c>
    </row>
    <row r="12" ht="22.5" customHeight="1">
      <c r="A12" s="12">
        <f t="shared" si="4"/>
        <v>1010</v>
      </c>
      <c r="B12" s="26" t="s">
        <v>3350</v>
      </c>
      <c r="C12" s="7" t="str">
        <f t="shared" si="1"/>
        <v>🔊</v>
      </c>
      <c r="D12" s="8" t="s">
        <v>3351</v>
      </c>
      <c r="E12" s="6" t="s">
        <v>3352</v>
      </c>
      <c r="F12" s="12" t="str">
        <f>IFERROR(__xludf.DUMMYFUNCTION("GOOGLETRANSLATE(B12,""zh_cn"",""vi"")"),"Tuyệt")</f>
        <v>Tuyệt</v>
      </c>
      <c r="G12" s="20" t="s">
        <v>3353</v>
      </c>
      <c r="I12" s="11" t="b">
        <f t="shared" si="2"/>
        <v>0</v>
      </c>
      <c r="K12" s="11" t="b">
        <f t="shared" si="3"/>
        <v>0</v>
      </c>
    </row>
    <row r="13" ht="22.5" customHeight="1">
      <c r="A13" s="12">
        <f t="shared" si="4"/>
        <v>1011</v>
      </c>
      <c r="B13" s="26" t="s">
        <v>3354</v>
      </c>
      <c r="C13" s="7" t="str">
        <f t="shared" si="1"/>
        <v>🔊</v>
      </c>
      <c r="D13" s="8" t="s">
        <v>3355</v>
      </c>
      <c r="E13" s="6" t="s">
        <v>13</v>
      </c>
      <c r="F13" s="12" t="str">
        <f>IFERROR(__xludf.DUMMYFUNCTION("GOOGLETRANSLATE(B13,""zh_cn"",""vi"")"),"Văn phòng")</f>
        <v>Văn phòng</v>
      </c>
      <c r="G13" s="20" t="s">
        <v>3356</v>
      </c>
      <c r="I13" s="11" t="b">
        <f t="shared" si="2"/>
        <v>0</v>
      </c>
      <c r="K13" s="11" t="b">
        <f t="shared" si="3"/>
        <v>0</v>
      </c>
    </row>
    <row r="14" ht="22.5" customHeight="1">
      <c r="A14" s="12">
        <f t="shared" si="4"/>
        <v>1012</v>
      </c>
      <c r="B14" s="26" t="s">
        <v>3357</v>
      </c>
      <c r="C14" s="7" t="str">
        <f t="shared" si="1"/>
        <v>🔊</v>
      </c>
      <c r="D14" s="8" t="s">
        <v>3358</v>
      </c>
      <c r="E14" s="6" t="s">
        <v>13</v>
      </c>
      <c r="F14" s="12" t="str">
        <f>IFERROR(__xludf.DUMMYFUNCTION("GOOGLETRANSLATE(B14,""zh_cn"",""vi"")"),"Xử lý")</f>
        <v>Xử lý</v>
      </c>
      <c r="G14" s="20" t="s">
        <v>3359</v>
      </c>
      <c r="I14" s="11" t="b">
        <f t="shared" si="2"/>
        <v>0</v>
      </c>
      <c r="K14" s="11" t="b">
        <f t="shared" si="3"/>
        <v>0</v>
      </c>
    </row>
    <row r="15" ht="22.5" customHeight="1">
      <c r="A15" s="12">
        <f t="shared" si="4"/>
        <v>1013</v>
      </c>
      <c r="B15" s="26" t="s">
        <v>3360</v>
      </c>
      <c r="C15" s="7" t="str">
        <f t="shared" si="1"/>
        <v>🔊</v>
      </c>
      <c r="D15" s="8" t="s">
        <v>3361</v>
      </c>
      <c r="E15" s="6" t="s">
        <v>13</v>
      </c>
      <c r="F15" s="12" t="str">
        <f>IFERROR(__xludf.DUMMYFUNCTION("GOOGLETRANSLATE(B15,""zh_cn"",""vi"")"),"công việc")</f>
        <v>công việc</v>
      </c>
      <c r="G15" s="20" t="s">
        <v>3362</v>
      </c>
      <c r="I15" s="11" t="b">
        <f t="shared" si="2"/>
        <v>0</v>
      </c>
      <c r="K15" s="11" t="b">
        <f t="shared" si="3"/>
        <v>0</v>
      </c>
    </row>
    <row r="16" ht="22.5" customHeight="1">
      <c r="A16" s="12">
        <f t="shared" si="4"/>
        <v>1014</v>
      </c>
      <c r="B16" s="26" t="s">
        <v>3363</v>
      </c>
      <c r="C16" s="7" t="str">
        <f t="shared" si="1"/>
        <v>🔊</v>
      </c>
      <c r="D16" s="8" t="s">
        <v>3364</v>
      </c>
      <c r="E16" s="6" t="s">
        <v>13</v>
      </c>
      <c r="F16" s="12" t="str">
        <f>IFERROR(__xludf.DUMMYFUNCTION("GOOGLETRANSLATE(B16,""zh_cn"",""vi"")"),"ôm")</f>
        <v>ôm</v>
      </c>
      <c r="G16" s="20" t="s">
        <v>3365</v>
      </c>
      <c r="I16" s="11" t="b">
        <f t="shared" si="2"/>
        <v>0</v>
      </c>
      <c r="K16" s="11" t="b">
        <f t="shared" si="3"/>
        <v>0</v>
      </c>
    </row>
    <row r="17" ht="22.5" customHeight="1">
      <c r="A17" s="12">
        <f t="shared" si="4"/>
        <v>1015</v>
      </c>
      <c r="B17" s="26" t="s">
        <v>3366</v>
      </c>
      <c r="C17" s="7" t="str">
        <f t="shared" si="1"/>
        <v>🔊</v>
      </c>
      <c r="D17" s="8" t="s">
        <v>3367</v>
      </c>
      <c r="E17" s="6" t="s">
        <v>13</v>
      </c>
      <c r="F17" s="12" t="str">
        <f>IFERROR(__xludf.DUMMYFUNCTION("GOOGLETRANSLATE(B17,""zh_cn"",""vi"")"),"Bảo vệ")</f>
        <v>Bảo vệ</v>
      </c>
      <c r="G17" s="20" t="s">
        <v>3368</v>
      </c>
      <c r="I17" s="11" t="b">
        <f t="shared" si="2"/>
        <v>0</v>
      </c>
      <c r="K17" s="11" t="b">
        <f t="shared" si="3"/>
        <v>0</v>
      </c>
    </row>
    <row r="18" ht="22.5" customHeight="1">
      <c r="A18" s="12">
        <f t="shared" si="4"/>
        <v>1016</v>
      </c>
      <c r="B18" s="26" t="s">
        <v>3369</v>
      </c>
      <c r="C18" s="7" t="str">
        <f t="shared" si="1"/>
        <v>🔊</v>
      </c>
      <c r="D18" s="8" t="s">
        <v>3370</v>
      </c>
      <c r="E18" s="6" t="s">
        <v>13</v>
      </c>
      <c r="F18" s="5" t="s">
        <v>3371</v>
      </c>
      <c r="G18" s="20" t="s">
        <v>3372</v>
      </c>
      <c r="I18" s="11" t="b">
        <f t="shared" si="2"/>
        <v>0</v>
      </c>
      <c r="K18" s="11" t="b">
        <f t="shared" si="3"/>
        <v>0</v>
      </c>
    </row>
    <row r="19" ht="22.5" customHeight="1">
      <c r="A19" s="12">
        <f t="shared" si="4"/>
        <v>1017</v>
      </c>
      <c r="B19" s="26" t="s">
        <v>3373</v>
      </c>
      <c r="C19" s="7" t="str">
        <f t="shared" si="1"/>
        <v>🔊</v>
      </c>
      <c r="D19" s="8" t="s">
        <v>3374</v>
      </c>
      <c r="E19" s="6" t="s">
        <v>13</v>
      </c>
      <c r="F19" s="12" t="str">
        <f>IFERROR(__xludf.DUMMYFUNCTION("GOOGLETRANSLATE(B19,""zh_cn"",""vi"")"),"Đăng ký")</f>
        <v>Đăng ký</v>
      </c>
      <c r="G19" s="20" t="s">
        <v>3375</v>
      </c>
      <c r="I19" s="11" t="b">
        <f t="shared" si="2"/>
        <v>0</v>
      </c>
      <c r="K19" s="11" t="b">
        <f t="shared" si="3"/>
        <v>0</v>
      </c>
    </row>
    <row r="20" ht="22.5" customHeight="1">
      <c r="A20" s="12">
        <f t="shared" si="4"/>
        <v>1018</v>
      </c>
      <c r="B20" s="26" t="s">
        <v>3376</v>
      </c>
      <c r="C20" s="7" t="str">
        <f t="shared" si="1"/>
        <v>🔊</v>
      </c>
      <c r="D20" s="8" t="s">
        <v>3377</v>
      </c>
      <c r="E20" s="6" t="s">
        <v>99</v>
      </c>
      <c r="F20" s="5" t="s">
        <v>3378</v>
      </c>
      <c r="G20" s="20" t="s">
        <v>3379</v>
      </c>
      <c r="I20" s="11" t="b">
        <f t="shared" si="2"/>
        <v>0</v>
      </c>
      <c r="K20" s="11" t="b">
        <f t="shared" si="3"/>
        <v>0</v>
      </c>
    </row>
    <row r="21" ht="22.5" customHeight="1">
      <c r="A21" s="12">
        <f t="shared" si="4"/>
        <v>1019</v>
      </c>
      <c r="B21" s="26" t="s">
        <v>3380</v>
      </c>
      <c r="C21" s="7" t="str">
        <f t="shared" si="1"/>
        <v>🔊</v>
      </c>
      <c r="D21" s="8" t="s">
        <v>3381</v>
      </c>
      <c r="E21" s="6" t="s">
        <v>232</v>
      </c>
      <c r="F21" s="12" t="str">
        <f>IFERROR(__xludf.DUMMYFUNCTION("GOOGLETRANSLATE(B21,""zh_cn"",""vi"")"),"đảm bảo")</f>
        <v>đảm bảo</v>
      </c>
      <c r="G21" s="20" t="s">
        <v>3382</v>
      </c>
      <c r="I21" s="11" t="b">
        <f t="shared" si="2"/>
        <v>0</v>
      </c>
      <c r="K21" s="11" t="b">
        <f t="shared" si="3"/>
        <v>0</v>
      </c>
    </row>
    <row r="22" ht="22.5" customHeight="1">
      <c r="A22" s="12">
        <f t="shared" si="4"/>
        <v>1020</v>
      </c>
      <c r="B22" s="26" t="s">
        <v>3383</v>
      </c>
      <c r="C22" s="7" t="str">
        <f t="shared" si="1"/>
        <v>🔊</v>
      </c>
      <c r="D22" s="8" t="s">
        <v>1765</v>
      </c>
      <c r="E22" s="6" t="s">
        <v>47</v>
      </c>
      <c r="F22" s="12" t="str">
        <f>IFERROR(__xludf.DUMMYFUNCTION("GOOGLETRANSLATE(B22,""zh_cn"",""vi"")"),"lần")</f>
        <v>lần</v>
      </c>
      <c r="G22" s="20" t="s">
        <v>3384</v>
      </c>
      <c r="I22" s="11" t="b">
        <f t="shared" si="2"/>
        <v>0</v>
      </c>
      <c r="K22" s="11" t="b">
        <f t="shared" si="3"/>
        <v>0</v>
      </c>
    </row>
    <row r="23" ht="22.5" customHeight="1">
      <c r="A23" s="12">
        <f t="shared" si="4"/>
        <v>1021</v>
      </c>
      <c r="B23" s="26" t="s">
        <v>3385</v>
      </c>
      <c r="C23" s="7" t="str">
        <f t="shared" si="1"/>
        <v>🔊</v>
      </c>
      <c r="D23" s="8" t="s">
        <v>3386</v>
      </c>
      <c r="E23" s="6" t="s">
        <v>13</v>
      </c>
      <c r="F23" s="12" t="str">
        <f>IFERROR(__xludf.DUMMYFUNCTION("GOOGLETRANSLATE(B23,""zh_cn"",""vi"")"),"mặt sau")</f>
        <v>mặt sau</v>
      </c>
      <c r="G23" s="20" t="s">
        <v>3387</v>
      </c>
      <c r="I23" s="11" t="b">
        <f t="shared" si="2"/>
        <v>0</v>
      </c>
      <c r="K23" s="11" t="b">
        <f t="shared" si="3"/>
        <v>0</v>
      </c>
    </row>
    <row r="24" ht="22.5" customHeight="1">
      <c r="A24" s="12">
        <f t="shared" si="4"/>
        <v>1022</v>
      </c>
      <c r="B24" s="26" t="s">
        <v>3388</v>
      </c>
      <c r="C24" s="7" t="str">
        <f t="shared" si="1"/>
        <v>🔊</v>
      </c>
      <c r="D24" s="8" t="s">
        <v>3389</v>
      </c>
      <c r="E24" s="6" t="s">
        <v>27</v>
      </c>
      <c r="F24" s="12" t="str">
        <f>IFERROR(__xludf.DUMMYFUNCTION("GOOGLETRANSLATE(B24,""zh_cn"",""vi"")"),"Balo")</f>
        <v>Balo</v>
      </c>
      <c r="G24" s="20" t="s">
        <v>3390</v>
      </c>
      <c r="I24" s="11" t="b">
        <f t="shared" si="2"/>
        <v>0</v>
      </c>
      <c r="K24" s="11" t="b">
        <f t="shared" si="3"/>
        <v>0</v>
      </c>
    </row>
    <row r="25" ht="22.5" customHeight="1">
      <c r="A25" s="12">
        <f t="shared" si="4"/>
        <v>1023</v>
      </c>
      <c r="B25" s="26" t="s">
        <v>3391</v>
      </c>
      <c r="C25" s="7" t="str">
        <f t="shared" si="1"/>
        <v>🔊</v>
      </c>
      <c r="D25" s="8" t="s">
        <v>3392</v>
      </c>
      <c r="E25" s="6" t="s">
        <v>27</v>
      </c>
      <c r="F25" s="12" t="str">
        <f>IFERROR(__xludf.DUMMYFUNCTION("GOOGLETRANSLATE(B25,""zh_cn"",""vi"")"),"Phía bắc")</f>
        <v>Phía bắc</v>
      </c>
      <c r="G25" s="20" t="s">
        <v>3393</v>
      </c>
      <c r="I25" s="11" t="b">
        <f t="shared" si="2"/>
        <v>0</v>
      </c>
      <c r="K25" s="11" t="b">
        <f t="shared" si="3"/>
        <v>0</v>
      </c>
    </row>
    <row r="26" ht="22.5" customHeight="1">
      <c r="A26" s="12">
        <f t="shared" si="4"/>
        <v>1024</v>
      </c>
      <c r="B26" s="26" t="s">
        <v>3394</v>
      </c>
      <c r="C26" s="7" t="str">
        <f t="shared" si="1"/>
        <v>🔊</v>
      </c>
      <c r="D26" s="8" t="s">
        <v>3395</v>
      </c>
      <c r="E26" s="6" t="s">
        <v>99</v>
      </c>
      <c r="F26" s="12" t="str">
        <f>IFERROR(__xludf.DUMMYFUNCTION("GOOGLETRANSLATE(B26,""zh_cn"",""vi"")"),"ngu xuẩn")</f>
        <v>ngu xuẩn</v>
      </c>
      <c r="G26" s="20" t="s">
        <v>3396</v>
      </c>
      <c r="I26" s="11" t="b">
        <f t="shared" si="2"/>
        <v>0</v>
      </c>
      <c r="K26" s="11" t="b">
        <f t="shared" si="3"/>
        <v>0</v>
      </c>
    </row>
    <row r="27" ht="22.5" customHeight="1">
      <c r="A27" s="12">
        <f t="shared" si="4"/>
        <v>1025</v>
      </c>
      <c r="B27" s="26" t="s">
        <v>3397</v>
      </c>
      <c r="C27" s="7" t="str">
        <f t="shared" si="1"/>
        <v>🔊</v>
      </c>
      <c r="D27" s="8" t="s">
        <v>3398</v>
      </c>
      <c r="E27" s="6" t="s">
        <v>27</v>
      </c>
      <c r="F27" s="5" t="s">
        <v>3399</v>
      </c>
      <c r="G27" s="20" t="s">
        <v>3400</v>
      </c>
      <c r="I27" s="11" t="b">
        <f t="shared" si="2"/>
        <v>0</v>
      </c>
      <c r="K27" s="11" t="b">
        <f t="shared" si="3"/>
        <v>0</v>
      </c>
    </row>
    <row r="28" ht="22.5" customHeight="1">
      <c r="A28" s="12">
        <f t="shared" si="4"/>
        <v>1026</v>
      </c>
      <c r="B28" s="26" t="s">
        <v>3401</v>
      </c>
      <c r="C28" s="7" t="str">
        <f t="shared" si="1"/>
        <v>🔊</v>
      </c>
      <c r="D28" s="8" t="s">
        <v>3402</v>
      </c>
      <c r="E28" s="6" t="s">
        <v>1308</v>
      </c>
      <c r="F28" s="5" t="s">
        <v>3403</v>
      </c>
      <c r="G28" s="20" t="s">
        <v>3404</v>
      </c>
      <c r="I28" s="11" t="b">
        <f t="shared" si="2"/>
        <v>0</v>
      </c>
      <c r="K28" s="11" t="b">
        <f t="shared" si="3"/>
        <v>0</v>
      </c>
    </row>
    <row r="29" ht="22.5" customHeight="1">
      <c r="A29" s="12">
        <f t="shared" si="4"/>
        <v>1027</v>
      </c>
      <c r="B29" s="26" t="s">
        <v>3405</v>
      </c>
      <c r="C29" s="7" t="str">
        <f t="shared" si="1"/>
        <v>🔊</v>
      </c>
      <c r="D29" s="8" t="s">
        <v>3406</v>
      </c>
      <c r="E29" s="6" t="s">
        <v>13</v>
      </c>
      <c r="F29" s="5" t="s">
        <v>3407</v>
      </c>
      <c r="G29" s="20" t="s">
        <v>3408</v>
      </c>
      <c r="I29" s="11" t="b">
        <f t="shared" si="2"/>
        <v>0</v>
      </c>
      <c r="K29" s="11" t="b">
        <f t="shared" si="3"/>
        <v>0</v>
      </c>
    </row>
    <row r="30" ht="22.5" customHeight="1">
      <c r="A30" s="12">
        <f t="shared" si="4"/>
        <v>1028</v>
      </c>
      <c r="B30" s="26" t="s">
        <v>3409</v>
      </c>
      <c r="C30" s="7" t="str">
        <f t="shared" si="1"/>
        <v>🔊</v>
      </c>
      <c r="D30" s="8" t="s">
        <v>3410</v>
      </c>
      <c r="E30" s="6" t="s">
        <v>1813</v>
      </c>
      <c r="F30" s="5" t="s">
        <v>3411</v>
      </c>
      <c r="G30" s="20" t="s">
        <v>3412</v>
      </c>
      <c r="I30" s="11" t="b">
        <f t="shared" si="2"/>
        <v>0</v>
      </c>
      <c r="K30" s="11" t="b">
        <f t="shared" si="3"/>
        <v>0</v>
      </c>
    </row>
    <row r="31" ht="22.5" customHeight="1">
      <c r="A31" s="12">
        <f t="shared" si="4"/>
        <v>1029</v>
      </c>
      <c r="B31" s="26" t="s">
        <v>3413</v>
      </c>
      <c r="C31" s="7" t="str">
        <f t="shared" si="1"/>
        <v>🔊</v>
      </c>
      <c r="D31" s="8" t="s">
        <v>3414</v>
      </c>
      <c r="E31" s="6" t="s">
        <v>27</v>
      </c>
      <c r="F31" s="5" t="s">
        <v>3415</v>
      </c>
      <c r="G31" s="20" t="s">
        <v>3416</v>
      </c>
      <c r="I31" s="11" t="b">
        <f t="shared" si="2"/>
        <v>0</v>
      </c>
      <c r="K31" s="11" t="b">
        <f t="shared" si="3"/>
        <v>0</v>
      </c>
    </row>
    <row r="32" ht="22.5" customHeight="1">
      <c r="A32" s="12">
        <f t="shared" si="4"/>
        <v>1030</v>
      </c>
      <c r="B32" s="26" t="s">
        <v>3417</v>
      </c>
      <c r="C32" s="7" t="str">
        <f t="shared" si="1"/>
        <v>🔊</v>
      </c>
      <c r="D32" s="8" t="s">
        <v>3418</v>
      </c>
      <c r="E32" s="6" t="s">
        <v>13</v>
      </c>
      <c r="F32" s="12" t="str">
        <f>IFERROR(__xludf.DUMMYFUNCTION("GOOGLETRANSLATE(B32,""zh_cn"",""vi"")"),"thể hiện")</f>
        <v>thể hiện</v>
      </c>
      <c r="G32" s="20" t="s">
        <v>3419</v>
      </c>
      <c r="I32" s="11" t="b">
        <f t="shared" si="2"/>
        <v>0</v>
      </c>
      <c r="K32" s="11" t="b">
        <f t="shared" si="3"/>
        <v>0</v>
      </c>
    </row>
    <row r="33" ht="22.5" customHeight="1">
      <c r="A33" s="12">
        <f t="shared" si="4"/>
        <v>1031</v>
      </c>
      <c r="B33" s="26" t="s">
        <v>3420</v>
      </c>
      <c r="C33" s="7" t="str">
        <f t="shared" si="1"/>
        <v>🔊</v>
      </c>
      <c r="D33" s="8" t="s">
        <v>3421</v>
      </c>
      <c r="E33" s="6" t="s">
        <v>13</v>
      </c>
      <c r="F33" s="5" t="s">
        <v>3422</v>
      </c>
      <c r="G33" s="20" t="s">
        <v>3423</v>
      </c>
      <c r="I33" s="11" t="b">
        <f t="shared" si="2"/>
        <v>0</v>
      </c>
      <c r="K33" s="11" t="b">
        <f t="shared" si="3"/>
        <v>0</v>
      </c>
    </row>
    <row r="34" ht="22.5" customHeight="1">
      <c r="A34" s="12">
        <f t="shared" si="4"/>
        <v>1032</v>
      </c>
      <c r="B34" s="26" t="s">
        <v>3424</v>
      </c>
      <c r="C34" s="7" t="str">
        <f t="shared" si="1"/>
        <v>🔊</v>
      </c>
      <c r="D34" s="8" t="s">
        <v>3425</v>
      </c>
      <c r="E34" s="6" t="s">
        <v>13</v>
      </c>
      <c r="F34" s="5" t="s">
        <v>3426</v>
      </c>
      <c r="G34" s="20" t="s">
        <v>3427</v>
      </c>
      <c r="I34" s="11" t="b">
        <f t="shared" si="2"/>
        <v>0</v>
      </c>
      <c r="K34" s="11" t="b">
        <f t="shared" si="3"/>
        <v>0</v>
      </c>
    </row>
    <row r="35" ht="22.5" customHeight="1">
      <c r="A35" s="12">
        <f t="shared" si="4"/>
        <v>1033</v>
      </c>
      <c r="B35" s="26" t="s">
        <v>3428</v>
      </c>
      <c r="C35" s="7" t="str">
        <f t="shared" si="1"/>
        <v>🔊</v>
      </c>
      <c r="D35" s="8" t="s">
        <v>3429</v>
      </c>
      <c r="E35" s="6" t="s">
        <v>3430</v>
      </c>
      <c r="F35" s="12" t="str">
        <f>IFERROR(__xludf.DUMMYFUNCTION("GOOGLETRANSLATE(B35,""zh_cn"",""vi"")"),"tiêu chuẩn")</f>
        <v>tiêu chuẩn</v>
      </c>
      <c r="G35" s="20" t="s">
        <v>3431</v>
      </c>
      <c r="I35" s="11" t="b">
        <f t="shared" si="2"/>
        <v>0</v>
      </c>
      <c r="K35" s="11" t="b">
        <f t="shared" si="3"/>
        <v>0</v>
      </c>
    </row>
    <row r="36" ht="22.5" customHeight="1">
      <c r="A36" s="12">
        <f t="shared" si="4"/>
        <v>1034</v>
      </c>
      <c r="B36" s="26" t="s">
        <v>3432</v>
      </c>
      <c r="C36" s="7" t="str">
        <f t="shared" si="1"/>
        <v>🔊</v>
      </c>
      <c r="D36" s="8" t="s">
        <v>56</v>
      </c>
      <c r="E36" s="6" t="s">
        <v>3433</v>
      </c>
      <c r="F36" s="12" t="str">
        <f>IFERROR(__xludf.DUMMYFUNCTION("GOOGLETRANSLATE(B36,""zh_cn"",""vi"")"),"Và")</f>
        <v>Và</v>
      </c>
      <c r="G36" s="20" t="s">
        <v>3434</v>
      </c>
      <c r="I36" s="11" t="b">
        <f t="shared" si="2"/>
        <v>0</v>
      </c>
      <c r="K36" s="11" t="b">
        <f t="shared" si="3"/>
        <v>0</v>
      </c>
    </row>
    <row r="37" ht="22.5" customHeight="1">
      <c r="A37" s="12">
        <f t="shared" si="4"/>
        <v>1035</v>
      </c>
      <c r="B37" s="26" t="s">
        <v>3435</v>
      </c>
      <c r="C37" s="7" t="str">
        <f t="shared" si="1"/>
        <v>🔊</v>
      </c>
      <c r="D37" s="8" t="s">
        <v>3436</v>
      </c>
      <c r="E37" s="6" t="s">
        <v>27</v>
      </c>
      <c r="F37" s="12" t="str">
        <f>IFERROR(__xludf.DUMMYFUNCTION("GOOGLETRANSLATE(B37,""zh_cn"",""vi"")"),"bánh quy")</f>
        <v>bánh quy</v>
      </c>
      <c r="G37" s="20" t="s">
        <v>3437</v>
      </c>
      <c r="I37" s="11" t="b">
        <f t="shared" si="2"/>
        <v>0</v>
      </c>
      <c r="K37" s="11" t="b">
        <f t="shared" si="3"/>
        <v>0</v>
      </c>
    </row>
    <row r="38" ht="22.5" customHeight="1">
      <c r="A38" s="12">
        <f t="shared" si="4"/>
        <v>1036</v>
      </c>
      <c r="B38" s="26" t="s">
        <v>3438</v>
      </c>
      <c r="C38" s="7" t="str">
        <f t="shared" si="1"/>
        <v>🔊</v>
      </c>
      <c r="D38" s="8" t="s">
        <v>3439</v>
      </c>
      <c r="E38" s="6" t="s">
        <v>1132</v>
      </c>
      <c r="F38" s="5" t="s">
        <v>2186</v>
      </c>
      <c r="G38" s="20" t="s">
        <v>3440</v>
      </c>
      <c r="I38" s="11" t="b">
        <f t="shared" si="2"/>
        <v>0</v>
      </c>
      <c r="K38" s="11" t="b">
        <f t="shared" si="3"/>
        <v>0</v>
      </c>
    </row>
    <row r="39" ht="22.5" customHeight="1">
      <c r="A39" s="12">
        <f t="shared" si="4"/>
        <v>1037</v>
      </c>
      <c r="B39" s="26" t="s">
        <v>3441</v>
      </c>
      <c r="C39" s="7" t="str">
        <f t="shared" si="1"/>
        <v>🔊</v>
      </c>
      <c r="D39" s="8" t="s">
        <v>3442</v>
      </c>
      <c r="E39" s="6" t="s">
        <v>13</v>
      </c>
      <c r="F39" s="12" t="str">
        <f>IFERROR(__xludf.DUMMYFUNCTION("GOOGLETRANSLATE(B39,""zh_cn"",""vi"")"),"kỳ thi viết")</f>
        <v>kỳ thi viết</v>
      </c>
      <c r="G39" s="20" t="s">
        <v>3443</v>
      </c>
      <c r="I39" s="11" t="b">
        <f t="shared" si="2"/>
        <v>0</v>
      </c>
      <c r="K39" s="11" t="b">
        <f t="shared" si="3"/>
        <v>0</v>
      </c>
    </row>
    <row r="40" ht="22.5" customHeight="1">
      <c r="A40" s="12">
        <f t="shared" si="4"/>
        <v>1038</v>
      </c>
      <c r="B40" s="26" t="s">
        <v>3444</v>
      </c>
      <c r="C40" s="7" t="str">
        <f t="shared" si="1"/>
        <v>🔊</v>
      </c>
      <c r="D40" s="8" t="s">
        <v>3445</v>
      </c>
      <c r="E40" s="6" t="s">
        <v>13</v>
      </c>
      <c r="F40" s="12" t="str">
        <f>IFERROR(__xludf.DUMMYFUNCTION("GOOGLETRANSLATE(B40,""zh_cn"",""vi"")"),"tốt nghiệp")</f>
        <v>tốt nghiệp</v>
      </c>
      <c r="G40" s="20" t="s">
        <v>3446</v>
      </c>
      <c r="I40" s="11" t="b">
        <f t="shared" si="2"/>
        <v>0</v>
      </c>
      <c r="K40" s="11" t="b">
        <f t="shared" si="3"/>
        <v>0</v>
      </c>
    </row>
    <row r="41" ht="22.5" customHeight="1">
      <c r="A41" s="12">
        <f t="shared" si="4"/>
        <v>1039</v>
      </c>
      <c r="B41" s="26" t="s">
        <v>3447</v>
      </c>
      <c r="C41" s="7" t="str">
        <f t="shared" si="1"/>
        <v>🔊</v>
      </c>
      <c r="D41" s="8" t="s">
        <v>3448</v>
      </c>
      <c r="E41" s="6" t="s">
        <v>27</v>
      </c>
      <c r="F41" s="5" t="s">
        <v>3449</v>
      </c>
      <c r="G41" s="20" t="s">
        <v>3450</v>
      </c>
      <c r="I41" s="11" t="b">
        <f t="shared" si="2"/>
        <v>0</v>
      </c>
      <c r="K41" s="11" t="b">
        <f t="shared" si="3"/>
        <v>0</v>
      </c>
    </row>
    <row r="42" ht="22.5" customHeight="1">
      <c r="A42" s="12">
        <f t="shared" si="4"/>
        <v>1040</v>
      </c>
      <c r="B42" s="26" t="s">
        <v>3451</v>
      </c>
      <c r="C42" s="7" t="str">
        <f t="shared" si="1"/>
        <v>🔊</v>
      </c>
      <c r="D42" s="8" t="s">
        <v>3452</v>
      </c>
      <c r="E42" s="6" t="s">
        <v>27</v>
      </c>
      <c r="F42" s="12" t="str">
        <f>IFERROR(__xludf.DUMMYFUNCTION("GOOGLETRANSLATE(B42,""zh_cn"",""vi"")"),"mũi")</f>
        <v>mũi</v>
      </c>
      <c r="G42" s="20" t="s">
        <v>3453</v>
      </c>
      <c r="I42" s="11" t="b">
        <f t="shared" si="2"/>
        <v>0</v>
      </c>
      <c r="K42" s="11" t="b">
        <f t="shared" si="3"/>
        <v>0</v>
      </c>
    </row>
    <row r="43" ht="22.5" customHeight="1">
      <c r="A43" s="12">
        <f t="shared" si="4"/>
        <v>1041</v>
      </c>
      <c r="B43" s="26" t="s">
        <v>3454</v>
      </c>
      <c r="C43" s="7" t="str">
        <f t="shared" si="1"/>
        <v>🔊</v>
      </c>
      <c r="D43" s="8" t="s">
        <v>3455</v>
      </c>
      <c r="E43" s="6" t="s">
        <v>13</v>
      </c>
      <c r="F43" s="5" t="s">
        <v>3456</v>
      </c>
      <c r="G43" s="20" t="s">
        <v>3457</v>
      </c>
      <c r="I43" s="11" t="b">
        <f t="shared" si="2"/>
        <v>0</v>
      </c>
      <c r="K43" s="11" t="b">
        <f t="shared" si="3"/>
        <v>0</v>
      </c>
    </row>
    <row r="44" ht="22.5" customHeight="1">
      <c r="A44" s="12">
        <f t="shared" si="4"/>
        <v>1042</v>
      </c>
      <c r="B44" s="26" t="s">
        <v>3458</v>
      </c>
      <c r="C44" s="7" t="str">
        <f t="shared" si="1"/>
        <v>🔊</v>
      </c>
      <c r="D44" s="8" t="s">
        <v>3459</v>
      </c>
      <c r="E44" s="6" t="s">
        <v>27</v>
      </c>
      <c r="F44" s="12" t="str">
        <f>IFERROR(__xludf.DUMMYFUNCTION("GOOGLETRANSLATE(B44,""zh_cn"",""vi"")"),"Tiến sĩ")</f>
        <v>Tiến sĩ</v>
      </c>
      <c r="G44" s="20" t="s">
        <v>3460</v>
      </c>
      <c r="I44" s="11" t="b">
        <f t="shared" si="2"/>
        <v>0</v>
      </c>
      <c r="K44" s="11" t="b">
        <f t="shared" si="3"/>
        <v>0</v>
      </c>
    </row>
    <row r="45" ht="22.5" customHeight="1">
      <c r="A45" s="12">
        <f t="shared" si="4"/>
        <v>1043</v>
      </c>
      <c r="B45" s="26" t="s">
        <v>3461</v>
      </c>
      <c r="C45" s="7" t="str">
        <f t="shared" si="1"/>
        <v>🔊</v>
      </c>
      <c r="D45" s="8" t="s">
        <v>60</v>
      </c>
      <c r="E45" s="6" t="s">
        <v>27</v>
      </c>
      <c r="F45" s="12" t="str">
        <f>IFERROR(__xludf.DUMMYFUNCTION("GOOGLETRANSLATE(B45,""zh_cn"",""vi"")"),"bước chân")</f>
        <v>bước chân</v>
      </c>
      <c r="G45" s="20" t="s">
        <v>3462</v>
      </c>
      <c r="I45" s="11" t="b">
        <f t="shared" si="2"/>
        <v>0</v>
      </c>
      <c r="K45" s="11" t="b">
        <f t="shared" si="3"/>
        <v>0</v>
      </c>
    </row>
    <row r="46" ht="22.5" customHeight="1">
      <c r="A46" s="12">
        <f t="shared" si="4"/>
        <v>1044</v>
      </c>
      <c r="B46" s="26" t="s">
        <v>3463</v>
      </c>
      <c r="C46" s="7" t="str">
        <f t="shared" si="1"/>
        <v>🔊</v>
      </c>
      <c r="D46" s="8" t="s">
        <v>60</v>
      </c>
      <c r="E46" s="6" t="s">
        <v>259</v>
      </c>
      <c r="F46" s="5" t="s">
        <v>3464</v>
      </c>
      <c r="G46" s="20" t="s">
        <v>3465</v>
      </c>
      <c r="I46" s="11" t="b">
        <f t="shared" si="2"/>
        <v>0</v>
      </c>
      <c r="K46" s="11" t="b">
        <f t="shared" si="3"/>
        <v>0</v>
      </c>
    </row>
    <row r="47" ht="22.5" customHeight="1">
      <c r="A47" s="12">
        <f t="shared" si="4"/>
        <v>1045</v>
      </c>
      <c r="B47" s="26" t="s">
        <v>3466</v>
      </c>
      <c r="C47" s="7" t="str">
        <f t="shared" si="1"/>
        <v>🔊</v>
      </c>
      <c r="D47" s="8" t="s">
        <v>3467</v>
      </c>
      <c r="E47" s="6" t="s">
        <v>61</v>
      </c>
      <c r="F47" s="12" t="str">
        <f>IFERROR(__xludf.DUMMYFUNCTION("GOOGLETRANSLATE(B47,""zh_cn"",""vi"")"),"Không cần")</f>
        <v>Không cần</v>
      </c>
      <c r="G47" s="20" t="s">
        <v>3468</v>
      </c>
      <c r="I47" s="11" t="b">
        <f t="shared" si="2"/>
        <v>0</v>
      </c>
      <c r="K47" s="11" t="b">
        <f t="shared" si="3"/>
        <v>0</v>
      </c>
    </row>
    <row r="48" ht="22.5" customHeight="1">
      <c r="A48" s="12">
        <f t="shared" si="4"/>
        <v>1046</v>
      </c>
      <c r="B48" s="26" t="s">
        <v>3469</v>
      </c>
      <c r="C48" s="7" t="str">
        <f t="shared" si="1"/>
        <v>🔊</v>
      </c>
      <c r="D48" s="8" t="s">
        <v>3470</v>
      </c>
      <c r="E48" s="6" t="s">
        <v>416</v>
      </c>
      <c r="F48" s="12" t="str">
        <f>IFERROR(__xludf.DUMMYFUNCTION("GOOGLETRANSLATE(B48,""zh_cn"",""vi"")"),"bất tiện")</f>
        <v>bất tiện</v>
      </c>
      <c r="G48" s="20" t="s">
        <v>3471</v>
      </c>
      <c r="I48" s="11" t="b">
        <f t="shared" si="2"/>
        <v>0</v>
      </c>
      <c r="K48" s="11" t="b">
        <f t="shared" si="3"/>
        <v>0</v>
      </c>
    </row>
    <row r="49" ht="22.5" customHeight="1">
      <c r="A49" s="12">
        <f t="shared" si="4"/>
        <v>1047</v>
      </c>
      <c r="B49" s="26" t="s">
        <v>3472</v>
      </c>
      <c r="C49" s="7" t="str">
        <f t="shared" si="1"/>
        <v>🔊</v>
      </c>
      <c r="D49" s="8" t="s">
        <v>3473</v>
      </c>
      <c r="E49" s="6" t="s">
        <v>61</v>
      </c>
      <c r="F49" s="5" t="s">
        <v>3474</v>
      </c>
      <c r="G49" s="20" t="s">
        <v>3475</v>
      </c>
      <c r="I49" s="11" t="b">
        <f t="shared" si="2"/>
        <v>0</v>
      </c>
      <c r="K49" s="11" t="b">
        <f t="shared" si="3"/>
        <v>0</v>
      </c>
    </row>
    <row r="50" ht="22.5" customHeight="1">
      <c r="A50" s="12">
        <f t="shared" si="4"/>
        <v>1048</v>
      </c>
      <c r="B50" s="26" t="s">
        <v>3476</v>
      </c>
      <c r="C50" s="7" t="str">
        <f t="shared" si="1"/>
        <v>🔊</v>
      </c>
      <c r="D50" s="8" t="s">
        <v>3477</v>
      </c>
      <c r="E50" s="6" t="s">
        <v>433</v>
      </c>
      <c r="F50" s="12" t="str">
        <f>IFERROR(__xludf.DUMMYFUNCTION("GOOGLETRANSLATE(B50,""zh_cn"",""vi"")"),"liên tục")</f>
        <v>liên tục</v>
      </c>
      <c r="G50" s="20" t="s">
        <v>3478</v>
      </c>
      <c r="I50" s="11" t="b">
        <f t="shared" si="2"/>
        <v>0</v>
      </c>
      <c r="K50" s="11" t="b">
        <f t="shared" si="3"/>
        <v>0</v>
      </c>
    </row>
    <row r="51" ht="22.5" customHeight="1">
      <c r="A51" s="12">
        <f t="shared" si="4"/>
        <v>1049</v>
      </c>
      <c r="B51" s="26" t="s">
        <v>3479</v>
      </c>
      <c r="C51" s="7" t="str">
        <f t="shared" si="1"/>
        <v>🔊</v>
      </c>
      <c r="D51" s="8" t="s">
        <v>3480</v>
      </c>
      <c r="E51" s="6" t="s">
        <v>27</v>
      </c>
      <c r="F51" s="5" t="s">
        <v>3464</v>
      </c>
      <c r="G51" s="20" t="s">
        <v>3481</v>
      </c>
      <c r="I51" s="11" t="b">
        <f t="shared" si="2"/>
        <v>0</v>
      </c>
      <c r="K51" s="11" t="b">
        <f t="shared" si="3"/>
        <v>0</v>
      </c>
    </row>
    <row r="52" ht="22.5" customHeight="1">
      <c r="A52" s="12">
        <f t="shared" si="4"/>
        <v>1050</v>
      </c>
      <c r="B52" s="26" t="s">
        <v>3482</v>
      </c>
      <c r="C52" s="7" t="str">
        <f t="shared" si="1"/>
        <v>🔊</v>
      </c>
      <c r="D52" s="8" t="s">
        <v>3483</v>
      </c>
      <c r="E52" s="6" t="s">
        <v>433</v>
      </c>
      <c r="F52" s="12" t="str">
        <f>IFERROR(__xludf.DUMMYFUNCTION("GOOGLETRANSLATE(B52,""zh_cn"",""vi"")"),"không đủ")</f>
        <v>không đủ</v>
      </c>
      <c r="G52" s="20" t="s">
        <v>3484</v>
      </c>
      <c r="I52" s="11" t="b">
        <f t="shared" si="2"/>
        <v>0</v>
      </c>
      <c r="K52" s="11" t="b">
        <f t="shared" si="3"/>
        <v>0</v>
      </c>
    </row>
    <row r="53" ht="22.5" customHeight="1">
      <c r="A53" s="12">
        <f t="shared" si="4"/>
        <v>1051</v>
      </c>
      <c r="B53" s="26" t="s">
        <v>3485</v>
      </c>
      <c r="C53" s="7" t="str">
        <f t="shared" si="1"/>
        <v>🔊</v>
      </c>
      <c r="D53" s="8" t="s">
        <v>3486</v>
      </c>
      <c r="E53" s="6" t="s">
        <v>1132</v>
      </c>
      <c r="F53" s="5" t="s">
        <v>3487</v>
      </c>
      <c r="G53" s="20" t="s">
        <v>3488</v>
      </c>
      <c r="I53" s="11" t="b">
        <f t="shared" si="2"/>
        <v>0</v>
      </c>
      <c r="K53" s="11" t="b">
        <f t="shared" si="3"/>
        <v>0</v>
      </c>
    </row>
    <row r="54" ht="22.5" customHeight="1">
      <c r="A54" s="12">
        <f t="shared" si="4"/>
        <v>1052</v>
      </c>
      <c r="B54" s="26" t="s">
        <v>3489</v>
      </c>
      <c r="C54" s="7" t="str">
        <f t="shared" si="1"/>
        <v>🔊</v>
      </c>
      <c r="D54" s="8" t="s">
        <v>3490</v>
      </c>
      <c r="E54" s="6" t="s">
        <v>1203</v>
      </c>
      <c r="F54" s="12" t="str">
        <f>IFERROR(__xludf.DUMMYFUNCTION("GOOGLETRANSLATE(B54,""zh_cn"",""vi"")"),"không chỉ")</f>
        <v>không chỉ</v>
      </c>
      <c r="G54" s="20" t="s">
        <v>3491</v>
      </c>
      <c r="I54" s="11" t="b">
        <f t="shared" si="2"/>
        <v>0</v>
      </c>
      <c r="K54" s="11" t="b">
        <f t="shared" si="3"/>
        <v>0</v>
      </c>
    </row>
    <row r="55" ht="22.5" customHeight="1">
      <c r="A55" s="12">
        <f t="shared" si="4"/>
        <v>1053</v>
      </c>
      <c r="B55" s="26" t="s">
        <v>3492</v>
      </c>
      <c r="C55" s="7" t="str">
        <f t="shared" si="1"/>
        <v>🔊</v>
      </c>
      <c r="D55" s="8" t="s">
        <v>3493</v>
      </c>
      <c r="E55" s="6" t="s">
        <v>1128</v>
      </c>
      <c r="F55" s="5" t="s">
        <v>1133</v>
      </c>
      <c r="G55" s="20" t="s">
        <v>3494</v>
      </c>
      <c r="I55" s="11" t="b">
        <f t="shared" si="2"/>
        <v>0</v>
      </c>
      <c r="K55" s="11" t="b">
        <f t="shared" si="3"/>
        <v>0</v>
      </c>
    </row>
    <row r="56" ht="22.5" customHeight="1">
      <c r="A56" s="12">
        <f t="shared" si="4"/>
        <v>1054</v>
      </c>
      <c r="B56" s="26" t="s">
        <v>3495</v>
      </c>
      <c r="C56" s="7" t="str">
        <f t="shared" si="1"/>
        <v>🔊</v>
      </c>
      <c r="D56" s="8" t="s">
        <v>3496</v>
      </c>
      <c r="E56" s="6" t="s">
        <v>1132</v>
      </c>
      <c r="F56" s="12" t="str">
        <f>IFERROR(__xludf.DUMMYFUNCTION("GOOGLETRANSLATE(B56,""zh_cn"",""vi"")"),"không chỉ")</f>
        <v>không chỉ</v>
      </c>
      <c r="G56" s="20" t="s">
        <v>3497</v>
      </c>
      <c r="I56" s="11" t="b">
        <f t="shared" si="2"/>
        <v>0</v>
      </c>
      <c r="K56" s="11" t="b">
        <f t="shared" si="3"/>
        <v>0</v>
      </c>
    </row>
    <row r="57" ht="22.5" customHeight="1">
      <c r="A57" s="12">
        <f t="shared" si="4"/>
        <v>1055</v>
      </c>
      <c r="B57" s="26" t="s">
        <v>3498</v>
      </c>
      <c r="C57" s="7" t="str">
        <f t="shared" si="1"/>
        <v>🔊</v>
      </c>
      <c r="D57" s="8" t="s">
        <v>3499</v>
      </c>
      <c r="E57" s="6" t="s">
        <v>1132</v>
      </c>
      <c r="F57" s="5" t="s">
        <v>3500</v>
      </c>
      <c r="G57" s="20" t="s">
        <v>3501</v>
      </c>
      <c r="I57" s="11" t="b">
        <f t="shared" si="2"/>
        <v>0</v>
      </c>
      <c r="K57" s="11" t="b">
        <f t="shared" si="3"/>
        <v>0</v>
      </c>
    </row>
    <row r="58" ht="22.5" customHeight="1">
      <c r="A58" s="12">
        <f t="shared" si="4"/>
        <v>1056</v>
      </c>
      <c r="B58" s="26" t="s">
        <v>3502</v>
      </c>
      <c r="C58" s="7" t="str">
        <f t="shared" si="1"/>
        <v>🔊</v>
      </c>
      <c r="D58" s="8" t="s">
        <v>3503</v>
      </c>
      <c r="E58" s="6" t="s">
        <v>99</v>
      </c>
      <c r="F58" s="5" t="s">
        <v>3504</v>
      </c>
      <c r="G58" s="20" t="s">
        <v>3505</v>
      </c>
      <c r="I58" s="11" t="b">
        <f t="shared" si="2"/>
        <v>0</v>
      </c>
      <c r="K58" s="11" t="b">
        <f t="shared" si="3"/>
        <v>0</v>
      </c>
    </row>
    <row r="59" ht="22.5" customHeight="1">
      <c r="A59" s="12">
        <f t="shared" si="4"/>
        <v>1057</v>
      </c>
      <c r="B59" s="26" t="s">
        <v>3506</v>
      </c>
      <c r="C59" s="7" t="str">
        <f t="shared" si="1"/>
        <v>🔊</v>
      </c>
      <c r="D59" s="8" t="s">
        <v>3507</v>
      </c>
      <c r="E59" s="6" t="s">
        <v>27</v>
      </c>
      <c r="F59" s="5" t="s">
        <v>3508</v>
      </c>
      <c r="G59" s="20" t="s">
        <v>3509</v>
      </c>
      <c r="I59" s="11" t="b">
        <f t="shared" si="2"/>
        <v>0</v>
      </c>
      <c r="K59" s="11" t="b">
        <f t="shared" si="3"/>
        <v>0</v>
      </c>
    </row>
    <row r="60" ht="22.5" customHeight="1">
      <c r="A60" s="12">
        <f t="shared" si="4"/>
        <v>1058</v>
      </c>
      <c r="B60" s="26" t="s">
        <v>3510</v>
      </c>
      <c r="C60" s="7" t="str">
        <f t="shared" si="1"/>
        <v>🔊</v>
      </c>
      <c r="D60" s="8" t="s">
        <v>3511</v>
      </c>
      <c r="E60" s="6" t="s">
        <v>13</v>
      </c>
      <c r="F60" s="5" t="s">
        <v>3512</v>
      </c>
      <c r="G60" s="20" t="s">
        <v>3513</v>
      </c>
      <c r="I60" s="11" t="b">
        <f t="shared" si="2"/>
        <v>0</v>
      </c>
      <c r="K60" s="11" t="b">
        <f t="shared" si="3"/>
        <v>0</v>
      </c>
    </row>
    <row r="61" ht="22.5" customHeight="1">
      <c r="A61" s="12">
        <f t="shared" si="4"/>
        <v>1059</v>
      </c>
      <c r="B61" s="26" t="s">
        <v>3514</v>
      </c>
      <c r="C61" s="7" t="str">
        <f t="shared" si="1"/>
        <v>🔊</v>
      </c>
      <c r="D61" s="8" t="s">
        <v>3515</v>
      </c>
      <c r="E61" s="6" t="s">
        <v>13</v>
      </c>
      <c r="F61" s="12" t="str">
        <f>IFERROR(__xludf.DUMMYFUNCTION("GOOGLETRANSLATE(B61,""zh_cn"",""vi"")"),"lau đi")</f>
        <v>lau đi</v>
      </c>
      <c r="G61" s="20" t="s">
        <v>3516</v>
      </c>
      <c r="I61" s="11" t="b">
        <f t="shared" si="2"/>
        <v>0</v>
      </c>
      <c r="K61" s="11" t="b">
        <f t="shared" si="3"/>
        <v>0</v>
      </c>
    </row>
    <row r="62" ht="22.5" customHeight="1">
      <c r="A62" s="12">
        <f t="shared" si="4"/>
        <v>1060</v>
      </c>
      <c r="B62" s="26" t="s">
        <v>3517</v>
      </c>
      <c r="C62" s="7" t="str">
        <f t="shared" si="1"/>
        <v>🔊</v>
      </c>
      <c r="D62" s="8" t="s">
        <v>3518</v>
      </c>
      <c r="E62" s="6" t="s">
        <v>13</v>
      </c>
      <c r="F62" s="12" t="str">
        <f>IFERROR(__xludf.DUMMYFUNCTION("GOOGLETRANSLATE(B62,""zh_cn"",""vi"")"),"Đoán")</f>
        <v>Đoán</v>
      </c>
      <c r="G62" s="20" t="s">
        <v>3519</v>
      </c>
      <c r="I62" s="11" t="b">
        <f t="shared" si="2"/>
        <v>0</v>
      </c>
      <c r="K62" s="11" t="b">
        <f t="shared" si="3"/>
        <v>0</v>
      </c>
    </row>
    <row r="63" ht="22.5" customHeight="1">
      <c r="A63" s="12">
        <f t="shared" si="4"/>
        <v>1061</v>
      </c>
      <c r="B63" s="26" t="s">
        <v>3520</v>
      </c>
      <c r="C63" s="7" t="str">
        <f t="shared" si="1"/>
        <v>🔊</v>
      </c>
      <c r="D63" s="8" t="s">
        <v>3521</v>
      </c>
      <c r="E63" s="6" t="s">
        <v>27</v>
      </c>
      <c r="F63" s="5" t="s">
        <v>3522</v>
      </c>
      <c r="G63" s="20" t="s">
        <v>3523</v>
      </c>
      <c r="I63" s="11" t="b">
        <f t="shared" si="2"/>
        <v>0</v>
      </c>
      <c r="K63" s="11" t="b">
        <f t="shared" si="3"/>
        <v>0</v>
      </c>
    </row>
    <row r="64" ht="22.5" customHeight="1">
      <c r="A64" s="12">
        <f t="shared" si="4"/>
        <v>1062</v>
      </c>
      <c r="B64" s="26" t="s">
        <v>3524</v>
      </c>
      <c r="C64" s="7" t="str">
        <f t="shared" si="1"/>
        <v>🔊</v>
      </c>
      <c r="D64" s="8" t="s">
        <v>3525</v>
      </c>
      <c r="E64" s="6" t="s">
        <v>13</v>
      </c>
      <c r="F64" s="5" t="s">
        <v>3526</v>
      </c>
      <c r="G64" s="20" t="s">
        <v>3527</v>
      </c>
      <c r="I64" s="11" t="b">
        <f t="shared" si="2"/>
        <v>0</v>
      </c>
      <c r="K64" s="11" t="b">
        <f t="shared" si="3"/>
        <v>0</v>
      </c>
    </row>
    <row r="65" ht="22.5" customHeight="1">
      <c r="A65" s="12">
        <f t="shared" si="4"/>
        <v>1063</v>
      </c>
      <c r="B65" s="26" t="s">
        <v>3528</v>
      </c>
      <c r="C65" s="7" t="str">
        <f t="shared" si="1"/>
        <v>🔊</v>
      </c>
      <c r="D65" s="8" t="s">
        <v>3529</v>
      </c>
      <c r="E65" s="6" t="s">
        <v>13</v>
      </c>
      <c r="F65" s="5" t="s">
        <v>3530</v>
      </c>
      <c r="G65" s="20" t="s">
        <v>3531</v>
      </c>
      <c r="I65" s="11" t="b">
        <f t="shared" si="2"/>
        <v>0</v>
      </c>
      <c r="K65" s="11" t="b">
        <f t="shared" si="3"/>
        <v>0</v>
      </c>
    </row>
    <row r="66" ht="22.5" customHeight="1">
      <c r="A66" s="12">
        <f t="shared" si="4"/>
        <v>1064</v>
      </c>
      <c r="B66" s="26" t="s">
        <v>3532</v>
      </c>
      <c r="C66" s="7" t="str">
        <f t="shared" si="1"/>
        <v>🔊</v>
      </c>
      <c r="D66" s="8" t="s">
        <v>3533</v>
      </c>
      <c r="E66" s="6" t="s">
        <v>27</v>
      </c>
      <c r="F66" s="12" t="str">
        <f>IFERROR(__xludf.DUMMYFUNCTION("GOOGLETRANSLATE(B66,""zh_cn"",""vi"")"),"Phòng ăn")</f>
        <v>Phòng ăn</v>
      </c>
      <c r="G66" s="20" t="s">
        <v>3534</v>
      </c>
      <c r="I66" s="11" t="b">
        <f t="shared" si="2"/>
        <v>0</v>
      </c>
      <c r="K66" s="11" t="b">
        <f t="shared" si="3"/>
        <v>0</v>
      </c>
    </row>
    <row r="67" ht="22.5" customHeight="1">
      <c r="A67" s="12">
        <f t="shared" si="4"/>
        <v>1065</v>
      </c>
      <c r="B67" s="26" t="s">
        <v>3535</v>
      </c>
      <c r="C67" s="7" t="str">
        <f t="shared" si="1"/>
        <v>🔊</v>
      </c>
      <c r="D67" s="8" t="s">
        <v>3536</v>
      </c>
      <c r="E67" s="6" t="s">
        <v>27</v>
      </c>
      <c r="F67" s="5" t="s">
        <v>3537</v>
      </c>
      <c r="G67" s="20" t="s">
        <v>3538</v>
      </c>
      <c r="I67" s="11" t="b">
        <f t="shared" si="2"/>
        <v>0</v>
      </c>
      <c r="K67" s="11" t="b">
        <f t="shared" si="3"/>
        <v>0</v>
      </c>
    </row>
    <row r="68" ht="22.5" customHeight="1">
      <c r="A68" s="12">
        <f t="shared" si="4"/>
        <v>1066</v>
      </c>
      <c r="B68" s="26" t="s">
        <v>3539</v>
      </c>
      <c r="C68" s="7" t="str">
        <f t="shared" si="1"/>
        <v>🔊</v>
      </c>
      <c r="D68" s="8" t="s">
        <v>3540</v>
      </c>
      <c r="E68" s="6" t="s">
        <v>27</v>
      </c>
      <c r="F68" s="12" t="str">
        <f>IFERROR(__xludf.DUMMYFUNCTION("GOOGLETRANSLATE(B68,""zh_cn"",""vi"")"),"phòng tắm")</f>
        <v>phòng tắm</v>
      </c>
      <c r="G68" s="20" t="s">
        <v>3541</v>
      </c>
      <c r="I68" s="11" t="b">
        <f t="shared" si="2"/>
        <v>0</v>
      </c>
      <c r="K68" s="11" t="b">
        <f t="shared" si="3"/>
        <v>0</v>
      </c>
    </row>
    <row r="69" ht="22.5" customHeight="1">
      <c r="A69" s="12">
        <f t="shared" si="4"/>
        <v>1067</v>
      </c>
      <c r="B69" s="26" t="s">
        <v>3542</v>
      </c>
      <c r="C69" s="7" t="str">
        <f t="shared" si="1"/>
        <v>🔊</v>
      </c>
      <c r="D69" s="8" t="s">
        <v>3543</v>
      </c>
      <c r="E69" s="6" t="s">
        <v>13</v>
      </c>
      <c r="F69" s="5" t="s">
        <v>3544</v>
      </c>
      <c r="G69" s="20" t="s">
        <v>3545</v>
      </c>
      <c r="I69" s="11" t="b">
        <f t="shared" si="2"/>
        <v>0</v>
      </c>
      <c r="K69" s="11" t="b">
        <f t="shared" si="3"/>
        <v>0</v>
      </c>
    </row>
    <row r="70" ht="22.5" customHeight="1">
      <c r="A70" s="12">
        <f t="shared" si="4"/>
        <v>1068</v>
      </c>
      <c r="B70" s="26" t="s">
        <v>3546</v>
      </c>
      <c r="C70" s="7" t="str">
        <f t="shared" si="1"/>
        <v>🔊</v>
      </c>
      <c r="D70" s="8" t="s">
        <v>3547</v>
      </c>
      <c r="E70" s="6" t="s">
        <v>27</v>
      </c>
      <c r="F70" s="12" t="str">
        <f>IFERROR(__xludf.DUMMYFUNCTION("GOOGLETRANSLATE(B70,""zh_cn"",""vi"")"),"nhà máy")</f>
        <v>nhà máy</v>
      </c>
      <c r="G70" s="20" t="s">
        <v>3548</v>
      </c>
      <c r="I70" s="11" t="b">
        <f t="shared" si="2"/>
        <v>0</v>
      </c>
      <c r="K70" s="11" t="b">
        <f t="shared" si="3"/>
        <v>0</v>
      </c>
    </row>
    <row r="71" ht="22.5" customHeight="1">
      <c r="A71" s="12">
        <f t="shared" si="4"/>
        <v>1069</v>
      </c>
      <c r="B71" s="26" t="s">
        <v>3549</v>
      </c>
      <c r="C71" s="7" t="str">
        <f t="shared" si="1"/>
        <v>🔊</v>
      </c>
      <c r="D71" s="8" t="s">
        <v>3547</v>
      </c>
      <c r="E71" s="6" t="s">
        <v>47</v>
      </c>
      <c r="F71" s="5" t="s">
        <v>3550</v>
      </c>
      <c r="G71" s="20" t="s">
        <v>3551</v>
      </c>
      <c r="I71" s="11" t="b">
        <f t="shared" si="2"/>
        <v>0</v>
      </c>
      <c r="K71" s="11" t="b">
        <f t="shared" si="3"/>
        <v>0</v>
      </c>
    </row>
    <row r="72" ht="22.5" customHeight="1">
      <c r="A72" s="12">
        <f t="shared" si="4"/>
        <v>1070</v>
      </c>
      <c r="B72" s="26" t="s">
        <v>3552</v>
      </c>
      <c r="C72" s="7" t="str">
        <f t="shared" si="1"/>
        <v>🔊</v>
      </c>
      <c r="D72" s="8" t="s">
        <v>3553</v>
      </c>
      <c r="E72" s="6" t="s">
        <v>13</v>
      </c>
      <c r="F72" s="5" t="s">
        <v>3554</v>
      </c>
      <c r="G72" s="20" t="s">
        <v>3555</v>
      </c>
      <c r="I72" s="11" t="b">
        <f t="shared" si="2"/>
        <v>0</v>
      </c>
      <c r="K72" s="11" t="b">
        <f t="shared" si="3"/>
        <v>0</v>
      </c>
    </row>
    <row r="73" ht="22.5" customHeight="1">
      <c r="A73" s="12">
        <f t="shared" si="4"/>
        <v>1071</v>
      </c>
      <c r="B73" s="26" t="s">
        <v>3556</v>
      </c>
      <c r="C73" s="7" t="str">
        <f t="shared" si="1"/>
        <v>🔊</v>
      </c>
      <c r="D73" s="8" t="s">
        <v>3557</v>
      </c>
      <c r="E73" s="6" t="s">
        <v>13</v>
      </c>
      <c r="F73" s="5" t="s">
        <v>3558</v>
      </c>
      <c r="G73" s="20" t="s">
        <v>3559</v>
      </c>
      <c r="I73" s="11" t="b">
        <f t="shared" si="2"/>
        <v>0</v>
      </c>
      <c r="K73" s="11" t="b">
        <f t="shared" si="3"/>
        <v>0</v>
      </c>
    </row>
    <row r="74" ht="22.5" customHeight="1">
      <c r="A74" s="12">
        <f t="shared" si="4"/>
        <v>1072</v>
      </c>
      <c r="B74" s="26" t="s">
        <v>3560</v>
      </c>
      <c r="C74" s="7" t="str">
        <f t="shared" si="1"/>
        <v>🔊</v>
      </c>
      <c r="D74" s="8" t="s">
        <v>3561</v>
      </c>
      <c r="E74" s="6" t="s">
        <v>27</v>
      </c>
      <c r="F74" s="5" t="s">
        <v>3562</v>
      </c>
      <c r="G74" s="20" t="s">
        <v>3563</v>
      </c>
      <c r="I74" s="11" t="b">
        <f t="shared" si="2"/>
        <v>0</v>
      </c>
      <c r="K74" s="11" t="b">
        <f t="shared" si="3"/>
        <v>0</v>
      </c>
    </row>
    <row r="75" ht="22.5" customHeight="1">
      <c r="A75" s="12">
        <f t="shared" si="4"/>
        <v>1073</v>
      </c>
      <c r="B75" s="26" t="s">
        <v>3564</v>
      </c>
      <c r="C75" s="7" t="str">
        <f t="shared" si="1"/>
        <v>🔊</v>
      </c>
      <c r="D75" s="8" t="s">
        <v>3565</v>
      </c>
      <c r="E75" s="6" t="s">
        <v>1308</v>
      </c>
      <c r="F75" s="5" t="s">
        <v>3566</v>
      </c>
      <c r="G75" s="20" t="s">
        <v>3567</v>
      </c>
      <c r="I75" s="11" t="b">
        <f t="shared" si="2"/>
        <v>0</v>
      </c>
      <c r="K75" s="11" t="b">
        <f t="shared" si="3"/>
        <v>0</v>
      </c>
    </row>
    <row r="76" ht="22.5" customHeight="1">
      <c r="A76" s="12">
        <f t="shared" si="4"/>
        <v>1074</v>
      </c>
      <c r="B76" s="26" t="s">
        <v>3568</v>
      </c>
      <c r="C76" s="7" t="str">
        <f t="shared" si="1"/>
        <v>🔊</v>
      </c>
      <c r="D76" s="8" t="s">
        <v>3569</v>
      </c>
      <c r="E76" s="6" t="s">
        <v>13</v>
      </c>
      <c r="F76" s="12" t="str">
        <f>IFERROR(__xludf.DUMMYFUNCTION("GOOGLETRANSLATE(B76,""zh_cn"",""vi"")"),"Tìm kiếm")</f>
        <v>Tìm kiếm</v>
      </c>
      <c r="G76" s="20" t="s">
        <v>3570</v>
      </c>
      <c r="I76" s="11" t="b">
        <f t="shared" si="2"/>
        <v>0</v>
      </c>
      <c r="K76" s="11" t="b">
        <f t="shared" si="3"/>
        <v>0</v>
      </c>
    </row>
    <row r="77" ht="22.5" customHeight="1">
      <c r="A77" s="12">
        <f t="shared" si="4"/>
        <v>1075</v>
      </c>
      <c r="B77" s="26" t="s">
        <v>3571</v>
      </c>
      <c r="C77" s="7" t="str">
        <f t="shared" si="1"/>
        <v>🔊</v>
      </c>
      <c r="D77" s="8" t="s">
        <v>3572</v>
      </c>
      <c r="E77" s="6" t="s">
        <v>27</v>
      </c>
      <c r="F77" s="12" t="str">
        <f>IFERROR(__xludf.DUMMYFUNCTION("GOOGLETRANSLATE(B77,""zh_cn"",""vi"")"),"thành phố")</f>
        <v>thành phố</v>
      </c>
      <c r="G77" s="20" t="s">
        <v>3573</v>
      </c>
      <c r="I77" s="11" t="b">
        <f t="shared" si="2"/>
        <v>0</v>
      </c>
      <c r="K77" s="11" t="b">
        <f t="shared" si="3"/>
        <v>0</v>
      </c>
    </row>
    <row r="78" ht="22.5" customHeight="1">
      <c r="A78" s="12">
        <f t="shared" si="4"/>
        <v>1076</v>
      </c>
      <c r="B78" s="26" t="s">
        <v>3574</v>
      </c>
      <c r="C78" s="7" t="str">
        <f t="shared" si="1"/>
        <v>🔊</v>
      </c>
      <c r="D78" s="8" t="s">
        <v>3572</v>
      </c>
      <c r="E78" s="6" t="s">
        <v>13</v>
      </c>
      <c r="F78" s="5" t="s">
        <v>3575</v>
      </c>
      <c r="G78" s="20" t="s">
        <v>3576</v>
      </c>
      <c r="I78" s="11" t="b">
        <f t="shared" si="2"/>
        <v>0</v>
      </c>
      <c r="K78" s="11" t="b">
        <f t="shared" si="3"/>
        <v>0</v>
      </c>
    </row>
    <row r="79" ht="22.5" customHeight="1">
      <c r="A79" s="12">
        <f t="shared" si="4"/>
        <v>1077</v>
      </c>
      <c r="B79" s="26" t="s">
        <v>3577</v>
      </c>
      <c r="C79" s="7" t="str">
        <f t="shared" si="1"/>
        <v>🔊</v>
      </c>
      <c r="D79" s="8" t="s">
        <v>3578</v>
      </c>
      <c r="E79" s="6" t="s">
        <v>368</v>
      </c>
      <c r="F79" s="12" t="str">
        <f>IFERROR(__xludf.DUMMYFUNCTION("GOOGLETRANSLATE(B79,""zh_cn"",""vi"")"),"thành công")</f>
        <v>thành công</v>
      </c>
      <c r="G79" s="20" t="s">
        <v>3579</v>
      </c>
      <c r="I79" s="11" t="b">
        <f t="shared" si="2"/>
        <v>0</v>
      </c>
      <c r="K79" s="11" t="b">
        <f t="shared" si="3"/>
        <v>0</v>
      </c>
    </row>
    <row r="80" ht="22.5" customHeight="1">
      <c r="A80" s="12">
        <f t="shared" si="4"/>
        <v>1078</v>
      </c>
      <c r="B80" s="26" t="s">
        <v>3580</v>
      </c>
      <c r="C80" s="7" t="str">
        <f t="shared" si="1"/>
        <v>🔊</v>
      </c>
      <c r="D80" s="8" t="s">
        <v>3581</v>
      </c>
      <c r="E80" s="6" t="s">
        <v>27</v>
      </c>
      <c r="F80" s="12" t="str">
        <f>IFERROR(__xludf.DUMMYFUNCTION("GOOGLETRANSLATE(B80,""zh_cn"",""vi"")"),"hành khách")</f>
        <v>hành khách</v>
      </c>
      <c r="G80" s="20" t="s">
        <v>3582</v>
      </c>
      <c r="I80" s="11" t="b">
        <f t="shared" si="2"/>
        <v>0</v>
      </c>
      <c r="K80" s="11" t="b">
        <f t="shared" si="3"/>
        <v>0</v>
      </c>
    </row>
    <row r="81" ht="22.5" customHeight="1">
      <c r="A81" s="12">
        <f t="shared" si="4"/>
        <v>1079</v>
      </c>
      <c r="B81" s="26" t="s">
        <v>3583</v>
      </c>
      <c r="C81" s="7" t="str">
        <f t="shared" si="1"/>
        <v>🔊</v>
      </c>
      <c r="D81" s="8" t="s">
        <v>3584</v>
      </c>
      <c r="E81" s="6" t="s">
        <v>99</v>
      </c>
      <c r="F81" s="12" t="str">
        <f>IFERROR(__xludf.DUMMYFUNCTION("GOOGLETRANSLATE(B81,""zh_cn"",""vi"")"),"trung thực")</f>
        <v>trung thực</v>
      </c>
      <c r="G81" s="20" t="s">
        <v>3585</v>
      </c>
      <c r="I81" s="11" t="b">
        <f t="shared" si="2"/>
        <v>0</v>
      </c>
      <c r="K81" s="11" t="b">
        <f t="shared" si="3"/>
        <v>0</v>
      </c>
    </row>
    <row r="82" ht="22.5" customHeight="1">
      <c r="A82" s="12">
        <f t="shared" si="4"/>
        <v>1080</v>
      </c>
      <c r="B82" s="26" t="s">
        <v>3586</v>
      </c>
      <c r="C82" s="7" t="str">
        <f t="shared" si="1"/>
        <v>🔊</v>
      </c>
      <c r="D82" s="8" t="s">
        <v>3587</v>
      </c>
      <c r="E82" s="6" t="s">
        <v>13</v>
      </c>
      <c r="F82" s="12" t="str">
        <f>IFERROR(__xludf.DUMMYFUNCTION("GOOGLETRANSLATE(B82,""zh_cn"",""vi"")"),"trở nên")</f>
        <v>trở nên</v>
      </c>
      <c r="G82" s="20" t="s">
        <v>3588</v>
      </c>
      <c r="I82" s="11" t="b">
        <f t="shared" si="2"/>
        <v>0</v>
      </c>
      <c r="K82" s="11" t="b">
        <f t="shared" si="3"/>
        <v>0</v>
      </c>
    </row>
    <row r="83" ht="22.5" customHeight="1">
      <c r="A83" s="12">
        <f t="shared" si="4"/>
        <v>1081</v>
      </c>
      <c r="B83" s="26" t="s">
        <v>3589</v>
      </c>
      <c r="C83" s="7" t="str">
        <f t="shared" si="1"/>
        <v>🔊</v>
      </c>
      <c r="D83" s="8" t="s">
        <v>3590</v>
      </c>
      <c r="E83" s="6" t="s">
        <v>13</v>
      </c>
      <c r="F83" s="5" t="s">
        <v>3591</v>
      </c>
      <c r="G83" s="20" t="s">
        <v>3592</v>
      </c>
      <c r="I83" s="11" t="b">
        <f t="shared" si="2"/>
        <v>0</v>
      </c>
      <c r="K83" s="11" t="b">
        <f t="shared" si="3"/>
        <v>0</v>
      </c>
    </row>
    <row r="84" ht="22.5" customHeight="1">
      <c r="A84" s="12">
        <f t="shared" si="4"/>
        <v>1082</v>
      </c>
      <c r="B84" s="26" t="s">
        <v>3593</v>
      </c>
      <c r="C84" s="7" t="str">
        <f t="shared" si="1"/>
        <v>🔊</v>
      </c>
      <c r="D84" s="8" t="s">
        <v>3594</v>
      </c>
      <c r="E84" s="6" t="s">
        <v>27</v>
      </c>
      <c r="F84" s="12" t="str">
        <f>IFERROR(__xludf.DUMMYFUNCTION("GOOGLETRANSLATE(B84,""zh_cn"",""vi"")"),"Tốc độ")</f>
        <v>Tốc độ</v>
      </c>
      <c r="G84" s="20" t="s">
        <v>3595</v>
      </c>
      <c r="I84" s="11" t="b">
        <f t="shared" si="2"/>
        <v>0</v>
      </c>
      <c r="K84" s="11" t="b">
        <f t="shared" si="3"/>
        <v>0</v>
      </c>
    </row>
    <row r="85" ht="22.5" customHeight="1">
      <c r="A85" s="12">
        <f t="shared" si="4"/>
        <v>1083</v>
      </c>
      <c r="B85" s="26" t="s">
        <v>3596</v>
      </c>
      <c r="C85" s="7" t="str">
        <f t="shared" si="1"/>
        <v>🔊</v>
      </c>
      <c r="D85" s="8" t="s">
        <v>3597</v>
      </c>
      <c r="E85" s="6" t="s">
        <v>27</v>
      </c>
      <c r="F85" s="12" t="str">
        <f>IFERROR(__xludf.DUMMYFUNCTION("GOOGLETRANSLATE(B85,""zh_cn"",""vi"")"),"chỗ đậu xe")</f>
        <v>chỗ đậu xe</v>
      </c>
      <c r="G85" s="20" t="s">
        <v>3598</v>
      </c>
      <c r="I85" s="11" t="b">
        <f t="shared" si="2"/>
        <v>0</v>
      </c>
      <c r="K85" s="11" t="b">
        <f t="shared" si="3"/>
        <v>0</v>
      </c>
    </row>
    <row r="86" ht="22.5" customHeight="1">
      <c r="A86" s="12">
        <f t="shared" si="4"/>
        <v>1084</v>
      </c>
      <c r="B86" s="26" t="s">
        <v>3599</v>
      </c>
      <c r="C86" s="7" t="str">
        <f t="shared" si="1"/>
        <v>🔊</v>
      </c>
      <c r="D86" s="8" t="s">
        <v>3600</v>
      </c>
      <c r="E86" s="6" t="s">
        <v>99</v>
      </c>
      <c r="F86" s="12" t="str">
        <f>IFERROR(__xludf.DUMMYFUNCTION("GOOGLETRANSLATE(B86,""zh_cn"",""vi"")"),"Muộn")</f>
        <v>Muộn</v>
      </c>
      <c r="G86" s="20" t="s">
        <v>3601</v>
      </c>
      <c r="I86" s="11" t="b">
        <f t="shared" si="2"/>
        <v>0</v>
      </c>
      <c r="K86" s="11" t="b">
        <f t="shared" si="3"/>
        <v>0</v>
      </c>
    </row>
    <row r="87" ht="22.5" customHeight="1">
      <c r="A87" s="12">
        <f t="shared" si="4"/>
        <v>1085</v>
      </c>
      <c r="B87" s="26" t="s">
        <v>3602</v>
      </c>
      <c r="C87" s="7" t="str">
        <f t="shared" si="1"/>
        <v>🔊</v>
      </c>
      <c r="D87" s="8" t="s">
        <v>3603</v>
      </c>
      <c r="E87" s="6" t="s">
        <v>13</v>
      </c>
      <c r="F87" s="5" t="s">
        <v>3604</v>
      </c>
      <c r="G87" s="20" t="s">
        <v>3605</v>
      </c>
      <c r="I87" s="11" t="b">
        <f t="shared" si="2"/>
        <v>0</v>
      </c>
      <c r="K87" s="11" t="b">
        <f t="shared" si="3"/>
        <v>0</v>
      </c>
    </row>
    <row r="88" ht="22.5" customHeight="1">
      <c r="A88" s="12">
        <f t="shared" si="4"/>
        <v>1086</v>
      </c>
      <c r="B88" s="26" t="s">
        <v>3606</v>
      </c>
      <c r="C88" s="7" t="str">
        <f t="shared" si="1"/>
        <v>🔊</v>
      </c>
      <c r="D88" s="8" t="s">
        <v>3607</v>
      </c>
      <c r="E88" s="6" t="s">
        <v>2862</v>
      </c>
      <c r="F88" s="5" t="s">
        <v>3608</v>
      </c>
      <c r="G88" s="20" t="s">
        <v>3609</v>
      </c>
      <c r="I88" s="11" t="b">
        <f t="shared" si="2"/>
        <v>0</v>
      </c>
      <c r="K88" s="11" t="b">
        <f t="shared" si="3"/>
        <v>0</v>
      </c>
    </row>
    <row r="89" ht="22.5" customHeight="1">
      <c r="A89" s="12">
        <f t="shared" si="4"/>
        <v>1087</v>
      </c>
      <c r="B89" s="26" t="s">
        <v>3610</v>
      </c>
      <c r="C89" s="7" t="str">
        <f t="shared" si="1"/>
        <v>🔊</v>
      </c>
      <c r="D89" s="8" t="s">
        <v>3611</v>
      </c>
      <c r="E89" s="6" t="s">
        <v>61</v>
      </c>
      <c r="F89" s="5" t="s">
        <v>3612</v>
      </c>
      <c r="G89" s="20" t="s">
        <v>3613</v>
      </c>
      <c r="I89" s="11" t="b">
        <f t="shared" si="2"/>
        <v>0</v>
      </c>
      <c r="K89" s="11" t="b">
        <f t="shared" si="3"/>
        <v>0</v>
      </c>
    </row>
    <row r="90" ht="22.5" customHeight="1">
      <c r="A90" s="12">
        <f t="shared" si="4"/>
        <v>1088</v>
      </c>
      <c r="B90" s="26" t="s">
        <v>3614</v>
      </c>
      <c r="C90" s="7" t="str">
        <f t="shared" si="1"/>
        <v>🔊</v>
      </c>
      <c r="D90" s="8" t="s">
        <v>3615</v>
      </c>
      <c r="E90" s="6" t="s">
        <v>27</v>
      </c>
      <c r="F90" s="12" t="str">
        <f>IFERROR(__xludf.DUMMYFUNCTION("GOOGLETRANSLATE(B90,""zh_cn"",""vi"")"),"cửa sổ")</f>
        <v>cửa sổ</v>
      </c>
      <c r="G90" s="20" t="s">
        <v>3616</v>
      </c>
      <c r="I90" s="11" t="b">
        <f t="shared" si="2"/>
        <v>0</v>
      </c>
      <c r="K90" s="11" t="b">
        <f t="shared" si="3"/>
        <v>0</v>
      </c>
    </row>
    <row r="91" ht="22.5" customHeight="1">
      <c r="A91" s="12">
        <f t="shared" si="4"/>
        <v>1089</v>
      </c>
      <c r="B91" s="26" t="s">
        <v>3617</v>
      </c>
      <c r="C91" s="7" t="str">
        <f t="shared" si="1"/>
        <v>🔊</v>
      </c>
      <c r="D91" s="8" t="s">
        <v>3618</v>
      </c>
      <c r="E91" s="6" t="s">
        <v>27</v>
      </c>
      <c r="F91" s="12" t="str">
        <f>IFERROR(__xludf.DUMMYFUNCTION("GOOGLETRANSLATE(B91,""zh_cn"",""vi"")"),"cửa sổ")</f>
        <v>cửa sổ</v>
      </c>
      <c r="G91" s="20" t="s">
        <v>3619</v>
      </c>
      <c r="I91" s="11" t="b">
        <f t="shared" si="2"/>
        <v>0</v>
      </c>
      <c r="K91" s="11" t="b">
        <f t="shared" si="3"/>
        <v>0</v>
      </c>
    </row>
    <row r="92" ht="22.5" customHeight="1">
      <c r="A92" s="12">
        <f t="shared" si="4"/>
        <v>1090</v>
      </c>
      <c r="B92" s="26" t="s">
        <v>3620</v>
      </c>
      <c r="C92" s="7" t="str">
        <f t="shared" si="1"/>
        <v>🔊</v>
      </c>
      <c r="D92" s="8" t="s">
        <v>3621</v>
      </c>
      <c r="E92" s="6" t="s">
        <v>13</v>
      </c>
      <c r="F92" s="5" t="s">
        <v>3622</v>
      </c>
      <c r="G92" s="20" t="s">
        <v>3623</v>
      </c>
      <c r="I92" s="11" t="b">
        <f t="shared" si="2"/>
        <v>0</v>
      </c>
      <c r="K92" s="11" t="b">
        <f t="shared" si="3"/>
        <v>0</v>
      </c>
    </row>
    <row r="93" ht="22.5" customHeight="1">
      <c r="A93" s="12">
        <f t="shared" si="4"/>
        <v>1091</v>
      </c>
      <c r="B93" s="26" t="s">
        <v>3624</v>
      </c>
      <c r="C93" s="7" t="str">
        <f t="shared" si="1"/>
        <v>🔊</v>
      </c>
      <c r="D93" s="8" t="s">
        <v>3625</v>
      </c>
      <c r="E93" s="6" t="s">
        <v>27</v>
      </c>
      <c r="F93" s="12" t="str">
        <f>IFERROR(__xludf.DUMMYFUNCTION("GOOGLETRANSLATE(B93,""zh_cn"",""vi"")"),"phòng bếp")</f>
        <v>phòng bếp</v>
      </c>
      <c r="G93" s="20" t="s">
        <v>3626</v>
      </c>
      <c r="I93" s="11" t="b">
        <f t="shared" si="2"/>
        <v>0</v>
      </c>
      <c r="K93" s="11" t="b">
        <f t="shared" si="3"/>
        <v>0</v>
      </c>
    </row>
    <row r="94" ht="22.5" customHeight="1">
      <c r="A94" s="12">
        <f t="shared" si="4"/>
        <v>1092</v>
      </c>
      <c r="B94" s="26" t="s">
        <v>3627</v>
      </c>
      <c r="C94" s="7" t="str">
        <f t="shared" si="1"/>
        <v>🔊</v>
      </c>
      <c r="D94" s="8" t="s">
        <v>3628</v>
      </c>
      <c r="E94" s="6" t="s">
        <v>13</v>
      </c>
      <c r="F94" s="12" t="str">
        <f>IFERROR(__xludf.DUMMYFUNCTION("GOOGLETRANSLATE(B94,""zh_cn"",""vi"")"),"thổi")</f>
        <v>thổi</v>
      </c>
      <c r="G94" s="20" t="s">
        <v>3629</v>
      </c>
      <c r="I94" s="11" t="b">
        <f t="shared" si="2"/>
        <v>0</v>
      </c>
      <c r="K94" s="11" t="b">
        <f t="shared" si="3"/>
        <v>0</v>
      </c>
    </row>
    <row r="95" ht="22.5" customHeight="1">
      <c r="A95" s="12">
        <f t="shared" si="4"/>
        <v>1093</v>
      </c>
      <c r="B95" s="26" t="s">
        <v>3630</v>
      </c>
      <c r="C95" s="7" t="str">
        <f t="shared" si="1"/>
        <v>🔊</v>
      </c>
      <c r="D95" s="8" t="s">
        <v>3631</v>
      </c>
      <c r="E95" s="6" t="s">
        <v>1813</v>
      </c>
      <c r="F95" s="5" t="s">
        <v>3632</v>
      </c>
      <c r="G95" s="20" t="s">
        <v>3633</v>
      </c>
      <c r="I95" s="11" t="b">
        <f t="shared" si="2"/>
        <v>0</v>
      </c>
      <c r="K95" s="11" t="b">
        <f t="shared" si="3"/>
        <v>0</v>
      </c>
    </row>
    <row r="96" ht="22.5" customHeight="1">
      <c r="A96" s="12">
        <f t="shared" si="4"/>
        <v>1094</v>
      </c>
      <c r="B96" s="26" t="s">
        <v>3634</v>
      </c>
      <c r="C96" s="7" t="str">
        <f t="shared" si="1"/>
        <v>🔊</v>
      </c>
      <c r="D96" s="8" t="s">
        <v>3635</v>
      </c>
      <c r="E96" s="6" t="s">
        <v>27</v>
      </c>
      <c r="F96" s="12" t="str">
        <f>IFERROR(__xludf.DUMMYFUNCTION("GOOGLETRANSLATE(B96,""zh_cn"",""vi"")"),"đầu bếp")</f>
        <v>đầu bếp</v>
      </c>
      <c r="G96" s="20" t="s">
        <v>3636</v>
      </c>
      <c r="I96" s="11" t="b">
        <f t="shared" si="2"/>
        <v>0</v>
      </c>
      <c r="K96" s="11" t="b">
        <f t="shared" si="3"/>
        <v>0</v>
      </c>
    </row>
    <row r="97" ht="22.5" customHeight="1">
      <c r="A97" s="12">
        <f t="shared" si="4"/>
        <v>1095</v>
      </c>
      <c r="B97" s="26" t="s">
        <v>3637</v>
      </c>
      <c r="C97" s="7" t="str">
        <f t="shared" si="1"/>
        <v>🔊</v>
      </c>
      <c r="D97" s="8" t="s">
        <v>3638</v>
      </c>
      <c r="E97" s="6" t="s">
        <v>13</v>
      </c>
      <c r="F97" s="12" t="str">
        <f>IFERROR(__xludf.DUMMYFUNCTION("GOOGLETRANSLATE(B97,""zh_cn"",""vi"")"),"Xuất hiện")</f>
        <v>Xuất hiện</v>
      </c>
      <c r="G97" s="20" t="s">
        <v>3639</v>
      </c>
      <c r="I97" s="11" t="b">
        <f t="shared" si="2"/>
        <v>0</v>
      </c>
      <c r="K97" s="11" t="b">
        <f t="shared" si="3"/>
        <v>0</v>
      </c>
    </row>
    <row r="98" ht="22.5" customHeight="1">
      <c r="A98" s="12">
        <f t="shared" si="4"/>
        <v>1096</v>
      </c>
      <c r="B98" s="26" t="s">
        <v>3640</v>
      </c>
      <c r="C98" s="7" t="str">
        <f t="shared" si="1"/>
        <v>🔊</v>
      </c>
      <c r="D98" s="8" t="s">
        <v>3641</v>
      </c>
      <c r="E98" s="6" t="s">
        <v>13</v>
      </c>
      <c r="F98" s="5" t="s">
        <v>3642</v>
      </c>
      <c r="G98" s="20" t="s">
        <v>3643</v>
      </c>
      <c r="I98" s="11" t="b">
        <f t="shared" si="2"/>
        <v>0</v>
      </c>
      <c r="K98" s="11" t="b">
        <f t="shared" si="3"/>
        <v>0</v>
      </c>
    </row>
    <row r="99" ht="22.5" customHeight="1">
      <c r="A99" s="12">
        <f t="shared" si="4"/>
        <v>1097</v>
      </c>
      <c r="B99" s="26" t="s">
        <v>3644</v>
      </c>
      <c r="C99" s="7" t="str">
        <f t="shared" si="1"/>
        <v>🔊</v>
      </c>
      <c r="D99" s="8" t="s">
        <v>3645</v>
      </c>
      <c r="E99" s="6" t="s">
        <v>13</v>
      </c>
      <c r="F99" s="12" t="str">
        <f>IFERROR(__xludf.DUMMYFUNCTION("GOOGLETRANSLATE(B99,""zh_cn"",""vi"")"),"thuê")</f>
        <v>thuê</v>
      </c>
      <c r="G99" s="20" t="s">
        <v>3646</v>
      </c>
      <c r="I99" s="11" t="b">
        <f t="shared" si="2"/>
        <v>0</v>
      </c>
      <c r="K99" s="11" t="b">
        <f t="shared" si="3"/>
        <v>0</v>
      </c>
    </row>
    <row r="100" ht="22.5" customHeight="1">
      <c r="A100" s="12">
        <f t="shared" si="4"/>
        <v>1098</v>
      </c>
      <c r="B100" s="26" t="s">
        <v>3647</v>
      </c>
      <c r="C100" s="7" t="str">
        <f t="shared" si="1"/>
        <v>🔊</v>
      </c>
      <c r="D100" s="8" t="s">
        <v>3648</v>
      </c>
      <c r="E100" s="6" t="s">
        <v>106</v>
      </c>
      <c r="F100" s="5" t="s">
        <v>3649</v>
      </c>
      <c r="G100" s="20" t="s">
        <v>3650</v>
      </c>
      <c r="I100" s="11" t="b">
        <f t="shared" si="2"/>
        <v>0</v>
      </c>
      <c r="K100" s="11" t="b">
        <f t="shared" si="3"/>
        <v>0</v>
      </c>
    </row>
    <row r="101" ht="22.5" customHeight="1">
      <c r="A101" s="12">
        <f t="shared" si="4"/>
        <v>1099</v>
      </c>
      <c r="B101" s="26" t="s">
        <v>3651</v>
      </c>
      <c r="C101" s="7" t="str">
        <f t="shared" si="1"/>
        <v>🔊</v>
      </c>
      <c r="D101" s="8" t="s">
        <v>3652</v>
      </c>
      <c r="E101" s="14"/>
      <c r="F101" s="12" t="str">
        <f>IFERROR(__xludf.DUMMYFUNCTION("GOOGLETRANSLATE(B101,""zh_cn"",""vi"")"),"Lần này")</f>
        <v>Lần này</v>
      </c>
      <c r="G101" s="20" t="s">
        <v>3653</v>
      </c>
      <c r="I101" s="11" t="b">
        <f t="shared" si="2"/>
        <v>0</v>
      </c>
      <c r="K101" s="11" t="b">
        <f t="shared" si="3"/>
        <v>0</v>
      </c>
    </row>
    <row r="102" ht="22.5" customHeight="1">
      <c r="A102" s="12">
        <f t="shared" si="4"/>
        <v>1100</v>
      </c>
      <c r="B102" s="26" t="s">
        <v>3654</v>
      </c>
      <c r="C102" s="7" t="str">
        <f t="shared" si="1"/>
        <v>🔊</v>
      </c>
      <c r="D102" s="8" t="s">
        <v>3655</v>
      </c>
      <c r="E102" s="6" t="s">
        <v>1132</v>
      </c>
      <c r="F102" s="5" t="s">
        <v>3117</v>
      </c>
      <c r="G102" s="20" t="s">
        <v>3656</v>
      </c>
      <c r="I102" s="11" t="b">
        <f t="shared" si="2"/>
        <v>0</v>
      </c>
      <c r="K102" s="11" t="b">
        <f t="shared" si="3"/>
        <v>0</v>
      </c>
    </row>
    <row r="103" ht="22.5" customHeight="1">
      <c r="A103" s="12">
        <f t="shared" si="4"/>
        <v>1101</v>
      </c>
      <c r="B103" s="26" t="s">
        <v>3657</v>
      </c>
      <c r="C103" s="7" t="str">
        <f t="shared" si="1"/>
        <v>🔊</v>
      </c>
      <c r="D103" s="8" t="s">
        <v>3658</v>
      </c>
      <c r="E103" s="6" t="s">
        <v>27</v>
      </c>
      <c r="F103" s="12" t="str">
        <f>IFERROR(__xludf.DUMMYFUNCTION("GOOGLETRANSLATE(B103,""zh_cn"",""vi"")"),"từ")</f>
        <v>từ</v>
      </c>
      <c r="G103" s="20" t="s">
        <v>3659</v>
      </c>
      <c r="I103" s="11" t="b">
        <f t="shared" si="2"/>
        <v>0</v>
      </c>
      <c r="K103" s="11" t="b">
        <f t="shared" si="3"/>
        <v>0</v>
      </c>
    </row>
    <row r="104" ht="22.5" customHeight="1">
      <c r="A104" s="12">
        <f t="shared" si="4"/>
        <v>1102</v>
      </c>
      <c r="B104" s="26" t="s">
        <v>3660</v>
      </c>
      <c r="C104" s="7" t="str">
        <f t="shared" si="1"/>
        <v>🔊</v>
      </c>
      <c r="D104" s="8" t="s">
        <v>3661</v>
      </c>
      <c r="E104" s="6" t="s">
        <v>61</v>
      </c>
      <c r="F104" s="12" t="str">
        <f>IFERROR(__xludf.DUMMYFUNCTION("GOOGLETRANSLATE(B104,""zh_cn"",""vi"")"),"Từ đó trở đi")</f>
        <v>Từ đó trở đi</v>
      </c>
      <c r="G104" s="20" t="s">
        <v>3662</v>
      </c>
      <c r="I104" s="11" t="b">
        <f t="shared" si="2"/>
        <v>0</v>
      </c>
      <c r="K104" s="11" t="b">
        <f t="shared" si="3"/>
        <v>0</v>
      </c>
    </row>
    <row r="105" ht="22.5" customHeight="1">
      <c r="A105" s="12">
        <f t="shared" si="4"/>
        <v>1103</v>
      </c>
      <c r="B105" s="26" t="s">
        <v>3663</v>
      </c>
      <c r="C105" s="7" t="str">
        <f t="shared" si="1"/>
        <v>🔊</v>
      </c>
      <c r="D105" s="8" t="s">
        <v>3664</v>
      </c>
      <c r="E105" s="6" t="s">
        <v>61</v>
      </c>
      <c r="F105" s="12" t="str">
        <f>IFERROR(__xludf.DUMMYFUNCTION("GOOGLETRANSLATE(B105,""zh_cn"",""vi"")"),"Không bao giờ")</f>
        <v>Không bao giờ</v>
      </c>
      <c r="G105" s="20" t="s">
        <v>3665</v>
      </c>
      <c r="I105" s="11" t="b">
        <f t="shared" si="2"/>
        <v>0</v>
      </c>
      <c r="K105" s="11" t="b">
        <f t="shared" si="3"/>
        <v>0</v>
      </c>
    </row>
    <row r="106" ht="22.5" customHeight="1">
      <c r="A106" s="12">
        <f t="shared" si="4"/>
        <v>1104</v>
      </c>
      <c r="B106" s="26" t="s">
        <v>3666</v>
      </c>
      <c r="C106" s="7" t="str">
        <f t="shared" si="1"/>
        <v>🔊</v>
      </c>
      <c r="D106" s="8" t="s">
        <v>3667</v>
      </c>
      <c r="E106" s="6" t="s">
        <v>61</v>
      </c>
      <c r="F106" s="5" t="s">
        <v>3668</v>
      </c>
      <c r="G106" s="20" t="s">
        <v>3669</v>
      </c>
      <c r="I106" s="11" t="b">
        <f t="shared" si="2"/>
        <v>0</v>
      </c>
      <c r="K106" s="11" t="b">
        <f t="shared" si="3"/>
        <v>0</v>
      </c>
    </row>
    <row r="107" ht="22.5" customHeight="1">
      <c r="A107" s="12">
        <f t="shared" si="4"/>
        <v>1105</v>
      </c>
      <c r="B107" s="26" t="s">
        <v>3670</v>
      </c>
      <c r="C107" s="7" t="str">
        <f t="shared" si="1"/>
        <v>🔊</v>
      </c>
      <c r="D107" s="8" t="s">
        <v>3671</v>
      </c>
      <c r="E107" s="6" t="s">
        <v>99</v>
      </c>
      <c r="F107" s="5" t="s">
        <v>3672</v>
      </c>
      <c r="G107" s="20" t="s">
        <v>3673</v>
      </c>
      <c r="I107" s="11" t="b">
        <f t="shared" si="2"/>
        <v>0</v>
      </c>
      <c r="K107" s="11" t="b">
        <f t="shared" si="3"/>
        <v>0</v>
      </c>
    </row>
    <row r="108" ht="22.5" customHeight="1">
      <c r="A108" s="12">
        <f t="shared" si="4"/>
        <v>1106</v>
      </c>
      <c r="B108" s="26" t="s">
        <v>3674</v>
      </c>
      <c r="C108" s="7" t="str">
        <f t="shared" si="1"/>
        <v>🔊</v>
      </c>
      <c r="D108" s="8" t="s">
        <v>3675</v>
      </c>
      <c r="E108" s="6" t="s">
        <v>13</v>
      </c>
      <c r="F108" s="5" t="s">
        <v>3676</v>
      </c>
      <c r="G108" s="20" t="s">
        <v>3677</v>
      </c>
      <c r="I108" s="11" t="b">
        <f t="shared" si="2"/>
        <v>0</v>
      </c>
      <c r="K108" s="11" t="b">
        <f t="shared" si="3"/>
        <v>0</v>
      </c>
    </row>
    <row r="109" ht="22.5" customHeight="1">
      <c r="A109" s="12">
        <f t="shared" si="4"/>
        <v>1107</v>
      </c>
      <c r="B109" s="26" t="s">
        <v>3678</v>
      </c>
      <c r="C109" s="7" t="str">
        <f t="shared" si="1"/>
        <v>🔊</v>
      </c>
      <c r="D109" s="8" t="s">
        <v>3679</v>
      </c>
      <c r="E109" s="6" t="s">
        <v>27</v>
      </c>
      <c r="F109" s="5" t="s">
        <v>3680</v>
      </c>
      <c r="G109" s="20" t="s">
        <v>3681</v>
      </c>
      <c r="I109" s="11" t="b">
        <f t="shared" si="2"/>
        <v>0</v>
      </c>
      <c r="K109" s="11" t="b">
        <f t="shared" si="3"/>
        <v>0</v>
      </c>
    </row>
    <row r="110" ht="22.5" customHeight="1">
      <c r="A110" s="12">
        <f t="shared" si="4"/>
        <v>1108</v>
      </c>
      <c r="B110" s="26" t="s">
        <v>3682</v>
      </c>
      <c r="C110" s="7" t="str">
        <f t="shared" si="1"/>
        <v>🔊</v>
      </c>
      <c r="D110" s="8" t="s">
        <v>3683</v>
      </c>
      <c r="E110" s="6" t="s">
        <v>13</v>
      </c>
      <c r="F110" s="5" t="s">
        <v>3684</v>
      </c>
      <c r="G110" s="20" t="s">
        <v>3685</v>
      </c>
      <c r="I110" s="11" t="b">
        <f t="shared" si="2"/>
        <v>0</v>
      </c>
      <c r="K110" s="11" t="b">
        <f t="shared" si="3"/>
        <v>0</v>
      </c>
    </row>
    <row r="111" ht="22.5" customHeight="1">
      <c r="A111" s="12">
        <f t="shared" si="4"/>
        <v>1109</v>
      </c>
      <c r="B111" s="26" t="s">
        <v>3686</v>
      </c>
      <c r="C111" s="7" t="str">
        <f t="shared" si="1"/>
        <v>🔊</v>
      </c>
      <c r="D111" s="8" t="s">
        <v>3687</v>
      </c>
      <c r="E111" s="6" t="s">
        <v>1164</v>
      </c>
      <c r="F111" s="12" t="str">
        <f>IFERROR(__xludf.DUMMYFUNCTION("GOOGLETRANSLATE(B111,""zh_cn"",""vi"")"),"sai lầm")</f>
        <v>sai lầm</v>
      </c>
      <c r="G111" s="20" t="s">
        <v>3688</v>
      </c>
      <c r="I111" s="11" t="b">
        <f t="shared" si="2"/>
        <v>0</v>
      </c>
      <c r="K111" s="11" t="b">
        <f t="shared" si="3"/>
        <v>0</v>
      </c>
    </row>
    <row r="112" ht="22.5" customHeight="1">
      <c r="A112" s="12">
        <f t="shared" si="4"/>
        <v>1110</v>
      </c>
      <c r="B112" s="26" t="s">
        <v>3689</v>
      </c>
      <c r="C112" s="7" t="str">
        <f t="shared" si="1"/>
        <v>🔊</v>
      </c>
      <c r="D112" s="8" t="s">
        <v>3690</v>
      </c>
      <c r="E112" s="6" t="s">
        <v>99</v>
      </c>
      <c r="F112" s="12" t="str">
        <f>IFERROR(__xludf.DUMMYFUNCTION("GOOGLETRANSLATE(B112,""zh_cn"",""vi"")"),"bất cẩn")</f>
        <v>bất cẩn</v>
      </c>
      <c r="G112" s="20" t="s">
        <v>3691</v>
      </c>
      <c r="I112" s="11" t="b">
        <f t="shared" si="2"/>
        <v>0</v>
      </c>
      <c r="K112" s="11" t="b">
        <f t="shared" si="3"/>
        <v>0</v>
      </c>
    </row>
    <row r="113" ht="22.5" customHeight="1">
      <c r="A113" s="12">
        <f t="shared" si="4"/>
        <v>1111</v>
      </c>
      <c r="B113" s="26" t="s">
        <v>3692</v>
      </c>
      <c r="C113" s="7" t="str">
        <f t="shared" si="1"/>
        <v>🔊</v>
      </c>
      <c r="D113" s="8" t="s">
        <v>3693</v>
      </c>
      <c r="E113" s="6" t="s">
        <v>13</v>
      </c>
      <c r="F113" s="12" t="str">
        <f>IFERROR(__xludf.DUMMYFUNCTION("GOOGLETRANSLATE(B113,""zh_cn"",""vi"")"),"trả lời")</f>
        <v>trả lời</v>
      </c>
      <c r="G113" s="20" t="s">
        <v>3694</v>
      </c>
      <c r="I113" s="11" t="b">
        <f t="shared" si="2"/>
        <v>0</v>
      </c>
      <c r="K113" s="11" t="b">
        <f t="shared" si="3"/>
        <v>0</v>
      </c>
    </row>
    <row r="114" ht="22.5" customHeight="1">
      <c r="A114" s="12">
        <f t="shared" si="4"/>
        <v>1112</v>
      </c>
      <c r="B114" s="26" t="s">
        <v>3695</v>
      </c>
      <c r="C114" s="7" t="str">
        <f t="shared" si="1"/>
        <v>🔊</v>
      </c>
      <c r="D114" s="8" t="s">
        <v>3696</v>
      </c>
      <c r="E114" s="14"/>
      <c r="F114" s="12" t="str">
        <f>IFERROR(__xludf.DUMMYFUNCTION("GOOGLETRANSLATE(B114,""zh_cn"",""vi"")"),"chào hỏi")</f>
        <v>chào hỏi</v>
      </c>
      <c r="G114" s="20" t="s">
        <v>3697</v>
      </c>
      <c r="I114" s="11" t="b">
        <f t="shared" si="2"/>
        <v>0</v>
      </c>
      <c r="K114" s="11" t="b">
        <f t="shared" si="3"/>
        <v>0</v>
      </c>
    </row>
    <row r="115" ht="22.5" customHeight="1">
      <c r="A115" s="12">
        <f t="shared" si="4"/>
        <v>1113</v>
      </c>
      <c r="B115" s="26" t="s">
        <v>3698</v>
      </c>
      <c r="C115" s="7" t="str">
        <f t="shared" si="1"/>
        <v>🔊</v>
      </c>
      <c r="D115" s="8" t="s">
        <v>3699</v>
      </c>
      <c r="E115" s="6" t="s">
        <v>27</v>
      </c>
      <c r="F115" s="5" t="s">
        <v>3700</v>
      </c>
      <c r="G115" s="20" t="s">
        <v>3701</v>
      </c>
      <c r="I115" s="11" t="b">
        <f t="shared" si="2"/>
        <v>0</v>
      </c>
      <c r="K115" s="11" t="b">
        <f t="shared" si="3"/>
        <v>0</v>
      </c>
    </row>
    <row r="116" ht="22.5" customHeight="1">
      <c r="A116" s="12">
        <f t="shared" si="4"/>
        <v>1114</v>
      </c>
      <c r="B116" s="26" t="s">
        <v>3702</v>
      </c>
      <c r="C116" s="7" t="str">
        <f t="shared" si="1"/>
        <v>🔊</v>
      </c>
      <c r="D116" s="8" t="s">
        <v>3703</v>
      </c>
      <c r="E116" s="6" t="s">
        <v>27</v>
      </c>
      <c r="F116" s="12" t="str">
        <f>IFERROR(__xludf.DUMMYFUNCTION("GOOGLETRANSLATE(B116,""zh_cn"",""vi"")"),"xe buýt")</f>
        <v>xe buýt</v>
      </c>
      <c r="G116" s="20" t="s">
        <v>3704</v>
      </c>
      <c r="I116" s="11" t="b">
        <f t="shared" si="2"/>
        <v>0</v>
      </c>
      <c r="K116" s="11" t="b">
        <f t="shared" si="3"/>
        <v>0</v>
      </c>
    </row>
    <row r="117" ht="22.5" customHeight="1">
      <c r="A117" s="12">
        <f t="shared" si="4"/>
        <v>1115</v>
      </c>
      <c r="B117" s="26" t="s">
        <v>3705</v>
      </c>
      <c r="C117" s="7" t="str">
        <f t="shared" si="1"/>
        <v>🔊</v>
      </c>
      <c r="D117" s="8" t="s">
        <v>3706</v>
      </c>
      <c r="E117" s="6" t="s">
        <v>13</v>
      </c>
      <c r="F117" s="12" t="str">
        <f>IFERROR(__xludf.DUMMYFUNCTION("GOOGLETRANSLATE(B117,""zh_cn"",""vi"")"),"đánh bại")</f>
        <v>đánh bại</v>
      </c>
      <c r="G117" s="20" t="s">
        <v>3707</v>
      </c>
      <c r="I117" s="11" t="b">
        <f t="shared" si="2"/>
        <v>0</v>
      </c>
      <c r="K117" s="11" t="b">
        <f t="shared" si="3"/>
        <v>0</v>
      </c>
    </row>
    <row r="118" ht="22.5" customHeight="1">
      <c r="A118" s="12">
        <f t="shared" si="4"/>
        <v>1116</v>
      </c>
      <c r="B118" s="26" t="s">
        <v>3708</v>
      </c>
      <c r="C118" s="7" t="str">
        <f t="shared" si="1"/>
        <v>🔊</v>
      </c>
      <c r="D118" s="8" t="s">
        <v>3709</v>
      </c>
      <c r="E118" s="6" t="s">
        <v>61</v>
      </c>
      <c r="F118" s="12" t="str">
        <f>IFERROR(__xludf.DUMMYFUNCTION("GOOGLETRANSLATE(B118,""zh_cn"",""vi"")"),"To To")</f>
        <v>To To</v>
      </c>
      <c r="G118" s="20" t="s">
        <v>3710</v>
      </c>
      <c r="I118" s="11" t="b">
        <f t="shared" si="2"/>
        <v>0</v>
      </c>
      <c r="K118" s="11" t="b">
        <f t="shared" si="3"/>
        <v>0</v>
      </c>
    </row>
    <row r="119" ht="22.5" customHeight="1">
      <c r="A119" s="12">
        <f t="shared" si="4"/>
        <v>1117</v>
      </c>
      <c r="B119" s="26" t="s">
        <v>3711</v>
      </c>
      <c r="C119" s="7" t="str">
        <f t="shared" si="1"/>
        <v>🔊</v>
      </c>
      <c r="D119" s="8" t="s">
        <v>3712</v>
      </c>
      <c r="E119" s="6" t="s">
        <v>13</v>
      </c>
      <c r="F119" s="12" t="str">
        <f>IFERROR(__xludf.DUMMYFUNCTION("GOOGLETRANSLATE(B119,""zh_cn"",""vi"")"),"đạt được")</f>
        <v>đạt được</v>
      </c>
      <c r="G119" s="20" t="s">
        <v>3713</v>
      </c>
      <c r="I119" s="11" t="b">
        <f t="shared" si="2"/>
        <v>0</v>
      </c>
      <c r="K119" s="11" t="b">
        <f t="shared" si="3"/>
        <v>0</v>
      </c>
    </row>
    <row r="120" ht="22.5" customHeight="1">
      <c r="A120" s="12">
        <f t="shared" si="4"/>
        <v>1118</v>
      </c>
      <c r="B120" s="26" t="s">
        <v>3714</v>
      </c>
      <c r="C120" s="7" t="str">
        <f t="shared" si="1"/>
        <v>🔊</v>
      </c>
      <c r="D120" s="8" t="s">
        <v>3715</v>
      </c>
      <c r="E120" s="6" t="s">
        <v>13</v>
      </c>
      <c r="F120" s="12" t="str">
        <f>IFERROR(__xludf.DUMMYFUNCTION("GOOGLETRANSLATE(B120,""zh_cn"",""vi"")"),"làm việc để kiếm sống")</f>
        <v>làm việc để kiếm sống</v>
      </c>
      <c r="G120" s="20" t="s">
        <v>3716</v>
      </c>
      <c r="I120" s="11" t="b">
        <f t="shared" si="2"/>
        <v>0</v>
      </c>
      <c r="K120" s="11" t="b">
        <f t="shared" si="3"/>
        <v>0</v>
      </c>
    </row>
    <row r="121" ht="22.5" customHeight="1">
      <c r="A121" s="12">
        <f t="shared" si="4"/>
        <v>1119</v>
      </c>
      <c r="B121" s="26" t="s">
        <v>3717</v>
      </c>
      <c r="C121" s="7" t="str">
        <f t="shared" si="1"/>
        <v>🔊</v>
      </c>
      <c r="D121" s="8" t="s">
        <v>1945</v>
      </c>
      <c r="E121" s="6" t="s">
        <v>13</v>
      </c>
      <c r="F121" s="5" t="s">
        <v>3718</v>
      </c>
      <c r="G121" s="20" t="s">
        <v>3719</v>
      </c>
      <c r="I121" s="11" t="b">
        <f t="shared" si="2"/>
        <v>0</v>
      </c>
      <c r="K121" s="11" t="b">
        <f t="shared" si="3"/>
        <v>0</v>
      </c>
    </row>
    <row r="122" ht="22.5" customHeight="1">
      <c r="A122" s="12">
        <f t="shared" si="4"/>
        <v>1120</v>
      </c>
      <c r="B122" s="26" t="s">
        <v>3720</v>
      </c>
      <c r="C122" s="7" t="str">
        <f t="shared" si="1"/>
        <v>🔊</v>
      </c>
      <c r="D122" s="8" t="s">
        <v>3721</v>
      </c>
      <c r="E122" s="6" t="s">
        <v>13</v>
      </c>
      <c r="F122" s="5" t="s">
        <v>3722</v>
      </c>
      <c r="G122" s="20" t="s">
        <v>3723</v>
      </c>
      <c r="I122" s="11" t="b">
        <f t="shared" si="2"/>
        <v>0</v>
      </c>
      <c r="K122" s="11" t="b">
        <f t="shared" si="3"/>
        <v>0</v>
      </c>
    </row>
    <row r="123" ht="22.5" customHeight="1">
      <c r="A123" s="12">
        <f t="shared" si="4"/>
        <v>1121</v>
      </c>
      <c r="B123" s="26" t="s">
        <v>3724</v>
      </c>
      <c r="C123" s="7" t="str">
        <f t="shared" si="1"/>
        <v>🔊</v>
      </c>
      <c r="D123" s="8" t="s">
        <v>3725</v>
      </c>
      <c r="E123" s="6" t="s">
        <v>27</v>
      </c>
      <c r="F123" s="12" t="str">
        <f>IFERROR(__xludf.DUMMYFUNCTION("GOOGLETRANSLATE(B123,""zh_cn"",""vi"")"),"bác sĩ")</f>
        <v>bác sĩ</v>
      </c>
      <c r="G123" s="20" t="s">
        <v>3726</v>
      </c>
      <c r="I123" s="11" t="b">
        <f t="shared" si="2"/>
        <v>0</v>
      </c>
      <c r="K123" s="11" t="b">
        <f t="shared" si="3"/>
        <v>0</v>
      </c>
    </row>
    <row r="124" ht="22.5" customHeight="1">
      <c r="A124" s="12">
        <f t="shared" si="4"/>
        <v>1122</v>
      </c>
      <c r="B124" s="26" t="s">
        <v>3727</v>
      </c>
      <c r="C124" s="7" t="str">
        <f t="shared" si="1"/>
        <v>🔊</v>
      </c>
      <c r="D124" s="8" t="s">
        <v>3728</v>
      </c>
      <c r="E124" s="6" t="s">
        <v>27</v>
      </c>
      <c r="F124" s="12" t="str">
        <f>IFERROR(__xludf.DUMMYFUNCTION("GOOGLETRANSLATE(B124,""zh_cn"",""vi"")"),"cái túi")</f>
        <v>cái túi</v>
      </c>
      <c r="G124" s="20" t="s">
        <v>3729</v>
      </c>
      <c r="I124" s="11" t="b">
        <f t="shared" si="2"/>
        <v>0</v>
      </c>
      <c r="K124" s="11" t="b">
        <f t="shared" si="3"/>
        <v>0</v>
      </c>
    </row>
    <row r="125" ht="22.5" customHeight="1">
      <c r="A125" s="12">
        <f t="shared" si="4"/>
        <v>1123</v>
      </c>
      <c r="B125" s="26" t="s">
        <v>3730</v>
      </c>
      <c r="C125" s="7" t="str">
        <f t="shared" si="1"/>
        <v>🔊</v>
      </c>
      <c r="D125" s="8" t="s">
        <v>3731</v>
      </c>
      <c r="E125" s="6" t="s">
        <v>99</v>
      </c>
      <c r="F125" s="12" t="str">
        <f>IFERROR(__xludf.DUMMYFUNCTION("GOOGLETRANSLATE(B125,""zh_cn"",""vi"")"),"số lượng lớn")</f>
        <v>số lượng lớn</v>
      </c>
      <c r="G125" s="20" t="s">
        <v>3732</v>
      </c>
      <c r="I125" s="11" t="b">
        <f t="shared" si="2"/>
        <v>0</v>
      </c>
      <c r="K125" s="11" t="b">
        <f t="shared" si="3"/>
        <v>0</v>
      </c>
    </row>
    <row r="126" ht="22.5" customHeight="1">
      <c r="A126" s="12">
        <f t="shared" si="4"/>
        <v>1124</v>
      </c>
      <c r="B126" s="26" t="s">
        <v>3733</v>
      </c>
      <c r="C126" s="7" t="str">
        <f t="shared" si="1"/>
        <v>🔊</v>
      </c>
      <c r="D126" s="8" t="s">
        <v>3734</v>
      </c>
      <c r="E126" s="6" t="s">
        <v>1054</v>
      </c>
      <c r="F126" s="12" t="str">
        <f>IFERROR(__xludf.DUMMYFUNCTION("GOOGLETRANSLATE(B126,""zh_cn"",""vi"")"),"khi")</f>
        <v>khi</v>
      </c>
      <c r="G126" s="20" t="s">
        <v>3735</v>
      </c>
      <c r="I126" s="11" t="b">
        <f t="shared" si="2"/>
        <v>0</v>
      </c>
      <c r="K126" s="11" t="b">
        <f t="shared" si="3"/>
        <v>0</v>
      </c>
    </row>
    <row r="127" ht="22.5" customHeight="1">
      <c r="A127" s="12">
        <f t="shared" si="4"/>
        <v>1125</v>
      </c>
      <c r="B127" s="26" t="s">
        <v>3736</v>
      </c>
      <c r="C127" s="7" t="str">
        <f t="shared" si="1"/>
        <v>🔊</v>
      </c>
      <c r="D127" s="8" t="s">
        <v>3737</v>
      </c>
      <c r="E127" s="6" t="s">
        <v>27</v>
      </c>
      <c r="F127" s="5" t="s">
        <v>3738</v>
      </c>
      <c r="G127" s="20" t="s">
        <v>3739</v>
      </c>
      <c r="I127" s="11" t="b">
        <f t="shared" si="2"/>
        <v>0</v>
      </c>
      <c r="K127" s="11" t="b">
        <f t="shared" si="3"/>
        <v>0</v>
      </c>
    </row>
    <row r="128" ht="22.5" customHeight="1">
      <c r="A128" s="12">
        <f t="shared" si="4"/>
        <v>1126</v>
      </c>
      <c r="B128" s="26" t="s">
        <v>3740</v>
      </c>
      <c r="C128" s="7" t="str">
        <f t="shared" si="1"/>
        <v>🔊</v>
      </c>
      <c r="D128" s="8" t="s">
        <v>3741</v>
      </c>
      <c r="E128" s="6" t="s">
        <v>27</v>
      </c>
      <c r="F128" s="12" t="str">
        <f>IFERROR(__xludf.DUMMYFUNCTION("GOOGLETRANSLATE(B128,""zh_cn"",""vi"")"),"đơn vị")</f>
        <v>đơn vị</v>
      </c>
      <c r="G128" s="20" t="s">
        <v>3742</v>
      </c>
      <c r="I128" s="11" t="b">
        <f t="shared" si="2"/>
        <v>0</v>
      </c>
      <c r="K128" s="11" t="b">
        <f t="shared" si="3"/>
        <v>0</v>
      </c>
    </row>
    <row r="129" ht="22.5" customHeight="1">
      <c r="A129" s="12">
        <f t="shared" si="4"/>
        <v>1127</v>
      </c>
      <c r="B129" s="26" t="s">
        <v>3743</v>
      </c>
      <c r="C129" s="7" t="str">
        <f t="shared" si="1"/>
        <v>🔊</v>
      </c>
      <c r="D129" s="8" t="s">
        <v>109</v>
      </c>
      <c r="E129" s="6" t="s">
        <v>2653</v>
      </c>
      <c r="F129" s="12" t="str">
        <f>IFERROR(__xludf.DUMMYFUNCTION("GOOGLETRANSLATE(B129,""zh_cn"",""vi"")"),"ngã")</f>
        <v>ngã</v>
      </c>
      <c r="G129" s="20" t="s">
        <v>3744</v>
      </c>
      <c r="I129" s="11" t="b">
        <f t="shared" si="2"/>
        <v>0</v>
      </c>
      <c r="K129" s="11" t="b">
        <f t="shared" si="3"/>
        <v>0</v>
      </c>
    </row>
    <row r="130" ht="22.5" customHeight="1">
      <c r="A130" s="12">
        <f t="shared" si="4"/>
        <v>1128</v>
      </c>
      <c r="B130" s="26" t="s">
        <v>3745</v>
      </c>
      <c r="C130" s="7" t="str">
        <f t="shared" si="1"/>
        <v>🔊</v>
      </c>
      <c r="D130" s="8" t="s">
        <v>109</v>
      </c>
      <c r="E130" s="6" t="s">
        <v>259</v>
      </c>
      <c r="F130" s="12" t="str">
        <f>IFERROR(__xludf.DUMMYFUNCTION("GOOGLETRANSLATE(B130,""zh_cn"",""vi"")"),"đường")</f>
        <v>đường</v>
      </c>
      <c r="G130" s="20" t="s">
        <v>3746</v>
      </c>
      <c r="I130" s="11" t="b">
        <f t="shared" si="2"/>
        <v>0</v>
      </c>
      <c r="K130" s="11" t="b">
        <f t="shared" si="3"/>
        <v>0</v>
      </c>
    </row>
    <row r="131" ht="22.5" customHeight="1">
      <c r="A131" s="12">
        <f t="shared" si="4"/>
        <v>1129</v>
      </c>
      <c r="B131" s="26" t="s">
        <v>3747</v>
      </c>
      <c r="C131" s="7" t="str">
        <f t="shared" si="1"/>
        <v>🔊</v>
      </c>
      <c r="D131" s="8" t="s">
        <v>3748</v>
      </c>
      <c r="E131" s="6" t="s">
        <v>27</v>
      </c>
      <c r="F131" s="12" t="str">
        <f>IFERROR(__xludf.DUMMYFUNCTION("GOOGLETRANSLATE(B131,""zh_cn"",""vi"")"),"dao")</f>
        <v>dao</v>
      </c>
      <c r="G131" s="20" t="s">
        <v>3749</v>
      </c>
      <c r="I131" s="11" t="b">
        <f t="shared" si="2"/>
        <v>0</v>
      </c>
      <c r="K131" s="11" t="b">
        <f t="shared" si="3"/>
        <v>0</v>
      </c>
    </row>
    <row r="132" ht="22.5" customHeight="1">
      <c r="A132" s="12">
        <f t="shared" si="4"/>
        <v>1130</v>
      </c>
      <c r="B132" s="26" t="s">
        <v>3750</v>
      </c>
      <c r="C132" s="7" t="str">
        <f t="shared" si="1"/>
        <v>🔊</v>
      </c>
      <c r="D132" s="8" t="s">
        <v>3751</v>
      </c>
      <c r="E132" s="6" t="s">
        <v>61</v>
      </c>
      <c r="F132" s="12" t="str">
        <f>IFERROR(__xludf.DUMMYFUNCTION("GOOGLETRANSLATE(B132,""zh_cn"",""vi"")"),"cuối cùng")</f>
        <v>cuối cùng</v>
      </c>
      <c r="G132" s="20" t="s">
        <v>3752</v>
      </c>
      <c r="I132" s="11" t="b">
        <f t="shared" si="2"/>
        <v>0</v>
      </c>
      <c r="K132" s="11" t="b">
        <f t="shared" si="3"/>
        <v>0</v>
      </c>
    </row>
    <row r="133" ht="22.5" customHeight="1">
      <c r="A133" s="12">
        <f t="shared" si="4"/>
        <v>1131</v>
      </c>
      <c r="B133" s="26" t="s">
        <v>3753</v>
      </c>
      <c r="C133" s="7" t="str">
        <f t="shared" si="1"/>
        <v>🔊</v>
      </c>
      <c r="D133" s="8" t="s">
        <v>3754</v>
      </c>
      <c r="E133" s="6" t="s">
        <v>13</v>
      </c>
      <c r="F133" s="5" t="s">
        <v>3755</v>
      </c>
      <c r="G133" s="20" t="s">
        <v>3756</v>
      </c>
      <c r="I133" s="11" t="b">
        <f t="shared" si="2"/>
        <v>0</v>
      </c>
      <c r="K133" s="11" t="b">
        <f t="shared" si="3"/>
        <v>0</v>
      </c>
    </row>
    <row r="134" ht="22.5" customHeight="1">
      <c r="A134" s="12">
        <f t="shared" si="4"/>
        <v>1132</v>
      </c>
      <c r="B134" s="26" t="s">
        <v>3757</v>
      </c>
      <c r="C134" s="7" t="str">
        <f t="shared" si="1"/>
        <v>🔊</v>
      </c>
      <c r="D134" s="8" t="s">
        <v>3758</v>
      </c>
      <c r="E134" s="6" t="s">
        <v>27</v>
      </c>
      <c r="F134" s="5" t="s">
        <v>3759</v>
      </c>
      <c r="G134" s="20" t="s">
        <v>3760</v>
      </c>
      <c r="I134" s="11" t="b">
        <f t="shared" si="2"/>
        <v>0</v>
      </c>
      <c r="K134" s="11" t="b">
        <f t="shared" si="3"/>
        <v>0</v>
      </c>
    </row>
    <row r="135" ht="22.5" customHeight="1">
      <c r="A135" s="12">
        <f t="shared" si="4"/>
        <v>1133</v>
      </c>
      <c r="B135" s="26" t="s">
        <v>3761</v>
      </c>
      <c r="C135" s="7" t="str">
        <f t="shared" si="1"/>
        <v>🔊</v>
      </c>
      <c r="D135" s="8" t="s">
        <v>3762</v>
      </c>
      <c r="E135" s="6" t="s">
        <v>13</v>
      </c>
      <c r="F135" s="12" t="str">
        <f>IFERROR(__xludf.DUMMYFUNCTION("GOOGLETRANSLATE(B135,""zh_cn"",""vi"")"),"Xin lỗi")</f>
        <v>Xin lỗi</v>
      </c>
      <c r="G135" s="20" t="s">
        <v>3763</v>
      </c>
      <c r="I135" s="11" t="b">
        <f t="shared" si="2"/>
        <v>0</v>
      </c>
      <c r="K135" s="11" t="b">
        <f t="shared" si="3"/>
        <v>0</v>
      </c>
    </row>
    <row r="136" ht="22.5" customHeight="1">
      <c r="A136" s="12">
        <f t="shared" si="4"/>
        <v>1134</v>
      </c>
      <c r="B136" s="26" t="s">
        <v>3764</v>
      </c>
      <c r="C136" s="7" t="str">
        <f t="shared" si="1"/>
        <v>🔊</v>
      </c>
      <c r="D136" s="8" t="s">
        <v>3765</v>
      </c>
      <c r="E136" s="6" t="s">
        <v>232</v>
      </c>
      <c r="F136" s="12" t="str">
        <f>IFERROR(__xludf.DUMMYFUNCTION("GOOGLETRANSLATE(B136,""zh_cn"",""vi"")"),"hướng dẫn viên du lịch")</f>
        <v>hướng dẫn viên du lịch</v>
      </c>
      <c r="G136" s="20" t="s">
        <v>3766</v>
      </c>
      <c r="I136" s="11" t="b">
        <f t="shared" si="2"/>
        <v>0</v>
      </c>
      <c r="K136" s="11" t="b">
        <f t="shared" si="3"/>
        <v>0</v>
      </c>
    </row>
    <row r="137" ht="22.5" customHeight="1">
      <c r="A137" s="12">
        <f t="shared" si="4"/>
        <v>1135</v>
      </c>
      <c r="B137" s="26" t="s">
        <v>3767</v>
      </c>
      <c r="C137" s="7" t="str">
        <f t="shared" si="1"/>
        <v>🔊</v>
      </c>
      <c r="D137" s="8" t="s">
        <v>3768</v>
      </c>
      <c r="E137" s="6" t="s">
        <v>13</v>
      </c>
      <c r="F137" s="12" t="str">
        <f>IFERROR(__xludf.DUMMYFUNCTION("GOOGLETRANSLATE(B137,""zh_cn"",""vi"")"),"quấy rầy")</f>
        <v>quấy rầy</v>
      </c>
      <c r="G137" s="20" t="s">
        <v>3769</v>
      </c>
      <c r="I137" s="11" t="b">
        <f t="shared" si="2"/>
        <v>0</v>
      </c>
      <c r="K137" s="11" t="b">
        <f t="shared" si="3"/>
        <v>0</v>
      </c>
    </row>
    <row r="138" ht="22.5" customHeight="1">
      <c r="A138" s="12">
        <f t="shared" si="4"/>
        <v>1136</v>
      </c>
      <c r="B138" s="26" t="s">
        <v>97</v>
      </c>
      <c r="C138" s="7" t="str">
        <f t="shared" si="1"/>
        <v>🔊</v>
      </c>
      <c r="D138" s="8" t="s">
        <v>3770</v>
      </c>
      <c r="E138" s="6" t="s">
        <v>27</v>
      </c>
      <c r="F138" s="12" t="str">
        <f>IFERROR(__xludf.DUMMYFUNCTION("GOOGLETRANSLATE(B138,""zh_cn"",""vi"")"),"to lớn")</f>
        <v>to lớn</v>
      </c>
      <c r="G138" s="20" t="s">
        <v>3771</v>
      </c>
      <c r="I138" s="11" t="b">
        <f t="shared" si="2"/>
        <v>0</v>
      </c>
      <c r="K138" s="11" t="b">
        <f t="shared" si="3"/>
        <v>0</v>
      </c>
    </row>
    <row r="139" ht="22.5" customHeight="1">
      <c r="A139" s="12">
        <f t="shared" si="4"/>
        <v>1137</v>
      </c>
      <c r="B139" s="26" t="s">
        <v>3772</v>
      </c>
      <c r="C139" s="7" t="str">
        <f t="shared" si="1"/>
        <v>🔊</v>
      </c>
      <c r="D139" s="8" t="s">
        <v>3773</v>
      </c>
      <c r="E139" s="6" t="s">
        <v>27</v>
      </c>
      <c r="F139" s="5" t="s">
        <v>3774</v>
      </c>
      <c r="G139" s="20" t="s">
        <v>3775</v>
      </c>
      <c r="I139" s="11" t="b">
        <f t="shared" si="2"/>
        <v>0</v>
      </c>
      <c r="K139" s="11" t="b">
        <f t="shared" si="3"/>
        <v>0</v>
      </c>
    </row>
    <row r="140" ht="22.5" customHeight="1">
      <c r="A140" s="12">
        <f t="shared" si="4"/>
        <v>1138</v>
      </c>
      <c r="B140" s="26" t="s">
        <v>3776</v>
      </c>
      <c r="C140" s="7" t="str">
        <f t="shared" si="1"/>
        <v>🔊</v>
      </c>
      <c r="D140" s="8" t="s">
        <v>3777</v>
      </c>
      <c r="E140" s="6" t="s">
        <v>13</v>
      </c>
      <c r="F140" s="12" t="str">
        <f>IFERROR(__xludf.DUMMYFUNCTION("GOOGLETRANSLATE(B140,""zh_cn"",""vi"")"),"In")</f>
        <v>In</v>
      </c>
      <c r="G140" s="20" t="s">
        <v>3778</v>
      </c>
      <c r="I140" s="11" t="b">
        <f t="shared" si="2"/>
        <v>0</v>
      </c>
      <c r="K140" s="11" t="b">
        <f t="shared" si="3"/>
        <v>0</v>
      </c>
    </row>
    <row r="141" ht="22.5" customHeight="1">
      <c r="A141" s="12">
        <f t="shared" si="4"/>
        <v>1139</v>
      </c>
      <c r="B141" s="26" t="s">
        <v>3779</v>
      </c>
      <c r="C141" s="7" t="str">
        <f t="shared" si="1"/>
        <v>🔊</v>
      </c>
      <c r="D141" s="8" t="s">
        <v>3780</v>
      </c>
      <c r="E141" s="6" t="s">
        <v>13</v>
      </c>
      <c r="F141" s="12" t="str">
        <f>IFERROR(__xludf.DUMMYFUNCTION("GOOGLETRANSLATE(B141,""zh_cn"",""vi"")"),"hứa")</f>
        <v>hứa</v>
      </c>
      <c r="G141" s="20" t="s">
        <v>3781</v>
      </c>
      <c r="I141" s="11" t="b">
        <f t="shared" si="2"/>
        <v>0</v>
      </c>
      <c r="K141" s="11" t="b">
        <f t="shared" si="3"/>
        <v>0</v>
      </c>
    </row>
    <row r="142" ht="22.5" customHeight="1">
      <c r="A142" s="12">
        <f t="shared" si="4"/>
        <v>1140</v>
      </c>
      <c r="B142" s="26" t="s">
        <v>3782</v>
      </c>
      <c r="C142" s="7" t="str">
        <f t="shared" si="1"/>
        <v>🔊</v>
      </c>
      <c r="D142" s="8" t="s">
        <v>3783</v>
      </c>
      <c r="E142" s="6" t="s">
        <v>27</v>
      </c>
      <c r="F142" s="12" t="str">
        <f>IFERROR(__xludf.DUMMYFUNCTION("GOOGLETRANSLATE(B142,""zh_cn"",""vi"")"),"máy in")</f>
        <v>máy in</v>
      </c>
      <c r="G142" s="20" t="s">
        <v>3784</v>
      </c>
      <c r="I142" s="11" t="b">
        <f t="shared" si="2"/>
        <v>0</v>
      </c>
      <c r="K142" s="11" t="b">
        <f t="shared" si="3"/>
        <v>0</v>
      </c>
    </row>
    <row r="143" ht="22.5" customHeight="1">
      <c r="A143" s="12">
        <f t="shared" si="4"/>
        <v>1141</v>
      </c>
      <c r="B143" s="26" t="s">
        <v>3785</v>
      </c>
      <c r="C143" s="7" t="str">
        <f t="shared" si="1"/>
        <v>🔊</v>
      </c>
      <c r="D143" s="8" t="s">
        <v>3786</v>
      </c>
      <c r="E143" s="6" t="s">
        <v>61</v>
      </c>
      <c r="F143" s="5" t="s">
        <v>1942</v>
      </c>
      <c r="G143" s="20" t="s">
        <v>3787</v>
      </c>
      <c r="I143" s="11" t="b">
        <f t="shared" si="2"/>
        <v>0</v>
      </c>
      <c r="K143" s="11" t="b">
        <f t="shared" si="3"/>
        <v>0</v>
      </c>
    </row>
    <row r="144" ht="22.5" customHeight="1">
      <c r="A144" s="12">
        <f t="shared" si="4"/>
        <v>1142</v>
      </c>
      <c r="B144" s="26" t="s">
        <v>3788</v>
      </c>
      <c r="C144" s="7" t="str">
        <f t="shared" si="1"/>
        <v>🔊</v>
      </c>
      <c r="D144" s="8" t="s">
        <v>3789</v>
      </c>
      <c r="E144" s="6" t="s">
        <v>13</v>
      </c>
      <c r="F144" s="12" t="str">
        <f>IFERROR(__xludf.DUMMYFUNCTION("GOOGLETRANSLATE(B144,""zh_cn"",""vi"")"),"Giảm giá")</f>
        <v>Giảm giá</v>
      </c>
      <c r="G144" s="20" t="s">
        <v>3790</v>
      </c>
      <c r="I144" s="11" t="b">
        <f t="shared" si="2"/>
        <v>0</v>
      </c>
      <c r="K144" s="11" t="b">
        <f t="shared" si="3"/>
        <v>0</v>
      </c>
    </row>
    <row r="145" ht="22.5" customHeight="1">
      <c r="A145" s="12">
        <f t="shared" si="4"/>
        <v>1143</v>
      </c>
      <c r="B145" s="26" t="s">
        <v>3791</v>
      </c>
      <c r="C145" s="7" t="str">
        <f t="shared" si="1"/>
        <v>🔊</v>
      </c>
      <c r="D145" s="8" t="s">
        <v>3792</v>
      </c>
      <c r="E145" s="6" t="s">
        <v>13</v>
      </c>
      <c r="F145" s="12" t="str">
        <f>IFERROR(__xludf.DUMMYFUNCTION("GOOGLETRANSLATE(B145,""zh_cn"",""vi"")"),"tiêm")</f>
        <v>tiêm</v>
      </c>
      <c r="G145" s="20" t="s">
        <v>3793</v>
      </c>
      <c r="I145" s="11" t="b">
        <f t="shared" si="2"/>
        <v>0</v>
      </c>
      <c r="K145" s="11" t="b">
        <f t="shared" si="3"/>
        <v>0</v>
      </c>
    </row>
    <row r="146" ht="22.5" customHeight="1">
      <c r="A146" s="12">
        <f t="shared" si="4"/>
        <v>1144</v>
      </c>
      <c r="B146" s="26" t="s">
        <v>3794</v>
      </c>
      <c r="C146" s="7" t="str">
        <f t="shared" si="1"/>
        <v>🔊</v>
      </c>
      <c r="D146" s="8" t="s">
        <v>3795</v>
      </c>
      <c r="E146" s="6" t="s">
        <v>27</v>
      </c>
      <c r="F146" s="12" t="str">
        <f>IFERROR(__xludf.DUMMYFUNCTION("GOOGLETRANSLATE(B146,""zh_cn"",""vi"")"),"Thiên nhiên")</f>
        <v>Thiên nhiên</v>
      </c>
      <c r="G146" s="20" t="s">
        <v>3796</v>
      </c>
      <c r="I146" s="11" t="b">
        <f t="shared" si="2"/>
        <v>0</v>
      </c>
      <c r="K146" s="11" t="b">
        <f t="shared" si="3"/>
        <v>0</v>
      </c>
    </row>
    <row r="147" ht="22.5" customHeight="1">
      <c r="A147" s="12">
        <f t="shared" si="4"/>
        <v>1145</v>
      </c>
      <c r="B147" s="26" t="s">
        <v>1141</v>
      </c>
      <c r="C147" s="7" t="str">
        <f t="shared" si="1"/>
        <v>🔊</v>
      </c>
      <c r="D147" s="8" t="s">
        <v>1142</v>
      </c>
      <c r="E147" s="6" t="s">
        <v>3797</v>
      </c>
      <c r="F147" s="12" t="str">
        <f>IFERROR(__xludf.DUMMYFUNCTION("GOOGLETRANSLATE(B147,""zh_cn"",""vi"")"),"Chờ đợi")</f>
        <v>Chờ đợi</v>
      </c>
      <c r="G147" s="20" t="s">
        <v>3798</v>
      </c>
      <c r="I147" s="11" t="b">
        <f t="shared" si="2"/>
        <v>0</v>
      </c>
      <c r="K147" s="11" t="b">
        <f t="shared" si="3"/>
        <v>0</v>
      </c>
    </row>
    <row r="148" ht="22.5" customHeight="1">
      <c r="A148" s="12">
        <f t="shared" si="4"/>
        <v>1146</v>
      </c>
      <c r="B148" s="26" t="s">
        <v>3799</v>
      </c>
      <c r="C148" s="7" t="str">
        <f t="shared" si="1"/>
        <v>🔊</v>
      </c>
      <c r="D148" s="8" t="s">
        <v>3800</v>
      </c>
      <c r="E148" s="6" t="s">
        <v>1766</v>
      </c>
      <c r="F148" s="12" t="str">
        <f>IFERROR(__xludf.DUMMYFUNCTION("GOOGLETRANSLATE(B148,""zh_cn"",""vi"")"),"đợi đến khi")</f>
        <v>đợi đến khi</v>
      </c>
      <c r="G148" s="20" t="s">
        <v>3801</v>
      </c>
      <c r="I148" s="11" t="b">
        <f t="shared" si="2"/>
        <v>0</v>
      </c>
      <c r="K148" s="11" t="b">
        <f t="shared" si="3"/>
        <v>0</v>
      </c>
    </row>
    <row r="149" ht="22.5" customHeight="1">
      <c r="A149" s="12">
        <f t="shared" si="4"/>
        <v>1147</v>
      </c>
      <c r="B149" s="26" t="s">
        <v>3802</v>
      </c>
      <c r="C149" s="7" t="str">
        <f t="shared" si="1"/>
        <v>🔊</v>
      </c>
      <c r="D149" s="8" t="s">
        <v>3803</v>
      </c>
      <c r="E149" s="6" t="s">
        <v>13</v>
      </c>
      <c r="F149" s="5" t="s">
        <v>3804</v>
      </c>
      <c r="G149" s="20" t="s">
        <v>3805</v>
      </c>
      <c r="I149" s="11" t="b">
        <f t="shared" si="2"/>
        <v>0</v>
      </c>
      <c r="K149" s="11" t="b">
        <f t="shared" si="3"/>
        <v>0</v>
      </c>
    </row>
    <row r="150" ht="22.5" customHeight="1">
      <c r="A150" s="12">
        <f t="shared" si="4"/>
        <v>1148</v>
      </c>
      <c r="B150" s="26" t="s">
        <v>3806</v>
      </c>
      <c r="C150" s="7" t="str">
        <f t="shared" si="1"/>
        <v>🔊</v>
      </c>
      <c r="D150" s="8" t="s">
        <v>3807</v>
      </c>
      <c r="E150" s="6" t="s">
        <v>99</v>
      </c>
      <c r="F150" s="5" t="s">
        <v>3808</v>
      </c>
      <c r="G150" s="20" t="s">
        <v>3809</v>
      </c>
      <c r="I150" s="11" t="b">
        <f t="shared" si="2"/>
        <v>0</v>
      </c>
      <c r="K150" s="11" t="b">
        <f t="shared" si="3"/>
        <v>0</v>
      </c>
    </row>
    <row r="151" ht="22.5" customHeight="1">
      <c r="A151" s="12">
        <f t="shared" si="4"/>
        <v>1149</v>
      </c>
      <c r="B151" s="26" t="s">
        <v>3810</v>
      </c>
      <c r="C151" s="7" t="str">
        <f t="shared" si="1"/>
        <v>🔊</v>
      </c>
      <c r="D151" s="8" t="s">
        <v>3811</v>
      </c>
      <c r="E151" s="6" t="s">
        <v>27</v>
      </c>
      <c r="F151" s="12" t="str">
        <f>IFERROR(__xludf.DUMMYFUNCTION("GOOGLETRANSLATE(B151,""zh_cn"",""vi"")"),"kết thúc")</f>
        <v>kết thúc</v>
      </c>
      <c r="G151" s="20" t="s">
        <v>3812</v>
      </c>
      <c r="I151" s="11" t="b">
        <f t="shared" si="2"/>
        <v>0</v>
      </c>
      <c r="K151" s="11" t="b">
        <f t="shared" si="3"/>
        <v>0</v>
      </c>
    </row>
    <row r="152" ht="22.5" customHeight="1">
      <c r="A152" s="12">
        <f t="shared" si="4"/>
        <v>1150</v>
      </c>
      <c r="B152" s="26" t="s">
        <v>3813</v>
      </c>
      <c r="C152" s="7" t="str">
        <f t="shared" si="1"/>
        <v>🔊</v>
      </c>
      <c r="D152" s="8" t="s">
        <v>3814</v>
      </c>
      <c r="E152" s="6" t="s">
        <v>416</v>
      </c>
      <c r="F152" s="12" t="str">
        <f>IFERROR(__xludf.DUMMYFUNCTION("GOOGLETRANSLATE(B152,""zh_cn"",""vi"")"),"Thấp")</f>
        <v>Thấp</v>
      </c>
      <c r="G152" s="20" t="s">
        <v>3815</v>
      </c>
      <c r="I152" s="11" t="b">
        <f t="shared" si="2"/>
        <v>0</v>
      </c>
      <c r="K152" s="11" t="b">
        <f t="shared" si="3"/>
        <v>0</v>
      </c>
    </row>
    <row r="153" ht="22.5" customHeight="1">
      <c r="A153" s="12">
        <f t="shared" si="4"/>
        <v>1151</v>
      </c>
      <c r="B153" s="26" t="s">
        <v>3816</v>
      </c>
      <c r="C153" s="7" t="str">
        <f t="shared" si="1"/>
        <v>🔊</v>
      </c>
      <c r="D153" s="8" t="s">
        <v>3817</v>
      </c>
      <c r="E153" s="6" t="s">
        <v>27</v>
      </c>
      <c r="F153" s="12" t="str">
        <f>IFERROR(__xludf.DUMMYFUNCTION("GOOGLETRANSLATE(B153,""zh_cn"",""vi"")"),"xe điện")</f>
        <v>xe điện</v>
      </c>
      <c r="G153" s="20" t="s">
        <v>3818</v>
      </c>
      <c r="I153" s="11" t="b">
        <f t="shared" si="2"/>
        <v>0</v>
      </c>
      <c r="K153" s="11" t="b">
        <f t="shared" si="3"/>
        <v>0</v>
      </c>
    </row>
    <row r="154" ht="22.5" customHeight="1">
      <c r="A154" s="12">
        <f t="shared" si="4"/>
        <v>1152</v>
      </c>
      <c r="B154" s="26" t="s">
        <v>3819</v>
      </c>
      <c r="C154" s="7" t="str">
        <f t="shared" si="1"/>
        <v>🔊</v>
      </c>
      <c r="D154" s="8" t="s">
        <v>3820</v>
      </c>
      <c r="E154" s="6" t="s">
        <v>13</v>
      </c>
      <c r="F154" s="12" t="str">
        <f>IFERROR(__xludf.DUMMYFUNCTION("GOOGLETRANSLATE(B154,""zh_cn"",""vi"")"),"Điểm danh")</f>
        <v>Điểm danh</v>
      </c>
      <c r="G154" s="20" t="s">
        <v>3821</v>
      </c>
      <c r="I154" s="11" t="b">
        <f t="shared" si="2"/>
        <v>0</v>
      </c>
      <c r="K154" s="11" t="b">
        <f t="shared" si="3"/>
        <v>0</v>
      </c>
    </row>
    <row r="155" ht="22.5" customHeight="1">
      <c r="A155" s="12">
        <f t="shared" si="4"/>
        <v>1153</v>
      </c>
      <c r="B155" s="26" t="s">
        <v>3822</v>
      </c>
      <c r="C155" s="7" t="str">
        <f t="shared" si="1"/>
        <v>🔊</v>
      </c>
      <c r="D155" s="8" t="s">
        <v>3823</v>
      </c>
      <c r="E155" s="6" t="s">
        <v>27</v>
      </c>
      <c r="F155" s="12" t="str">
        <f>IFERROR(__xludf.DUMMYFUNCTION("GOOGLETRANSLATE(B155,""zh_cn"",""vi"")"),"phim truyền hình")</f>
        <v>phim truyền hình</v>
      </c>
      <c r="G155" s="20" t="s">
        <v>3824</v>
      </c>
      <c r="I155" s="11" t="b">
        <f t="shared" si="2"/>
        <v>0</v>
      </c>
      <c r="K155" s="11" t="b">
        <f t="shared" si="3"/>
        <v>0</v>
      </c>
    </row>
    <row r="156" ht="22.5" customHeight="1">
      <c r="A156" s="12">
        <f t="shared" si="4"/>
        <v>1154</v>
      </c>
      <c r="B156" s="26" t="s">
        <v>3825</v>
      </c>
      <c r="C156" s="7" t="str">
        <f t="shared" si="1"/>
        <v>🔊</v>
      </c>
      <c r="D156" s="8" t="s">
        <v>3826</v>
      </c>
      <c r="E156" s="6" t="s">
        <v>13</v>
      </c>
      <c r="F156" s="12" t="str">
        <f>IFERROR(__xludf.DUMMYFUNCTION("GOOGLETRANSLATE(B156,""zh_cn"",""vi"")"),"gật đầu")</f>
        <v>gật đầu</v>
      </c>
      <c r="G156" s="20" t="s">
        <v>3827</v>
      </c>
      <c r="I156" s="11" t="b">
        <f t="shared" si="2"/>
        <v>0</v>
      </c>
      <c r="K156" s="11" t="b">
        <f t="shared" si="3"/>
        <v>0</v>
      </c>
    </row>
    <row r="157" ht="22.5" customHeight="1">
      <c r="A157" s="12">
        <f t="shared" si="4"/>
        <v>1155</v>
      </c>
      <c r="B157" s="26" t="s">
        <v>3828</v>
      </c>
      <c r="C157" s="7" t="str">
        <f t="shared" si="1"/>
        <v>🔊</v>
      </c>
      <c r="D157" s="8" t="s">
        <v>3829</v>
      </c>
      <c r="E157" s="6" t="s">
        <v>13</v>
      </c>
      <c r="F157" s="5" t="s">
        <v>3830</v>
      </c>
      <c r="G157" s="20" t="s">
        <v>3831</v>
      </c>
      <c r="I157" s="11" t="b">
        <f t="shared" si="2"/>
        <v>0</v>
      </c>
      <c r="K157" s="11" t="b">
        <f t="shared" si="3"/>
        <v>0</v>
      </c>
    </row>
    <row r="158" ht="22.5" customHeight="1">
      <c r="A158" s="12">
        <f t="shared" si="4"/>
        <v>1156</v>
      </c>
      <c r="B158" s="26" t="s">
        <v>3832</v>
      </c>
      <c r="C158" s="7" t="str">
        <f t="shared" si="1"/>
        <v>🔊</v>
      </c>
      <c r="D158" s="8" t="s">
        <v>3833</v>
      </c>
      <c r="E158" s="6" t="s">
        <v>13</v>
      </c>
      <c r="F158" s="5" t="s">
        <v>3834</v>
      </c>
      <c r="G158" s="20" t="s">
        <v>3835</v>
      </c>
      <c r="I158" s="11" t="b">
        <f t="shared" si="2"/>
        <v>0</v>
      </c>
      <c r="K158" s="11" t="b">
        <f t="shared" si="3"/>
        <v>0</v>
      </c>
    </row>
    <row r="159" ht="22.5" customHeight="1">
      <c r="A159" s="12">
        <f t="shared" si="4"/>
        <v>1157</v>
      </c>
      <c r="B159" s="26" t="s">
        <v>3836</v>
      </c>
      <c r="C159" s="7" t="str">
        <f t="shared" si="1"/>
        <v>🔊</v>
      </c>
      <c r="D159" s="8" t="s">
        <v>3837</v>
      </c>
      <c r="E159" s="6" t="s">
        <v>27</v>
      </c>
      <c r="F159" s="12" t="str">
        <f>IFERROR(__xludf.DUMMYFUNCTION("GOOGLETRANSLATE(B159,""zh_cn"",""vi"")"),"giá thấp")</f>
        <v>giá thấp</v>
      </c>
      <c r="G159" s="20" t="s">
        <v>3838</v>
      </c>
      <c r="I159" s="11" t="b">
        <f t="shared" si="2"/>
        <v>0</v>
      </c>
      <c r="K159" s="11" t="b">
        <f t="shared" si="3"/>
        <v>0</v>
      </c>
    </row>
    <row r="160" ht="22.5" customHeight="1">
      <c r="A160" s="12">
        <f t="shared" si="4"/>
        <v>1158</v>
      </c>
      <c r="B160" s="26" t="s">
        <v>3839</v>
      </c>
      <c r="C160" s="7" t="str">
        <f t="shared" si="1"/>
        <v>🔊</v>
      </c>
      <c r="D160" s="8" t="s">
        <v>3840</v>
      </c>
      <c r="E160" s="6" t="s">
        <v>13</v>
      </c>
      <c r="F160" s="12" t="str">
        <f>IFERROR(__xludf.DUMMYFUNCTION("GOOGLETRANSLATE(B160,""zh_cn"",""vi"")"),"đặt hàng")</f>
        <v>đặt hàng</v>
      </c>
      <c r="G160" s="20" t="s">
        <v>3841</v>
      </c>
      <c r="I160" s="11" t="b">
        <f t="shared" si="2"/>
        <v>0</v>
      </c>
      <c r="K160" s="11" t="b">
        <f t="shared" si="3"/>
        <v>0</v>
      </c>
    </row>
    <row r="161" ht="22.5" customHeight="1">
      <c r="A161" s="12">
        <f t="shared" si="4"/>
        <v>1159</v>
      </c>
      <c r="B161" s="26" t="s">
        <v>3842</v>
      </c>
      <c r="C161" s="7" t="str">
        <f t="shared" si="1"/>
        <v>🔊</v>
      </c>
      <c r="D161" s="8" t="s">
        <v>3840</v>
      </c>
      <c r="E161" s="6" t="s">
        <v>13</v>
      </c>
      <c r="F161" s="5" t="s">
        <v>3843</v>
      </c>
      <c r="G161" s="20" t="s">
        <v>3844</v>
      </c>
      <c r="I161" s="11" t="b">
        <f t="shared" si="2"/>
        <v>0</v>
      </c>
      <c r="K161" s="11" t="b">
        <f t="shared" si="3"/>
        <v>0</v>
      </c>
    </row>
    <row r="162" ht="22.5" customHeight="1">
      <c r="A162" s="12">
        <f t="shared" si="4"/>
        <v>1160</v>
      </c>
      <c r="B162" s="26" t="s">
        <v>3845</v>
      </c>
      <c r="C162" s="7" t="str">
        <f t="shared" si="1"/>
        <v>🔊</v>
      </c>
      <c r="D162" s="8" t="s">
        <v>3846</v>
      </c>
      <c r="E162" s="6" t="s">
        <v>27</v>
      </c>
      <c r="F162" s="12" t="str">
        <f>IFERROR(__xludf.DUMMYFUNCTION("GOOGLETRANSLATE(B162,""zh_cn"",""vi"")"),"Trái đất")</f>
        <v>Trái đất</v>
      </c>
      <c r="G162" s="20" t="s">
        <v>3847</v>
      </c>
      <c r="I162" s="11" t="b">
        <f t="shared" si="2"/>
        <v>0</v>
      </c>
      <c r="K162" s="11" t="b">
        <f t="shared" si="3"/>
        <v>0</v>
      </c>
    </row>
    <row r="163" ht="22.5" customHeight="1">
      <c r="A163" s="12">
        <f t="shared" si="4"/>
        <v>1161</v>
      </c>
      <c r="B163" s="26" t="s">
        <v>3848</v>
      </c>
      <c r="C163" s="7" t="str">
        <f t="shared" si="1"/>
        <v>🔊</v>
      </c>
      <c r="D163" s="8" t="s">
        <v>3849</v>
      </c>
      <c r="E163" s="6" t="s">
        <v>27</v>
      </c>
      <c r="F163" s="12" t="str">
        <f>IFERROR(__xludf.DUMMYFUNCTION("GOOGLETRANSLATE(B163,""zh_cn"",""vi"")"),"nhiệt độ thấp")</f>
        <v>nhiệt độ thấp</v>
      </c>
      <c r="G163" s="20" t="s">
        <v>3850</v>
      </c>
      <c r="I163" s="11" t="b">
        <f t="shared" si="2"/>
        <v>0</v>
      </c>
      <c r="K163" s="11" t="b">
        <f t="shared" si="3"/>
        <v>0</v>
      </c>
    </row>
    <row r="164" ht="22.5" customHeight="1">
      <c r="A164" s="12">
        <f t="shared" si="4"/>
        <v>1162</v>
      </c>
      <c r="B164" s="26" t="s">
        <v>3851</v>
      </c>
      <c r="C164" s="7" t="str">
        <f t="shared" si="1"/>
        <v>🔊</v>
      </c>
      <c r="D164" s="8" t="s">
        <v>3852</v>
      </c>
      <c r="E164" s="6" t="s">
        <v>27</v>
      </c>
      <c r="F164" s="5" t="s">
        <v>3853</v>
      </c>
      <c r="G164" s="20" t="s">
        <v>3854</v>
      </c>
      <c r="I164" s="11" t="b">
        <f t="shared" si="2"/>
        <v>0</v>
      </c>
      <c r="K164" s="11" t="b">
        <f t="shared" si="3"/>
        <v>0</v>
      </c>
    </row>
    <row r="165" ht="22.5" customHeight="1">
      <c r="A165" s="12">
        <f t="shared" si="4"/>
        <v>1163</v>
      </c>
      <c r="B165" s="26" t="s">
        <v>3855</v>
      </c>
      <c r="C165" s="7" t="str">
        <f t="shared" si="1"/>
        <v>🔊</v>
      </c>
      <c r="D165" s="8" t="s">
        <v>3856</v>
      </c>
      <c r="E165" s="6" t="s">
        <v>13</v>
      </c>
      <c r="F165" s="5" t="s">
        <v>3857</v>
      </c>
      <c r="G165" s="20" t="s">
        <v>3858</v>
      </c>
      <c r="I165" s="11" t="b">
        <f t="shared" si="2"/>
        <v>0</v>
      </c>
      <c r="K165" s="11" t="b">
        <f t="shared" si="3"/>
        <v>0</v>
      </c>
    </row>
    <row r="166" ht="22.5" customHeight="1">
      <c r="A166" s="12">
        <f t="shared" si="4"/>
        <v>1164</v>
      </c>
      <c r="B166" s="26" t="s">
        <v>3859</v>
      </c>
      <c r="C166" s="7" t="str">
        <f t="shared" si="1"/>
        <v>🔊</v>
      </c>
      <c r="D166" s="8" t="s">
        <v>3860</v>
      </c>
      <c r="E166" s="6" t="s">
        <v>27</v>
      </c>
      <c r="F166" s="12" t="str">
        <f>IFERROR(__xludf.DUMMYFUNCTION("GOOGLETRANSLATE(B166,""zh_cn"",""vi"")"),"Địa chỉ")</f>
        <v>Địa chỉ</v>
      </c>
      <c r="G166" s="20" t="s">
        <v>3861</v>
      </c>
      <c r="I166" s="11" t="b">
        <f t="shared" si="2"/>
        <v>0</v>
      </c>
      <c r="K166" s="11" t="b">
        <f t="shared" si="3"/>
        <v>0</v>
      </c>
    </row>
    <row r="167" ht="22.5" customHeight="1">
      <c r="A167" s="12">
        <f t="shared" si="4"/>
        <v>1165</v>
      </c>
      <c r="B167" s="26" t="s">
        <v>3862</v>
      </c>
      <c r="C167" s="7" t="str">
        <f t="shared" si="1"/>
        <v>🔊</v>
      </c>
      <c r="D167" s="8" t="s">
        <v>3863</v>
      </c>
      <c r="E167" s="6" t="s">
        <v>27</v>
      </c>
      <c r="F167" s="12" t="str">
        <f>IFERROR(__xludf.DUMMYFUNCTION("GOOGLETRANSLATE(B167,""zh_cn"",""vi"")"),"phía đông")</f>
        <v>phía đông</v>
      </c>
      <c r="G167" s="20" t="s">
        <v>3864</v>
      </c>
      <c r="I167" s="11" t="b">
        <f t="shared" si="2"/>
        <v>0</v>
      </c>
      <c r="K167" s="11" t="b">
        <f t="shared" si="3"/>
        <v>0</v>
      </c>
    </row>
    <row r="168" ht="22.5" customHeight="1">
      <c r="A168" s="12">
        <f t="shared" si="4"/>
        <v>1166</v>
      </c>
      <c r="B168" s="26" t="s">
        <v>3865</v>
      </c>
      <c r="C168" s="7" t="str">
        <f t="shared" si="1"/>
        <v>🔊</v>
      </c>
      <c r="D168" s="8" t="s">
        <v>3866</v>
      </c>
      <c r="E168" s="6" t="s">
        <v>27</v>
      </c>
      <c r="F168" s="12" t="str">
        <f>IFERROR(__xludf.DUMMYFUNCTION("GOOGLETRANSLATE(B168,""zh_cn"",""vi"")"),"tàu cao tốc")</f>
        <v>tàu cao tốc</v>
      </c>
      <c r="G168" s="20" t="s">
        <v>3867</v>
      </c>
      <c r="I168" s="11" t="b">
        <f t="shared" si="2"/>
        <v>0</v>
      </c>
      <c r="K168" s="11" t="b">
        <f t="shared" si="3"/>
        <v>0</v>
      </c>
    </row>
    <row r="169" ht="22.5" customHeight="1">
      <c r="A169" s="12">
        <f t="shared" si="4"/>
        <v>1167</v>
      </c>
      <c r="B169" s="26" t="s">
        <v>3868</v>
      </c>
      <c r="C169" s="7" t="str">
        <f t="shared" si="1"/>
        <v>🔊</v>
      </c>
      <c r="D169" s="8" t="s">
        <v>3869</v>
      </c>
      <c r="E169" s="6" t="s">
        <v>27</v>
      </c>
      <c r="F169" s="5" t="s">
        <v>3870</v>
      </c>
      <c r="G169" s="20" t="s">
        <v>3871</v>
      </c>
      <c r="I169" s="11" t="b">
        <f t="shared" si="2"/>
        <v>0</v>
      </c>
      <c r="K169" s="11" t="b">
        <f t="shared" si="3"/>
        <v>0</v>
      </c>
    </row>
    <row r="170" ht="22.5" customHeight="1">
      <c r="A170" s="12">
        <f t="shared" si="4"/>
        <v>1168</v>
      </c>
      <c r="B170" s="26" t="s">
        <v>3872</v>
      </c>
      <c r="C170" s="7" t="str">
        <f t="shared" si="1"/>
        <v>🔊</v>
      </c>
      <c r="D170" s="8" t="s">
        <v>3873</v>
      </c>
      <c r="E170" s="6" t="s">
        <v>27</v>
      </c>
      <c r="F170" s="12" t="str">
        <f>IFERROR(__xludf.DUMMYFUNCTION("GOOGLETRANSLATE(B170,""zh_cn"",""vi"")"),"Tin nhắn ngắn")</f>
        <v>Tin nhắn ngắn</v>
      </c>
      <c r="G170" s="20" t="s">
        <v>3874</v>
      </c>
      <c r="I170" s="11" t="b">
        <f t="shared" si="2"/>
        <v>0</v>
      </c>
      <c r="K170" s="11" t="b">
        <f t="shared" si="3"/>
        <v>0</v>
      </c>
    </row>
    <row r="171" ht="22.5" customHeight="1">
      <c r="A171" s="12">
        <f t="shared" si="4"/>
        <v>1169</v>
      </c>
      <c r="B171" s="26" t="s">
        <v>3875</v>
      </c>
      <c r="C171" s="7" t="str">
        <f t="shared" si="1"/>
        <v>🔊</v>
      </c>
      <c r="D171" s="8" t="s">
        <v>3876</v>
      </c>
      <c r="E171" s="6" t="s">
        <v>13</v>
      </c>
      <c r="F171" s="12" t="str">
        <f>IFERROR(__xludf.DUMMYFUNCTION("GOOGLETRANSLATE(B171,""zh_cn"",""vi"")"),"Tắc đường")</f>
        <v>Tắc đường</v>
      </c>
      <c r="G171" s="20" t="s">
        <v>3877</v>
      </c>
      <c r="I171" s="11" t="b">
        <f t="shared" si="2"/>
        <v>0</v>
      </c>
      <c r="K171" s="11" t="b">
        <f t="shared" si="3"/>
        <v>0</v>
      </c>
    </row>
    <row r="172" ht="22.5" customHeight="1">
      <c r="A172" s="12">
        <f t="shared" si="4"/>
        <v>1170</v>
      </c>
      <c r="B172" s="26" t="s">
        <v>3878</v>
      </c>
      <c r="C172" s="7" t="str">
        <f t="shared" si="1"/>
        <v>🔊</v>
      </c>
      <c r="D172" s="8" t="s">
        <v>162</v>
      </c>
      <c r="E172" s="6" t="s">
        <v>1034</v>
      </c>
      <c r="F172" s="12" t="str">
        <f>IFERROR(__xludf.DUMMYFUNCTION("GOOGLETRANSLATE(B172,""zh_cn"",""vi"")"),"Đội")</f>
        <v>Đội</v>
      </c>
      <c r="G172" s="20" t="s">
        <v>3879</v>
      </c>
      <c r="I172" s="11" t="b">
        <f t="shared" si="2"/>
        <v>0</v>
      </c>
      <c r="K172" s="11" t="b">
        <f t="shared" si="3"/>
        <v>0</v>
      </c>
    </row>
    <row r="173" ht="22.5" customHeight="1">
      <c r="A173" s="12">
        <f t="shared" si="4"/>
        <v>1171</v>
      </c>
      <c r="B173" s="26" t="s">
        <v>3880</v>
      </c>
      <c r="C173" s="7" t="str">
        <f t="shared" si="1"/>
        <v>🔊</v>
      </c>
      <c r="D173" s="8" t="s">
        <v>3881</v>
      </c>
      <c r="E173" s="6" t="s">
        <v>27</v>
      </c>
      <c r="F173" s="5" t="s">
        <v>3882</v>
      </c>
      <c r="G173" s="20" t="s">
        <v>3883</v>
      </c>
      <c r="I173" s="11" t="b">
        <f t="shared" si="2"/>
        <v>0</v>
      </c>
      <c r="K173" s="11" t="b">
        <f t="shared" si="3"/>
        <v>0</v>
      </c>
    </row>
    <row r="174" ht="22.5" customHeight="1">
      <c r="A174" s="12">
        <f t="shared" si="4"/>
        <v>1172</v>
      </c>
      <c r="B174" s="26" t="s">
        <v>3884</v>
      </c>
      <c r="C174" s="7" t="str">
        <f t="shared" si="1"/>
        <v>🔊</v>
      </c>
      <c r="D174" s="8" t="s">
        <v>3885</v>
      </c>
      <c r="E174" s="6" t="s">
        <v>27</v>
      </c>
      <c r="F174" s="12" t="str">
        <f>IFERROR(__xludf.DUMMYFUNCTION("GOOGLETRANSLATE(B174,""zh_cn"",""vi"")"),"đối diện")</f>
        <v>đối diện</v>
      </c>
      <c r="G174" s="20" t="s">
        <v>3886</v>
      </c>
      <c r="I174" s="11" t="b">
        <f t="shared" si="2"/>
        <v>0</v>
      </c>
      <c r="K174" s="11" t="b">
        <f t="shared" si="3"/>
        <v>0</v>
      </c>
    </row>
    <row r="175" ht="22.5" customHeight="1">
      <c r="A175" s="12">
        <f t="shared" si="4"/>
        <v>1173</v>
      </c>
      <c r="B175" s="26" t="s">
        <v>3887</v>
      </c>
      <c r="C175" s="7" t="str">
        <f t="shared" si="1"/>
        <v>🔊</v>
      </c>
      <c r="D175" s="8" t="s">
        <v>3888</v>
      </c>
      <c r="E175" s="6" t="s">
        <v>1766</v>
      </c>
      <c r="F175" s="5" t="s">
        <v>3889</v>
      </c>
      <c r="G175" s="20" t="s">
        <v>3890</v>
      </c>
      <c r="I175" s="11" t="b">
        <f t="shared" si="2"/>
        <v>0</v>
      </c>
      <c r="K175" s="11" t="b">
        <f t="shared" si="3"/>
        <v>0</v>
      </c>
    </row>
    <row r="176" ht="22.5" customHeight="1">
      <c r="A176" s="12">
        <f t="shared" si="4"/>
        <v>1174</v>
      </c>
      <c r="B176" s="26" t="s">
        <v>3891</v>
      </c>
      <c r="C176" s="7" t="str">
        <f t="shared" si="1"/>
        <v>🔊</v>
      </c>
      <c r="D176" s="8" t="s">
        <v>3892</v>
      </c>
      <c r="E176" s="6" t="s">
        <v>27</v>
      </c>
      <c r="F176" s="12" t="str">
        <f>IFERROR(__xludf.DUMMYFUNCTION("GOOGLETRANSLATE(B176,""zh_cn"",""vi"")"),"Thành viên nhóm")</f>
        <v>Thành viên nhóm</v>
      </c>
      <c r="G176" s="20" t="s">
        <v>3893</v>
      </c>
      <c r="I176" s="11" t="b">
        <f t="shared" si="2"/>
        <v>0</v>
      </c>
      <c r="K176" s="11" t="b">
        <f t="shared" si="3"/>
        <v>0</v>
      </c>
    </row>
    <row r="177" ht="22.5" customHeight="1">
      <c r="A177" s="12">
        <f t="shared" si="4"/>
        <v>1175</v>
      </c>
      <c r="B177" s="26" t="s">
        <v>3894</v>
      </c>
      <c r="C177" s="7" t="str">
        <f t="shared" si="1"/>
        <v>🔊</v>
      </c>
      <c r="D177" s="8" t="s">
        <v>3895</v>
      </c>
      <c r="E177" s="6" t="s">
        <v>27</v>
      </c>
      <c r="F177" s="12" t="str">
        <f>IFERROR(__xludf.DUMMYFUNCTION("GOOGLETRANSLATE(B177,""zh_cn"",""vi"")"),"trưởng nhóm")</f>
        <v>trưởng nhóm</v>
      </c>
      <c r="G177" s="20" t="s">
        <v>3896</v>
      </c>
      <c r="I177" s="11" t="b">
        <f t="shared" si="2"/>
        <v>0</v>
      </c>
      <c r="K177" s="11" t="b">
        <f t="shared" si="3"/>
        <v>0</v>
      </c>
    </row>
    <row r="178" ht="22.5" customHeight="1">
      <c r="A178" s="12">
        <f t="shared" si="4"/>
        <v>1176</v>
      </c>
      <c r="B178" s="26" t="s">
        <v>3897</v>
      </c>
      <c r="C178" s="7" t="str">
        <f t="shared" si="1"/>
        <v>🔊</v>
      </c>
      <c r="D178" s="8" t="s">
        <v>3898</v>
      </c>
      <c r="E178" s="6" t="s">
        <v>13</v>
      </c>
      <c r="F178" s="5" t="s">
        <v>3899</v>
      </c>
      <c r="G178" s="20" t="s">
        <v>3900</v>
      </c>
      <c r="I178" s="11" t="b">
        <f t="shared" si="2"/>
        <v>0</v>
      </c>
      <c r="K178" s="11" t="b">
        <f t="shared" si="3"/>
        <v>0</v>
      </c>
    </row>
    <row r="179" ht="22.5" customHeight="1">
      <c r="A179" s="12">
        <f t="shared" si="4"/>
        <v>1177</v>
      </c>
      <c r="B179" s="26" t="s">
        <v>3901</v>
      </c>
      <c r="C179" s="7" t="str">
        <f t="shared" si="1"/>
        <v>🔊</v>
      </c>
      <c r="D179" s="8" t="s">
        <v>3902</v>
      </c>
      <c r="E179" s="6" t="s">
        <v>2129</v>
      </c>
      <c r="F179" s="5" t="s">
        <v>3903</v>
      </c>
      <c r="G179" s="20" t="s">
        <v>3904</v>
      </c>
      <c r="I179" s="11" t="b">
        <f t="shared" si="2"/>
        <v>0</v>
      </c>
      <c r="K179" s="11" t="b">
        <f t="shared" si="3"/>
        <v>0</v>
      </c>
    </row>
    <row r="180" ht="22.5" customHeight="1">
      <c r="A180" s="12">
        <f t="shared" si="4"/>
        <v>1178</v>
      </c>
      <c r="B180" s="26" t="s">
        <v>3905</v>
      </c>
      <c r="C180" s="7" t="str">
        <f t="shared" si="1"/>
        <v>🔊</v>
      </c>
      <c r="D180" s="8" t="s">
        <v>3906</v>
      </c>
      <c r="E180" s="6" t="s">
        <v>61</v>
      </c>
      <c r="F180" s="5" t="s">
        <v>3907</v>
      </c>
      <c r="G180" s="20" t="s">
        <v>3908</v>
      </c>
      <c r="I180" s="11" t="b">
        <f t="shared" si="2"/>
        <v>0</v>
      </c>
      <c r="K180" s="11" t="b">
        <f t="shared" si="3"/>
        <v>0</v>
      </c>
    </row>
    <row r="181" ht="22.5" customHeight="1">
      <c r="A181" s="12">
        <f t="shared" si="4"/>
        <v>1179</v>
      </c>
      <c r="B181" s="26" t="s">
        <v>3909</v>
      </c>
      <c r="C181" s="7" t="str">
        <f t="shared" si="1"/>
        <v>🔊</v>
      </c>
      <c r="D181" s="8" t="s">
        <v>3910</v>
      </c>
      <c r="E181" s="6" t="s">
        <v>27</v>
      </c>
      <c r="F181" s="12" t="str">
        <f>IFERROR(__xludf.DUMMYFUNCTION("GOOGLETRANSLATE(B181,""zh_cn"",""vi"")"),"hầu hết")</f>
        <v>hầu hết</v>
      </c>
      <c r="G181" s="20" t="s">
        <v>3911</v>
      </c>
      <c r="I181" s="11" t="b">
        <f t="shared" si="2"/>
        <v>0</v>
      </c>
      <c r="K181" s="11" t="b">
        <f t="shared" si="3"/>
        <v>0</v>
      </c>
    </row>
    <row r="182" ht="22.5" customHeight="1">
      <c r="A182" s="12">
        <f t="shared" si="4"/>
        <v>1180</v>
      </c>
      <c r="B182" s="26" t="s">
        <v>3912</v>
      </c>
      <c r="C182" s="7" t="str">
        <f t="shared" si="1"/>
        <v>🔊</v>
      </c>
      <c r="D182" s="8" t="s">
        <v>3913</v>
      </c>
      <c r="E182" s="6" t="s">
        <v>99</v>
      </c>
      <c r="F182" s="12" t="str">
        <f>IFERROR(__xludf.DUMMYFUNCTION("GOOGLETRANSLATE(B182,""zh_cn"",""vi"")"),"Phong phú")</f>
        <v>Phong phú</v>
      </c>
      <c r="G182" s="20" t="s">
        <v>3914</v>
      </c>
      <c r="I182" s="11" t="b">
        <f t="shared" si="2"/>
        <v>0</v>
      </c>
      <c r="K182" s="11" t="b">
        <f t="shared" si="3"/>
        <v>0</v>
      </c>
    </row>
    <row r="183" ht="22.5" customHeight="1">
      <c r="A183" s="12">
        <f t="shared" si="4"/>
        <v>1181</v>
      </c>
      <c r="B183" s="26" t="s">
        <v>3915</v>
      </c>
      <c r="C183" s="7" t="str">
        <f t="shared" si="1"/>
        <v>🔊</v>
      </c>
      <c r="D183" s="8" t="s">
        <v>3916</v>
      </c>
      <c r="E183" s="6" t="s">
        <v>27</v>
      </c>
      <c r="F183" s="12" t="str">
        <f>IFERROR(__xludf.DUMMYFUNCTION("GOOGLETRANSLATE(B183,""zh_cn"",""vi"")"),"người đọc")</f>
        <v>người đọc</v>
      </c>
      <c r="G183" s="20" t="s">
        <v>3917</v>
      </c>
      <c r="I183" s="11" t="b">
        <f t="shared" si="2"/>
        <v>0</v>
      </c>
      <c r="K183" s="11" t="b">
        <f t="shared" si="3"/>
        <v>0</v>
      </c>
    </row>
    <row r="184" ht="22.5" customHeight="1">
      <c r="A184" s="12">
        <f t="shared" si="4"/>
        <v>1182</v>
      </c>
      <c r="B184" s="26" t="s">
        <v>3918</v>
      </c>
      <c r="C184" s="7" t="str">
        <f t="shared" si="1"/>
        <v>🔊</v>
      </c>
      <c r="D184" s="8" t="s">
        <v>3919</v>
      </c>
      <c r="E184" s="6" t="s">
        <v>27</v>
      </c>
      <c r="F184" s="12" t="str">
        <f>IFERROR(__xludf.DUMMYFUNCTION("GOOGLETRANSLATE(B184,""zh_cn"",""vi"")"),"bụng")</f>
        <v>bụng</v>
      </c>
      <c r="G184" s="20" t="s">
        <v>3920</v>
      </c>
      <c r="I184" s="11" t="b">
        <f t="shared" si="2"/>
        <v>0</v>
      </c>
      <c r="K184" s="11" t="b">
        <f t="shared" si="3"/>
        <v>0</v>
      </c>
    </row>
    <row r="185" ht="22.5" customHeight="1">
      <c r="A185" s="12">
        <f t="shared" si="4"/>
        <v>1183</v>
      </c>
      <c r="B185" s="26" t="s">
        <v>3921</v>
      </c>
      <c r="C185" s="7" t="str">
        <f t="shared" si="1"/>
        <v>🔊</v>
      </c>
      <c r="D185" s="8" t="s">
        <v>3922</v>
      </c>
      <c r="E185" s="6" t="s">
        <v>1132</v>
      </c>
      <c r="F185" s="12" t="str">
        <f>IFERROR(__xludf.DUMMYFUNCTION("GOOGLETRANSLATE(B185,""zh_cn"",""vi"")"),"Và")</f>
        <v>Và</v>
      </c>
      <c r="G185" s="20" t="s">
        <v>3923</v>
      </c>
      <c r="I185" s="11" t="b">
        <f t="shared" si="2"/>
        <v>0</v>
      </c>
      <c r="K185" s="11" t="b">
        <f t="shared" si="3"/>
        <v>0</v>
      </c>
    </row>
    <row r="186" ht="22.5" customHeight="1">
      <c r="A186" s="12">
        <f t="shared" si="4"/>
        <v>1184</v>
      </c>
      <c r="B186" s="26" t="s">
        <v>3924</v>
      </c>
      <c r="C186" s="7" t="str">
        <f t="shared" si="1"/>
        <v>🔊</v>
      </c>
      <c r="D186" s="8" t="s">
        <v>3925</v>
      </c>
      <c r="E186" s="6" t="s">
        <v>27</v>
      </c>
      <c r="F186" s="5" t="s">
        <v>3926</v>
      </c>
      <c r="G186" s="20" t="s">
        <v>3927</v>
      </c>
      <c r="I186" s="11" t="b">
        <f t="shared" si="2"/>
        <v>0</v>
      </c>
      <c r="K186" s="11" t="b">
        <f t="shared" si="3"/>
        <v>0</v>
      </c>
    </row>
    <row r="187" ht="22.5" customHeight="1">
      <c r="A187" s="12">
        <f t="shared" si="4"/>
        <v>1185</v>
      </c>
      <c r="B187" s="26" t="s">
        <v>3928</v>
      </c>
      <c r="C187" s="7" t="str">
        <f t="shared" si="1"/>
        <v>🔊</v>
      </c>
      <c r="D187" s="8" t="s">
        <v>3929</v>
      </c>
      <c r="E187" s="6" t="s">
        <v>27</v>
      </c>
      <c r="F187" s="12" t="str">
        <f>IFERROR(__xludf.DUMMYFUNCTION("GOOGLETRANSLATE(B187,""zh_cn"",""vi"")"),"Pháp luật")</f>
        <v>Pháp luật</v>
      </c>
      <c r="G187" s="20" t="s">
        <v>3930</v>
      </c>
      <c r="I187" s="11" t="b">
        <f t="shared" si="2"/>
        <v>0</v>
      </c>
      <c r="K187" s="11" t="b">
        <f t="shared" si="3"/>
        <v>0</v>
      </c>
    </row>
    <row r="188" ht="22.5" customHeight="1">
      <c r="A188" s="12">
        <f t="shared" si="4"/>
        <v>1186</v>
      </c>
      <c r="B188" s="26" t="s">
        <v>3931</v>
      </c>
      <c r="C188" s="7" t="str">
        <f t="shared" si="1"/>
        <v>🔊</v>
      </c>
      <c r="D188" s="8" t="s">
        <v>3932</v>
      </c>
      <c r="E188" s="6" t="s">
        <v>13</v>
      </c>
      <c r="F188" s="5" t="s">
        <v>3933</v>
      </c>
      <c r="G188" s="20" t="s">
        <v>3934</v>
      </c>
      <c r="I188" s="11" t="b">
        <f t="shared" si="2"/>
        <v>0</v>
      </c>
      <c r="K188" s="11" t="b">
        <f t="shared" si="3"/>
        <v>0</v>
      </c>
    </row>
    <row r="189" ht="22.5" customHeight="1">
      <c r="A189" s="12">
        <f t="shared" si="4"/>
        <v>1187</v>
      </c>
      <c r="B189" s="26" t="s">
        <v>3935</v>
      </c>
      <c r="C189" s="7" t="str">
        <f t="shared" si="1"/>
        <v>🔊</v>
      </c>
      <c r="D189" s="8" t="s">
        <v>3936</v>
      </c>
      <c r="E189" s="6" t="s">
        <v>27</v>
      </c>
      <c r="F189" s="12" t="str">
        <f>IFERROR(__xludf.DUMMYFUNCTION("GOOGLETRANSLATE(B189,""zh_cn"",""vi"")"),"pháp luật")</f>
        <v>pháp luật</v>
      </c>
      <c r="G189" s="20" t="s">
        <v>3937</v>
      </c>
      <c r="I189" s="11" t="b">
        <f t="shared" si="2"/>
        <v>0</v>
      </c>
      <c r="K189" s="11" t="b">
        <f t="shared" si="3"/>
        <v>0</v>
      </c>
    </row>
    <row r="190" ht="22.5" customHeight="1">
      <c r="A190" s="12">
        <f t="shared" si="4"/>
        <v>1188</v>
      </c>
      <c r="B190" s="26" t="s">
        <v>3938</v>
      </c>
      <c r="C190" s="7" t="str">
        <f t="shared" si="1"/>
        <v>🔊</v>
      </c>
      <c r="D190" s="8" t="s">
        <v>3939</v>
      </c>
      <c r="E190" s="6" t="s">
        <v>416</v>
      </c>
      <c r="F190" s="5" t="s">
        <v>3940</v>
      </c>
      <c r="G190" s="20" t="s">
        <v>3941</v>
      </c>
      <c r="I190" s="11" t="b">
        <f t="shared" si="2"/>
        <v>0</v>
      </c>
      <c r="K190" s="11" t="b">
        <f t="shared" si="3"/>
        <v>0</v>
      </c>
    </row>
    <row r="191" ht="22.5" customHeight="1">
      <c r="A191" s="12">
        <f t="shared" si="4"/>
        <v>1189</v>
      </c>
      <c r="B191" s="26" t="s">
        <v>3942</v>
      </c>
      <c r="C191" s="7" t="str">
        <f t="shared" si="1"/>
        <v>🔊</v>
      </c>
      <c r="D191" s="8" t="s">
        <v>3943</v>
      </c>
      <c r="E191" s="6" t="s">
        <v>13</v>
      </c>
      <c r="F191" s="12" t="str">
        <f>IFERROR(__xludf.DUMMYFUNCTION("GOOGLETRANSLATE(B191,""zh_cn"",""vi"")"),"phản đối")</f>
        <v>phản đối</v>
      </c>
      <c r="G191" s="20" t="s">
        <v>3944</v>
      </c>
      <c r="I191" s="11" t="b">
        <f t="shared" si="2"/>
        <v>0</v>
      </c>
      <c r="K191" s="11" t="b">
        <f t="shared" si="3"/>
        <v>0</v>
      </c>
    </row>
    <row r="192" ht="22.5" customHeight="1">
      <c r="A192" s="12">
        <f t="shared" si="4"/>
        <v>1190</v>
      </c>
      <c r="B192" s="26" t="s">
        <v>3945</v>
      </c>
      <c r="C192" s="7" t="str">
        <f t="shared" si="1"/>
        <v>🔊</v>
      </c>
      <c r="D192" s="8" t="s">
        <v>3946</v>
      </c>
      <c r="E192" s="6" t="s">
        <v>27</v>
      </c>
      <c r="F192" s="12" t="str">
        <f>IFERROR(__xludf.DUMMYFUNCTION("GOOGLETRANSLATE(B192,""zh_cn"",""vi"")"),"chủ nhà")</f>
        <v>chủ nhà</v>
      </c>
      <c r="G192" s="20" t="s">
        <v>3947</v>
      </c>
      <c r="I192" s="11" t="b">
        <f t="shared" si="2"/>
        <v>0</v>
      </c>
      <c r="K192" s="11" t="b">
        <f t="shared" si="3"/>
        <v>0</v>
      </c>
    </row>
    <row r="193" ht="22.5" customHeight="1">
      <c r="A193" s="12">
        <f t="shared" si="4"/>
        <v>1191</v>
      </c>
      <c r="B193" s="26" t="s">
        <v>3948</v>
      </c>
      <c r="C193" s="7" t="str">
        <f t="shared" si="1"/>
        <v>🔊</v>
      </c>
      <c r="D193" s="8" t="s">
        <v>3949</v>
      </c>
      <c r="E193" s="6" t="s">
        <v>27</v>
      </c>
      <c r="F193" s="5" t="s">
        <v>3950</v>
      </c>
      <c r="G193" s="20" t="s">
        <v>3951</v>
      </c>
      <c r="I193" s="11" t="b">
        <f t="shared" si="2"/>
        <v>0</v>
      </c>
      <c r="K193" s="11" t="b">
        <f t="shared" si="3"/>
        <v>0</v>
      </c>
    </row>
    <row r="194" ht="22.5" customHeight="1">
      <c r="A194" s="12">
        <f t="shared" si="4"/>
        <v>1192</v>
      </c>
      <c r="B194" s="26" t="s">
        <v>3952</v>
      </c>
      <c r="C194" s="7" t="str">
        <f t="shared" si="1"/>
        <v>🔊</v>
      </c>
      <c r="D194" s="8" t="s">
        <v>3953</v>
      </c>
      <c r="E194" s="6" t="s">
        <v>13</v>
      </c>
      <c r="F194" s="12" t="str">
        <f>IFERROR(__xludf.DUMMYFUNCTION("GOOGLETRANSLATE(B194,""zh_cn"",""vi"")"),"bỏ cuộc")</f>
        <v>bỏ cuộc</v>
      </c>
      <c r="G194" s="20" t="s">
        <v>3954</v>
      </c>
      <c r="I194" s="11" t="b">
        <f t="shared" si="2"/>
        <v>0</v>
      </c>
      <c r="K194" s="11" t="b">
        <f t="shared" si="3"/>
        <v>0</v>
      </c>
    </row>
    <row r="195" ht="22.5" customHeight="1">
      <c r="A195" s="12">
        <f t="shared" si="4"/>
        <v>1193</v>
      </c>
      <c r="B195" s="26" t="s">
        <v>3955</v>
      </c>
      <c r="C195" s="7" t="str">
        <f t="shared" si="1"/>
        <v>🔊</v>
      </c>
      <c r="D195" s="8" t="s">
        <v>3956</v>
      </c>
      <c r="E195" s="6" t="s">
        <v>27</v>
      </c>
      <c r="F195" s="5" t="s">
        <v>3957</v>
      </c>
      <c r="G195" s="20" t="s">
        <v>3958</v>
      </c>
      <c r="I195" s="11" t="b">
        <f t="shared" si="2"/>
        <v>0</v>
      </c>
      <c r="K195" s="11" t="b">
        <f t="shared" si="3"/>
        <v>0</v>
      </c>
    </row>
    <row r="196" ht="22.5" customHeight="1">
      <c r="A196" s="12">
        <f t="shared" si="4"/>
        <v>1194</v>
      </c>
      <c r="B196" s="26" t="s">
        <v>3959</v>
      </c>
      <c r="C196" s="7" t="str">
        <f t="shared" si="1"/>
        <v>🔊</v>
      </c>
      <c r="D196" s="8" t="s">
        <v>3960</v>
      </c>
      <c r="E196" s="6" t="s">
        <v>13</v>
      </c>
      <c r="F196" s="12" t="str">
        <f>IFERROR(__xludf.DUMMYFUNCTION("GOOGLETRANSLATE(B196,""zh_cn"",""vi"")"),"Thư giãn")</f>
        <v>Thư giãn</v>
      </c>
      <c r="G196" s="20" t="s">
        <v>3961</v>
      </c>
      <c r="I196" s="11" t="b">
        <f t="shared" si="2"/>
        <v>0</v>
      </c>
      <c r="K196" s="11" t="b">
        <f t="shared" si="3"/>
        <v>0</v>
      </c>
    </row>
    <row r="197" ht="22.5" customHeight="1">
      <c r="A197" s="12">
        <f t="shared" si="4"/>
        <v>1195</v>
      </c>
      <c r="B197" s="26" t="s">
        <v>3962</v>
      </c>
      <c r="C197" s="7" t="str">
        <f t="shared" si="1"/>
        <v>🔊</v>
      </c>
      <c r="D197" s="8" t="s">
        <v>3963</v>
      </c>
      <c r="E197" s="6" t="s">
        <v>27</v>
      </c>
      <c r="F197" s="5" t="s">
        <v>3964</v>
      </c>
      <c r="G197" s="20" t="s">
        <v>3965</v>
      </c>
      <c r="I197" s="11" t="b">
        <f t="shared" si="2"/>
        <v>0</v>
      </c>
      <c r="K197" s="11" t="b">
        <f t="shared" si="3"/>
        <v>0</v>
      </c>
    </row>
    <row r="198" ht="22.5" customHeight="1">
      <c r="A198" s="12">
        <f t="shared" si="4"/>
        <v>1196</v>
      </c>
      <c r="B198" s="26" t="s">
        <v>3966</v>
      </c>
      <c r="C198" s="7" t="str">
        <f t="shared" si="1"/>
        <v>🔊</v>
      </c>
      <c r="D198" s="8" t="s">
        <v>3967</v>
      </c>
      <c r="E198" s="6" t="s">
        <v>99</v>
      </c>
      <c r="F198" s="5" t="s">
        <v>3968</v>
      </c>
      <c r="G198" s="20" t="s">
        <v>3969</v>
      </c>
      <c r="I198" s="11" t="b">
        <f t="shared" si="2"/>
        <v>0</v>
      </c>
      <c r="K198" s="11" t="b">
        <f t="shared" si="3"/>
        <v>0</v>
      </c>
    </row>
    <row r="199" ht="22.5" customHeight="1">
      <c r="A199" s="12">
        <f t="shared" si="4"/>
        <v>1197</v>
      </c>
      <c r="B199" s="26" t="s">
        <v>3970</v>
      </c>
      <c r="C199" s="7" t="str">
        <f t="shared" si="1"/>
        <v>🔊</v>
      </c>
      <c r="D199" s="8" t="s">
        <v>3971</v>
      </c>
      <c r="E199" s="6" t="s">
        <v>232</v>
      </c>
      <c r="F199" s="5" t="s">
        <v>3972</v>
      </c>
      <c r="G199" s="20" t="s">
        <v>3973</v>
      </c>
      <c r="I199" s="11" t="b">
        <f t="shared" si="2"/>
        <v>0</v>
      </c>
      <c r="K199" s="11" t="b">
        <f t="shared" si="3"/>
        <v>0</v>
      </c>
    </row>
    <row r="200" ht="22.5" customHeight="1">
      <c r="A200" s="12">
        <f t="shared" si="4"/>
        <v>1198</v>
      </c>
      <c r="B200" s="26" t="s">
        <v>3974</v>
      </c>
      <c r="C200" s="7" t="str">
        <f t="shared" si="1"/>
        <v>🔊</v>
      </c>
      <c r="D200" s="8" t="s">
        <v>3975</v>
      </c>
      <c r="E200" s="6" t="s">
        <v>13</v>
      </c>
      <c r="F200" s="12" t="str">
        <f>IFERROR(__xludf.DUMMYFUNCTION("GOOGLETRANSLATE(B200,""zh_cn"",""vi"")"),"gửi")</f>
        <v>gửi</v>
      </c>
      <c r="G200" s="20" t="s">
        <v>3976</v>
      </c>
      <c r="I200" s="11" t="b">
        <f t="shared" si="2"/>
        <v>0</v>
      </c>
      <c r="K200" s="11" t="b">
        <f t="shared" si="3"/>
        <v>0</v>
      </c>
    </row>
    <row r="201" ht="22.5" customHeight="1">
      <c r="A201" s="12">
        <f t="shared" si="4"/>
        <v>1199</v>
      </c>
      <c r="B201" s="26" t="s">
        <v>3977</v>
      </c>
      <c r="C201" s="7" t="str">
        <f t="shared" si="1"/>
        <v>🔊</v>
      </c>
      <c r="D201" s="8" t="s">
        <v>3978</v>
      </c>
      <c r="E201" s="6" t="s">
        <v>57</v>
      </c>
      <c r="F201" s="12" t="str">
        <f>IFERROR(__xludf.DUMMYFUNCTION("GOOGLETRANSLATE(B201,""zh_cn"",""vi"")"),"phí")</f>
        <v>phí</v>
      </c>
      <c r="G201" s="20" t="s">
        <v>3979</v>
      </c>
      <c r="I201" s="11" t="b">
        <f t="shared" si="2"/>
        <v>0</v>
      </c>
      <c r="K201" s="11" t="b">
        <f t="shared" si="3"/>
        <v>0</v>
      </c>
    </row>
    <row r="202" ht="22.5" customHeight="1">
      <c r="A202" s="12">
        <f t="shared" si="4"/>
        <v>1200</v>
      </c>
      <c r="B202" s="26" t="s">
        <v>3980</v>
      </c>
      <c r="C202" s="7" t="str">
        <f t="shared" si="1"/>
        <v>🔊</v>
      </c>
      <c r="D202" s="8" t="s">
        <v>3981</v>
      </c>
      <c r="E202" s="6" t="s">
        <v>27</v>
      </c>
      <c r="F202" s="5" t="s">
        <v>3982</v>
      </c>
      <c r="G202" s="20" t="s">
        <v>3983</v>
      </c>
      <c r="I202" s="11" t="b">
        <f t="shared" si="2"/>
        <v>0</v>
      </c>
      <c r="K202" s="11" t="b">
        <f t="shared" si="3"/>
        <v>0</v>
      </c>
    </row>
    <row r="203" ht="22.5" customHeight="1">
      <c r="A203" s="12">
        <f t="shared" si="4"/>
        <v>1201</v>
      </c>
      <c r="B203" s="26" t="s">
        <v>3984</v>
      </c>
      <c r="C203" s="7" t="str">
        <f t="shared" si="1"/>
        <v>🔊</v>
      </c>
      <c r="D203" s="8" t="s">
        <v>3985</v>
      </c>
      <c r="E203" s="6" t="s">
        <v>47</v>
      </c>
      <c r="F203" s="5" t="s">
        <v>3986</v>
      </c>
      <c r="G203" s="20" t="s">
        <v>3987</v>
      </c>
      <c r="I203" s="11" t="b">
        <f t="shared" si="2"/>
        <v>0</v>
      </c>
      <c r="K203" s="11" t="b">
        <f t="shared" si="3"/>
        <v>0</v>
      </c>
    </row>
    <row r="204" ht="22.5" customHeight="1">
      <c r="A204" s="12">
        <f t="shared" si="4"/>
        <v>1202</v>
      </c>
      <c r="B204" s="26" t="s">
        <v>3988</v>
      </c>
      <c r="C204" s="7" t="str">
        <f t="shared" si="1"/>
        <v>🔊</v>
      </c>
      <c r="D204" s="8" t="s">
        <v>3989</v>
      </c>
      <c r="E204" s="6" t="s">
        <v>99</v>
      </c>
      <c r="F204" s="5" t="s">
        <v>3990</v>
      </c>
      <c r="G204" s="20" t="s">
        <v>3991</v>
      </c>
      <c r="I204" s="11" t="b">
        <f t="shared" si="2"/>
        <v>0</v>
      </c>
      <c r="K204" s="11" t="b">
        <f t="shared" si="3"/>
        <v>0</v>
      </c>
    </row>
    <row r="205" ht="22.5" customHeight="1">
      <c r="A205" s="12">
        <f t="shared" si="4"/>
        <v>1203</v>
      </c>
      <c r="B205" s="26" t="s">
        <v>3992</v>
      </c>
      <c r="C205" s="7" t="str">
        <f t="shared" si="1"/>
        <v>🔊</v>
      </c>
      <c r="D205" s="8" t="s">
        <v>3993</v>
      </c>
      <c r="E205" s="6" t="s">
        <v>27</v>
      </c>
      <c r="F205" s="12" t="str">
        <f>IFERROR(__xludf.DUMMYFUNCTION("GOOGLETRANSLATE(B205,""zh_cn"",""vi"")"),"phong cảnh")</f>
        <v>phong cảnh</v>
      </c>
      <c r="G205" s="20" t="s">
        <v>3994</v>
      </c>
      <c r="I205" s="11" t="b">
        <f t="shared" si="2"/>
        <v>0</v>
      </c>
      <c r="K205" s="11" t="b">
        <f t="shared" si="3"/>
        <v>0</v>
      </c>
    </row>
    <row r="206" ht="22.5" customHeight="1">
      <c r="A206" s="12">
        <f t="shared" si="4"/>
        <v>1204</v>
      </c>
      <c r="B206" s="26" t="s">
        <v>3995</v>
      </c>
      <c r="C206" s="7" t="str">
        <f t="shared" si="1"/>
        <v>🔊</v>
      </c>
      <c r="D206" s="8" t="s">
        <v>3996</v>
      </c>
      <c r="E206" s="6" t="s">
        <v>27</v>
      </c>
      <c r="F206" s="12" t="str">
        <f>IFERROR(__xludf.DUMMYFUNCTION("GOOGLETRANSLATE(B206,""zh_cn"",""vi"")"),"Phân số")</f>
        <v>Phân số</v>
      </c>
      <c r="G206" s="20" t="s">
        <v>3997</v>
      </c>
      <c r="I206" s="11" t="b">
        <f t="shared" si="2"/>
        <v>0</v>
      </c>
      <c r="K206" s="11" t="b">
        <f t="shared" si="3"/>
        <v>0</v>
      </c>
    </row>
    <row r="207" ht="22.5" customHeight="1">
      <c r="A207" s="12">
        <f t="shared" si="4"/>
        <v>1205</v>
      </c>
      <c r="B207" s="26" t="s">
        <v>3998</v>
      </c>
      <c r="C207" s="7" t="str">
        <f t="shared" si="1"/>
        <v>🔊</v>
      </c>
      <c r="D207" s="8" t="s">
        <v>3999</v>
      </c>
      <c r="E207" s="6" t="s">
        <v>13</v>
      </c>
      <c r="F207" s="12" t="str">
        <f>IFERROR(__xludf.DUMMYFUNCTION("GOOGLETRANSLATE(B207,""zh_cn"",""vi"")"),"Chia thành")</f>
        <v>Chia thành</v>
      </c>
      <c r="G207" s="20" t="s">
        <v>4000</v>
      </c>
      <c r="I207" s="11" t="b">
        <f t="shared" si="2"/>
        <v>0</v>
      </c>
      <c r="K207" s="11" t="b">
        <f t="shared" si="3"/>
        <v>0</v>
      </c>
    </row>
    <row r="208" ht="22.5" customHeight="1">
      <c r="A208" s="12">
        <f t="shared" si="4"/>
        <v>1206</v>
      </c>
      <c r="B208" s="26" t="s">
        <v>4001</v>
      </c>
      <c r="C208" s="7" t="str">
        <f t="shared" si="1"/>
        <v>🔊</v>
      </c>
      <c r="D208" s="8" t="s">
        <v>4002</v>
      </c>
      <c r="E208" s="6" t="s">
        <v>1132</v>
      </c>
      <c r="F208" s="12" t="str">
        <f>IFERROR(__xludf.DUMMYFUNCTION("GOOGLETRANSLATE(B208,""zh_cn"",""vi"")"),"nếu không thì")</f>
        <v>nếu không thì</v>
      </c>
      <c r="G208" s="20" t="s">
        <v>4003</v>
      </c>
      <c r="I208" s="11" t="b">
        <f t="shared" si="2"/>
        <v>0</v>
      </c>
      <c r="K208" s="11" t="b">
        <f t="shared" si="3"/>
        <v>0</v>
      </c>
    </row>
    <row r="209" ht="22.5" customHeight="1">
      <c r="A209" s="12">
        <f t="shared" si="4"/>
        <v>1207</v>
      </c>
      <c r="B209" s="26" t="s">
        <v>4004</v>
      </c>
      <c r="C209" s="7" t="str">
        <f t="shared" si="1"/>
        <v>🔊</v>
      </c>
      <c r="D209" s="8" t="s">
        <v>4005</v>
      </c>
      <c r="E209" s="6" t="s">
        <v>47</v>
      </c>
      <c r="F209" s="12" t="str">
        <f>IFERROR(__xludf.DUMMYFUNCTION("GOOGLETRANSLATE(B209,""zh_cn"",""vi"")"),"khung")</f>
        <v>khung</v>
      </c>
      <c r="G209" s="20" t="s">
        <v>4006</v>
      </c>
      <c r="I209" s="11" t="b">
        <f t="shared" si="2"/>
        <v>0</v>
      </c>
      <c r="K209" s="11" t="b">
        <f t="shared" si="3"/>
        <v>0</v>
      </c>
    </row>
    <row r="210" ht="22.5" customHeight="1">
      <c r="A210" s="12">
        <f t="shared" si="4"/>
        <v>1208</v>
      </c>
      <c r="B210" s="26" t="s">
        <v>4007</v>
      </c>
      <c r="C210" s="7" t="str">
        <f t="shared" si="1"/>
        <v>🔊</v>
      </c>
      <c r="D210" s="8" t="s">
        <v>4008</v>
      </c>
      <c r="E210" s="6" t="s">
        <v>13</v>
      </c>
      <c r="F210" s="12" t="str">
        <f>IFERROR(__xludf.DUMMYFUNCTION("GOOGLETRANSLATE(B210,""zh_cn"",""vi"")"),"chi trả")</f>
        <v>chi trả</v>
      </c>
      <c r="G210" s="20" t="s">
        <v>4009</v>
      </c>
      <c r="I210" s="11" t="b">
        <f t="shared" si="2"/>
        <v>0</v>
      </c>
      <c r="K210" s="11" t="b">
        <f t="shared" si="3"/>
        <v>0</v>
      </c>
    </row>
    <row r="211" ht="22.5" customHeight="1">
      <c r="A211" s="12">
        <f t="shared" si="4"/>
        <v>1209</v>
      </c>
      <c r="B211" s="26" t="s">
        <v>4010</v>
      </c>
      <c r="C211" s="7" t="str">
        <f t="shared" si="1"/>
        <v>🔊</v>
      </c>
      <c r="D211" s="8" t="s">
        <v>4011</v>
      </c>
      <c r="E211" s="6" t="s">
        <v>13</v>
      </c>
      <c r="F211" s="5" t="s">
        <v>4012</v>
      </c>
      <c r="G211" s="20" t="s">
        <v>4013</v>
      </c>
      <c r="I211" s="11" t="b">
        <f t="shared" si="2"/>
        <v>0</v>
      </c>
      <c r="K211" s="11" t="b">
        <f t="shared" si="3"/>
        <v>0</v>
      </c>
    </row>
    <row r="212" ht="22.5" customHeight="1">
      <c r="A212" s="12">
        <f t="shared" si="4"/>
        <v>1210</v>
      </c>
      <c r="B212" s="26" t="s">
        <v>4014</v>
      </c>
      <c r="C212" s="7" t="str">
        <f t="shared" si="1"/>
        <v>🔊</v>
      </c>
      <c r="D212" s="8" t="s">
        <v>4015</v>
      </c>
      <c r="E212" s="6" t="s">
        <v>27</v>
      </c>
      <c r="F212" s="12" t="str">
        <f>IFERROR(__xludf.DUMMYFUNCTION("GOOGLETRANSLATE(B212,""zh_cn"",""vi"")"),"cha mẹ")</f>
        <v>cha mẹ</v>
      </c>
      <c r="G212" s="20" t="s">
        <v>4016</v>
      </c>
      <c r="I212" s="11" t="b">
        <f t="shared" si="2"/>
        <v>0</v>
      </c>
      <c r="K212" s="11" t="b">
        <f t="shared" si="3"/>
        <v>0</v>
      </c>
    </row>
    <row r="213" ht="22.5" customHeight="1">
      <c r="A213" s="12">
        <f t="shared" si="4"/>
        <v>1211</v>
      </c>
      <c r="B213" s="26" t="s">
        <v>4017</v>
      </c>
      <c r="C213" s="7" t="str">
        <f t="shared" si="1"/>
        <v>🔊</v>
      </c>
      <c r="D213" s="8" t="s">
        <v>4018</v>
      </c>
      <c r="E213" s="6" t="s">
        <v>27</v>
      </c>
      <c r="F213" s="12" t="str">
        <f>IFERROR(__xludf.DUMMYFUNCTION("GOOGLETRANSLATE(B213,""zh_cn"",""vi"")"),"Cha và con gái")</f>
        <v>Cha và con gái</v>
      </c>
      <c r="G213" s="20" t="s">
        <v>4019</v>
      </c>
      <c r="I213" s="11" t="b">
        <f t="shared" si="2"/>
        <v>0</v>
      </c>
      <c r="K213" s="11" t="b">
        <f t="shared" si="3"/>
        <v>0</v>
      </c>
    </row>
    <row r="214" ht="22.5" customHeight="1">
      <c r="A214" s="12">
        <f t="shared" si="4"/>
        <v>1212</v>
      </c>
      <c r="B214" s="26" t="s">
        <v>4020</v>
      </c>
      <c r="C214" s="7" t="str">
        <f t="shared" si="1"/>
        <v>🔊</v>
      </c>
      <c r="D214" s="8" t="s">
        <v>4021</v>
      </c>
      <c r="E214" s="6" t="s">
        <v>27</v>
      </c>
      <c r="F214" s="12" t="str">
        <f>IFERROR(__xludf.DUMMYFUNCTION("GOOGLETRANSLATE(B214,""zh_cn"",""vi"")"),"Bố")</f>
        <v>Bố</v>
      </c>
      <c r="G214" s="20" t="s">
        <v>4022</v>
      </c>
      <c r="I214" s="11" t="b">
        <f t="shared" si="2"/>
        <v>0</v>
      </c>
      <c r="K214" s="11" t="b">
        <f t="shared" si="3"/>
        <v>0</v>
      </c>
    </row>
    <row r="215" ht="22.5" customHeight="1">
      <c r="A215" s="12">
        <f t="shared" si="4"/>
        <v>1213</v>
      </c>
      <c r="B215" s="26" t="s">
        <v>4023</v>
      </c>
      <c r="C215" s="7" t="str">
        <f t="shared" si="1"/>
        <v>🔊</v>
      </c>
      <c r="D215" s="8" t="s">
        <v>4024</v>
      </c>
      <c r="E215" s="6" t="s">
        <v>13</v>
      </c>
      <c r="F215" s="12" t="str">
        <f>IFERROR(__xludf.DUMMYFUNCTION("GOOGLETRANSLATE(B215,""zh_cn"",""vi"")"),"bản sao")</f>
        <v>bản sao</v>
      </c>
      <c r="G215" s="20" t="s">
        <v>4025</v>
      </c>
      <c r="I215" s="11" t="b">
        <f t="shared" si="2"/>
        <v>0</v>
      </c>
      <c r="K215" s="11" t="b">
        <f t="shared" si="3"/>
        <v>0</v>
      </c>
    </row>
    <row r="216" ht="22.5" customHeight="1">
      <c r="A216" s="12">
        <f t="shared" si="4"/>
        <v>1214</v>
      </c>
      <c r="B216" s="26" t="s">
        <v>4026</v>
      </c>
      <c r="C216" s="7" t="str">
        <f t="shared" si="1"/>
        <v>🔊</v>
      </c>
      <c r="D216" s="8" t="s">
        <v>4027</v>
      </c>
      <c r="E216" s="6" t="s">
        <v>99</v>
      </c>
      <c r="F216" s="5" t="s">
        <v>4028</v>
      </c>
      <c r="G216" s="20" t="s">
        <v>4029</v>
      </c>
      <c r="I216" s="11" t="b">
        <f t="shared" si="2"/>
        <v>0</v>
      </c>
      <c r="K216" s="11" t="b">
        <f t="shared" si="3"/>
        <v>0</v>
      </c>
    </row>
    <row r="217" ht="22.5" customHeight="1">
      <c r="A217" s="12">
        <f t="shared" si="4"/>
        <v>1215</v>
      </c>
      <c r="B217" s="26" t="s">
        <v>4030</v>
      </c>
      <c r="C217" s="7" t="str">
        <f t="shared" si="1"/>
        <v>🔊</v>
      </c>
      <c r="D217" s="8" t="s">
        <v>4031</v>
      </c>
      <c r="E217" s="6" t="s">
        <v>368</v>
      </c>
      <c r="F217" s="12" t="str">
        <f>IFERROR(__xludf.DUMMYFUNCTION("GOOGLETRANSLATE(B217,""zh_cn"",""vi"")"),"Chịu trách nhiệm")</f>
        <v>Chịu trách nhiệm</v>
      </c>
      <c r="G217" s="20" t="s">
        <v>4032</v>
      </c>
      <c r="I217" s="11" t="b">
        <f t="shared" si="2"/>
        <v>0</v>
      </c>
      <c r="K217" s="11" t="b">
        <f t="shared" si="3"/>
        <v>0</v>
      </c>
    </row>
    <row r="218" ht="22.5" customHeight="1">
      <c r="A218" s="12">
        <f t="shared" si="4"/>
        <v>1216</v>
      </c>
      <c r="B218" s="26" t="s">
        <v>4033</v>
      </c>
      <c r="C218" s="7" t="str">
        <f t="shared" si="1"/>
        <v>🔊</v>
      </c>
      <c r="D218" s="8" t="s">
        <v>4034</v>
      </c>
      <c r="E218" s="6" t="s">
        <v>27</v>
      </c>
      <c r="F218" s="12" t="str">
        <f>IFERROR(__xludf.DUMMYFUNCTION("GOOGLETRANSLATE(B218,""zh_cn"",""vi"")"),"người phụ trách")</f>
        <v>người phụ trách</v>
      </c>
      <c r="G218" s="20" t="s">
        <v>4035</v>
      </c>
      <c r="I218" s="11" t="b">
        <f t="shared" si="2"/>
        <v>0</v>
      </c>
      <c r="K218" s="11" t="b">
        <f t="shared" si="3"/>
        <v>0</v>
      </c>
    </row>
    <row r="219" ht="22.5" customHeight="1">
      <c r="A219" s="12">
        <f t="shared" si="4"/>
        <v>1217</v>
      </c>
      <c r="B219" s="26" t="s">
        <v>4036</v>
      </c>
      <c r="C219" s="7" t="str">
        <f t="shared" si="1"/>
        <v>🔊</v>
      </c>
      <c r="D219" s="8" t="s">
        <v>4037</v>
      </c>
      <c r="E219" s="6" t="s">
        <v>27</v>
      </c>
      <c r="F219" s="12" t="str">
        <f>IFERROR(__xludf.DUMMYFUNCTION("GOOGLETRANSLATE(B219,""zh_cn"",""vi"")"),"Cha và con trai")</f>
        <v>Cha và con trai</v>
      </c>
      <c r="G219" s="20" t="s">
        <v>4038</v>
      </c>
      <c r="I219" s="11" t="b">
        <f t="shared" si="2"/>
        <v>0</v>
      </c>
      <c r="K219" s="11" t="b">
        <f t="shared" si="3"/>
        <v>0</v>
      </c>
    </row>
    <row r="220" ht="22.5" customHeight="1">
      <c r="A220" s="12">
        <f t="shared" si="4"/>
        <v>1218</v>
      </c>
      <c r="B220" s="26" t="s">
        <v>4039</v>
      </c>
      <c r="C220" s="7" t="str">
        <f t="shared" si="1"/>
        <v>🔊</v>
      </c>
      <c r="D220" s="8" t="s">
        <v>4040</v>
      </c>
      <c r="E220" s="6" t="s">
        <v>13</v>
      </c>
      <c r="F220" s="12" t="str">
        <f>IFERROR(__xludf.DUMMYFUNCTION("GOOGLETRANSLATE(B220,""zh_cn"",""vi"")"),"thay đổi")</f>
        <v>thay đổi</v>
      </c>
      <c r="G220" s="20" t="s">
        <v>4041</v>
      </c>
      <c r="I220" s="11" t="b">
        <f t="shared" si="2"/>
        <v>0</v>
      </c>
      <c r="K220" s="11" t="b">
        <f t="shared" si="3"/>
        <v>0</v>
      </c>
    </row>
    <row r="221" ht="22.5" customHeight="1">
      <c r="A221" s="12">
        <f t="shared" si="4"/>
        <v>1219</v>
      </c>
      <c r="B221" s="26" t="s">
        <v>4042</v>
      </c>
      <c r="C221" s="7" t="str">
        <f t="shared" si="1"/>
        <v>🔊</v>
      </c>
      <c r="D221" s="8" t="s">
        <v>4043</v>
      </c>
      <c r="E221" s="6" t="s">
        <v>13</v>
      </c>
      <c r="F221" s="12" t="str">
        <f>IFERROR(__xludf.DUMMYFUNCTION("GOOGLETRANSLATE(B221,""zh_cn"",""vi"")"),"Thay đổi")</f>
        <v>Thay đổi</v>
      </c>
      <c r="G221" s="20" t="s">
        <v>4044</v>
      </c>
      <c r="I221" s="11" t="b">
        <f t="shared" si="2"/>
        <v>0</v>
      </c>
      <c r="K221" s="11" t="b">
        <f t="shared" si="3"/>
        <v>0</v>
      </c>
    </row>
    <row r="222" ht="22.5" customHeight="1">
      <c r="A222" s="12">
        <f t="shared" si="4"/>
        <v>1220</v>
      </c>
      <c r="B222" s="26" t="s">
        <v>4045</v>
      </c>
      <c r="C222" s="7" t="str">
        <f t="shared" si="1"/>
        <v>🔊</v>
      </c>
      <c r="D222" s="8" t="s">
        <v>4046</v>
      </c>
      <c r="E222" s="6" t="s">
        <v>13</v>
      </c>
      <c r="F222" s="5" t="s">
        <v>4047</v>
      </c>
      <c r="G222" s="20" t="s">
        <v>4048</v>
      </c>
      <c r="I222" s="11" t="b">
        <f t="shared" si="2"/>
        <v>0</v>
      </c>
      <c r="K222" s="11" t="b">
        <f t="shared" si="3"/>
        <v>0</v>
      </c>
    </row>
    <row r="223" ht="22.5" customHeight="1">
      <c r="A223" s="12">
        <f t="shared" si="4"/>
        <v>1221</v>
      </c>
      <c r="B223" s="26" t="s">
        <v>4049</v>
      </c>
      <c r="C223" s="7" t="str">
        <f t="shared" si="1"/>
        <v>🔊</v>
      </c>
      <c r="D223" s="8" t="s">
        <v>4046</v>
      </c>
      <c r="E223" s="6" t="s">
        <v>13</v>
      </c>
      <c r="F223" s="12" t="str">
        <f>IFERROR(__xludf.DUMMYFUNCTION("GOOGLETRANSLATE(B223,""zh_cn"",""vi"")"),"dám")</f>
        <v>dám</v>
      </c>
      <c r="G223" s="20" t="s">
        <v>4050</v>
      </c>
      <c r="I223" s="11" t="b">
        <f t="shared" si="2"/>
        <v>0</v>
      </c>
      <c r="K223" s="11" t="b">
        <f t="shared" si="3"/>
        <v>0</v>
      </c>
    </row>
    <row r="224" ht="22.5" customHeight="1">
      <c r="A224" s="12">
        <f t="shared" si="4"/>
        <v>1222</v>
      </c>
      <c r="B224" s="26" t="s">
        <v>4051</v>
      </c>
      <c r="C224" s="7" t="str">
        <f t="shared" si="1"/>
        <v>🔊</v>
      </c>
      <c r="D224" s="8" t="s">
        <v>4046</v>
      </c>
      <c r="E224" s="6" t="s">
        <v>437</v>
      </c>
      <c r="F224" s="12" t="str">
        <f>IFERROR(__xludf.DUMMYFUNCTION("GOOGLETRANSLATE(B224,""zh_cn"",""vi"")"),"cảm thấy")</f>
        <v>cảm thấy</v>
      </c>
      <c r="G224" s="20" t="s">
        <v>4052</v>
      </c>
      <c r="I224" s="11" t="b">
        <f t="shared" si="2"/>
        <v>0</v>
      </c>
      <c r="K224" s="11" t="b">
        <f t="shared" si="3"/>
        <v>0</v>
      </c>
    </row>
    <row r="225" ht="22.5" customHeight="1">
      <c r="A225" s="12">
        <f t="shared" si="4"/>
        <v>1223</v>
      </c>
      <c r="B225" s="26" t="s">
        <v>2153</v>
      </c>
      <c r="C225" s="7" t="str">
        <f t="shared" si="1"/>
        <v>🔊</v>
      </c>
      <c r="D225" s="8" t="s">
        <v>4053</v>
      </c>
      <c r="E225" s="6" t="s">
        <v>3352</v>
      </c>
      <c r="F225" s="12" t="str">
        <f>IFERROR(__xludf.DUMMYFUNCTION("GOOGLETRANSLATE(B225,""zh_cn"",""vi"")"),"Khô")</f>
        <v>Khô</v>
      </c>
      <c r="G225" s="20" t="s">
        <v>4054</v>
      </c>
      <c r="I225" s="11" t="b">
        <f t="shared" si="2"/>
        <v>0</v>
      </c>
      <c r="K225" s="11" t="b">
        <f t="shared" si="3"/>
        <v>0</v>
      </c>
    </row>
    <row r="226" ht="22.5" customHeight="1">
      <c r="A226" s="12">
        <f t="shared" si="4"/>
        <v>1224</v>
      </c>
      <c r="B226" s="26" t="s">
        <v>4055</v>
      </c>
      <c r="C226" s="7" t="str">
        <f t="shared" si="1"/>
        <v>🔊</v>
      </c>
      <c r="D226" s="8" t="s">
        <v>4056</v>
      </c>
      <c r="E226" s="6" t="s">
        <v>13</v>
      </c>
      <c r="F226" s="5" t="s">
        <v>4057</v>
      </c>
      <c r="G226" s="20" t="s">
        <v>4058</v>
      </c>
      <c r="I226" s="11" t="b">
        <f t="shared" si="2"/>
        <v>0</v>
      </c>
      <c r="K226" s="11" t="b">
        <f t="shared" si="3"/>
        <v>0</v>
      </c>
    </row>
    <row r="227" ht="22.5" customHeight="1">
      <c r="A227" s="12">
        <f t="shared" si="4"/>
        <v>1225</v>
      </c>
      <c r="B227" s="26" t="s">
        <v>4059</v>
      </c>
      <c r="C227" s="7" t="str">
        <f t="shared" si="1"/>
        <v>🔊</v>
      </c>
      <c r="D227" s="8" t="s">
        <v>4060</v>
      </c>
      <c r="E227" s="6" t="s">
        <v>416</v>
      </c>
      <c r="F227" s="5" t="s">
        <v>4061</v>
      </c>
      <c r="G227" s="20" t="s">
        <v>4062</v>
      </c>
      <c r="I227" s="11" t="b">
        <f t="shared" si="2"/>
        <v>0</v>
      </c>
      <c r="K227" s="11" t="b">
        <f t="shared" si="3"/>
        <v>0</v>
      </c>
    </row>
    <row r="228" ht="22.5" customHeight="1">
      <c r="A228" s="12">
        <f t="shared" si="4"/>
        <v>1226</v>
      </c>
      <c r="B228" s="26" t="s">
        <v>4063</v>
      </c>
      <c r="C228" s="7" t="str">
        <f t="shared" si="1"/>
        <v>🔊</v>
      </c>
      <c r="D228" s="8" t="s">
        <v>4064</v>
      </c>
      <c r="E228" s="6" t="s">
        <v>27</v>
      </c>
      <c r="F228" s="12" t="str">
        <f>IFERROR(__xludf.DUMMYFUNCTION("GOOGLETRANSLATE(B228,""zh_cn"",""vi"")"),"đàn piano")</f>
        <v>đàn piano</v>
      </c>
      <c r="G228" s="20" t="s">
        <v>4065</v>
      </c>
      <c r="I228" s="11" t="b">
        <f t="shared" si="2"/>
        <v>0</v>
      </c>
      <c r="K228" s="11" t="b">
        <f t="shared" si="3"/>
        <v>0</v>
      </c>
    </row>
    <row r="229" ht="22.5" customHeight="1">
      <c r="A229" s="12">
        <f t="shared" si="4"/>
        <v>1227</v>
      </c>
      <c r="B229" s="26" t="s">
        <v>4066</v>
      </c>
      <c r="C229" s="7" t="str">
        <f t="shared" si="1"/>
        <v>🔊</v>
      </c>
      <c r="D229" s="8" t="s">
        <v>4067</v>
      </c>
      <c r="E229" s="6" t="s">
        <v>13</v>
      </c>
      <c r="F229" s="5" t="s">
        <v>4068</v>
      </c>
      <c r="G229" s="20" t="s">
        <v>4069</v>
      </c>
      <c r="I229" s="11" t="b">
        <f t="shared" si="2"/>
        <v>0</v>
      </c>
      <c r="K229" s="11" t="b">
        <f t="shared" si="3"/>
        <v>0</v>
      </c>
    </row>
    <row r="230" ht="22.5" customHeight="1">
      <c r="A230" s="12">
        <f t="shared" si="4"/>
        <v>1228</v>
      </c>
      <c r="B230" s="26" t="s">
        <v>4070</v>
      </c>
      <c r="C230" s="7" t="str">
        <f t="shared" si="1"/>
        <v>🔊</v>
      </c>
      <c r="D230" s="8" t="s">
        <v>4071</v>
      </c>
      <c r="E230" s="6" t="s">
        <v>61</v>
      </c>
      <c r="F230" s="5" t="s">
        <v>4072</v>
      </c>
      <c r="G230" s="20" t="s">
        <v>4073</v>
      </c>
      <c r="I230" s="11" t="b">
        <f t="shared" si="2"/>
        <v>0</v>
      </c>
      <c r="K230" s="11" t="b">
        <f t="shared" si="3"/>
        <v>0</v>
      </c>
    </row>
    <row r="231" ht="22.5" customHeight="1">
      <c r="A231" s="12">
        <f t="shared" si="4"/>
        <v>1229</v>
      </c>
      <c r="B231" s="26" t="s">
        <v>4074</v>
      </c>
      <c r="C231" s="7" t="str">
        <f t="shared" si="1"/>
        <v>🔊</v>
      </c>
      <c r="D231" s="8" t="s">
        <v>4075</v>
      </c>
      <c r="E231" s="6" t="s">
        <v>57</v>
      </c>
      <c r="F231" s="12" t="str">
        <f>IFERROR(__xludf.DUMMYFUNCTION("GOOGLETRANSLATE(B231,""zh_cn"",""vi"")"),"Cảm thấy")</f>
        <v>Cảm thấy</v>
      </c>
      <c r="G231" s="20" t="s">
        <v>4076</v>
      </c>
      <c r="I231" s="11" t="b">
        <f t="shared" si="2"/>
        <v>0</v>
      </c>
      <c r="K231" s="11" t="b">
        <f t="shared" si="3"/>
        <v>0</v>
      </c>
    </row>
    <row r="232" ht="22.5" customHeight="1">
      <c r="A232" s="12">
        <f t="shared" si="4"/>
        <v>1230</v>
      </c>
      <c r="B232" s="26" t="s">
        <v>4077</v>
      </c>
      <c r="C232" s="7" t="str">
        <f t="shared" si="1"/>
        <v>🔊</v>
      </c>
      <c r="D232" s="8" t="s">
        <v>4078</v>
      </c>
      <c r="E232" s="6" t="s">
        <v>61</v>
      </c>
      <c r="F232" s="12" t="str">
        <f>IFERROR(__xludf.DUMMYFUNCTION("GOOGLETRANSLATE(B232,""zh_cn"",""vi"")"),"nhanh lên")</f>
        <v>nhanh lên</v>
      </c>
      <c r="G232" s="20" t="s">
        <v>4079</v>
      </c>
      <c r="I232" s="11" t="b">
        <f t="shared" si="2"/>
        <v>0</v>
      </c>
      <c r="K232" s="11" t="b">
        <f t="shared" si="3"/>
        <v>0</v>
      </c>
    </row>
    <row r="233" ht="22.5" customHeight="1">
      <c r="A233" s="12">
        <f t="shared" si="4"/>
        <v>1231</v>
      </c>
      <c r="B233" s="26" t="s">
        <v>4080</v>
      </c>
      <c r="C233" s="7" t="str">
        <f t="shared" si="1"/>
        <v>🔊</v>
      </c>
      <c r="D233" s="8" t="s">
        <v>4081</v>
      </c>
      <c r="E233" s="6" t="s">
        <v>27</v>
      </c>
      <c r="F233" s="5" t="s">
        <v>4082</v>
      </c>
      <c r="G233" s="20" t="s">
        <v>4083</v>
      </c>
      <c r="I233" s="11" t="b">
        <f t="shared" si="2"/>
        <v>0</v>
      </c>
      <c r="K233" s="11" t="b">
        <f t="shared" si="3"/>
        <v>0</v>
      </c>
    </row>
    <row r="234" ht="22.5" customHeight="1">
      <c r="A234" s="12">
        <f t="shared" si="4"/>
        <v>1232</v>
      </c>
      <c r="B234" s="26" t="s">
        <v>4084</v>
      </c>
      <c r="C234" s="7" t="str">
        <f t="shared" si="1"/>
        <v>🔊</v>
      </c>
      <c r="D234" s="8" t="s">
        <v>4085</v>
      </c>
      <c r="E234" s="6" t="s">
        <v>99</v>
      </c>
      <c r="F234" s="5" t="s">
        <v>4086</v>
      </c>
      <c r="G234" s="20" t="s">
        <v>4087</v>
      </c>
      <c r="I234" s="11" t="b">
        <f t="shared" si="2"/>
        <v>0</v>
      </c>
      <c r="K234" s="11" t="b">
        <f t="shared" si="3"/>
        <v>0</v>
      </c>
    </row>
    <row r="235" ht="22.5" customHeight="1">
      <c r="A235" s="12">
        <f t="shared" si="4"/>
        <v>1233</v>
      </c>
      <c r="B235" s="26" t="s">
        <v>4088</v>
      </c>
      <c r="C235" s="7" t="str">
        <f t="shared" si="1"/>
        <v>🔊</v>
      </c>
      <c r="D235" s="8" t="s">
        <v>4089</v>
      </c>
      <c r="E235" s="6" t="s">
        <v>13</v>
      </c>
      <c r="F235" s="12" t="str">
        <f>IFERROR(__xludf.DUMMYFUNCTION("GOOGLETRANSLATE(B235,""zh_cn"",""vi"")"),"bắt kịp")</f>
        <v>bắt kịp</v>
      </c>
      <c r="G235" s="20" t="s">
        <v>4090</v>
      </c>
      <c r="I235" s="11" t="b">
        <f t="shared" si="2"/>
        <v>0</v>
      </c>
      <c r="K235" s="11" t="b">
        <f t="shared" si="3"/>
        <v>0</v>
      </c>
    </row>
    <row r="236" ht="22.5" customHeight="1">
      <c r="A236" s="12">
        <f t="shared" si="4"/>
        <v>1234</v>
      </c>
      <c r="B236" s="26" t="s">
        <v>4091</v>
      </c>
      <c r="C236" s="7" t="str">
        <f t="shared" si="1"/>
        <v>🔊</v>
      </c>
      <c r="D236" s="8" t="s">
        <v>4092</v>
      </c>
      <c r="E236" s="6" t="s">
        <v>232</v>
      </c>
      <c r="F236" s="5" t="s">
        <v>4093</v>
      </c>
      <c r="G236" s="20" t="s">
        <v>4094</v>
      </c>
      <c r="I236" s="11" t="b">
        <f t="shared" si="2"/>
        <v>0</v>
      </c>
      <c r="K236" s="11" t="b">
        <f t="shared" si="3"/>
        <v>0</v>
      </c>
    </row>
    <row r="237" ht="22.5" customHeight="1">
      <c r="A237" s="12">
        <f t="shared" si="4"/>
        <v>1235</v>
      </c>
      <c r="B237" s="26" t="s">
        <v>4095</v>
      </c>
      <c r="C237" s="7" t="str">
        <f t="shared" si="1"/>
        <v>🔊</v>
      </c>
      <c r="D237" s="8" t="s">
        <v>4096</v>
      </c>
      <c r="E237" s="6" t="s">
        <v>13</v>
      </c>
      <c r="F237" s="12" t="str">
        <f>IFERROR(__xludf.DUMMYFUNCTION("GOOGLETRANSLATE(B237,""zh_cn"",""vi"")"),"tri ân")</f>
        <v>tri ân</v>
      </c>
      <c r="G237" s="20" t="s">
        <v>4097</v>
      </c>
      <c r="I237" s="11" t="b">
        <f t="shared" si="2"/>
        <v>0</v>
      </c>
      <c r="K237" s="11" t="b">
        <f t="shared" si="3"/>
        <v>0</v>
      </c>
    </row>
    <row r="238" ht="22.5" customHeight="1">
      <c r="A238" s="12">
        <f t="shared" si="4"/>
        <v>1236</v>
      </c>
      <c r="B238" s="26" t="s">
        <v>4098</v>
      </c>
      <c r="C238" s="7" t="str">
        <f t="shared" si="1"/>
        <v>🔊</v>
      </c>
      <c r="D238" s="8" t="s">
        <v>4099</v>
      </c>
      <c r="E238" s="6" t="s">
        <v>27</v>
      </c>
      <c r="F238" s="12" t="str">
        <f>IFERROR(__xludf.DUMMYFUNCTION("GOOGLETRANSLATE(B238,""zh_cn"",""vi"")"),"Giá cao")</f>
        <v>Giá cao</v>
      </c>
      <c r="G238" s="20" t="s">
        <v>4100</v>
      </c>
      <c r="I238" s="11" t="b">
        <f t="shared" si="2"/>
        <v>0</v>
      </c>
      <c r="K238" s="11" t="b">
        <f t="shared" si="3"/>
        <v>0</v>
      </c>
    </row>
    <row r="239" ht="22.5" customHeight="1">
      <c r="A239" s="12">
        <f t="shared" si="4"/>
        <v>1237</v>
      </c>
      <c r="B239" s="26" t="s">
        <v>4101</v>
      </c>
      <c r="C239" s="7" t="str">
        <f t="shared" si="1"/>
        <v>🔊</v>
      </c>
      <c r="D239" s="8" t="s">
        <v>4102</v>
      </c>
      <c r="E239" s="6" t="s">
        <v>27</v>
      </c>
      <c r="F239" s="12" t="str">
        <f>IFERROR(__xludf.DUMMYFUNCTION("GOOGLETRANSLATE(B239,""zh_cn"",""vi"")"),"Kỳ thi tuyển sinh đại học")</f>
        <v>Kỳ thi tuyển sinh đại học</v>
      </c>
      <c r="G239" s="20" t="s">
        <v>4103</v>
      </c>
      <c r="I239" s="11" t="b">
        <f t="shared" si="2"/>
        <v>0</v>
      </c>
      <c r="K239" s="11" t="b">
        <f t="shared" si="3"/>
        <v>0</v>
      </c>
    </row>
    <row r="240" ht="22.5" customHeight="1">
      <c r="A240" s="12">
        <f t="shared" si="4"/>
        <v>1238</v>
      </c>
      <c r="B240" s="26" t="s">
        <v>4104</v>
      </c>
      <c r="C240" s="7" t="str">
        <f t="shared" si="1"/>
        <v>🔊</v>
      </c>
      <c r="D240" s="8" t="s">
        <v>4105</v>
      </c>
      <c r="E240" s="6" t="s">
        <v>99</v>
      </c>
      <c r="F240" s="12" t="str">
        <f>IFERROR(__xludf.DUMMYFUNCTION("GOOGLETRANSLATE(B240,""zh_cn"",""vi"")"),"tốc độ cao")</f>
        <v>tốc độ cao</v>
      </c>
      <c r="G240" s="20" t="s">
        <v>4106</v>
      </c>
      <c r="I240" s="11" t="b">
        <f t="shared" si="2"/>
        <v>0</v>
      </c>
      <c r="K240" s="11" t="b">
        <f t="shared" si="3"/>
        <v>0</v>
      </c>
    </row>
    <row r="241" ht="22.5" customHeight="1">
      <c r="A241" s="12">
        <f t="shared" si="4"/>
        <v>1239</v>
      </c>
      <c r="B241" s="26" t="s">
        <v>4107</v>
      </c>
      <c r="C241" s="7" t="str">
        <f t="shared" si="1"/>
        <v>🔊</v>
      </c>
      <c r="D241" s="8" t="s">
        <v>4108</v>
      </c>
      <c r="E241" s="6" t="s">
        <v>27</v>
      </c>
      <c r="F241" s="12" t="str">
        <f>IFERROR(__xludf.DUMMYFUNCTION("GOOGLETRANSLATE(B241,""zh_cn"",""vi"")"),"nhiệt độ cao")</f>
        <v>nhiệt độ cao</v>
      </c>
      <c r="G241" s="20" t="s">
        <v>4109</v>
      </c>
      <c r="I241" s="11" t="b">
        <f t="shared" si="2"/>
        <v>0</v>
      </c>
      <c r="K241" s="11" t="b">
        <f t="shared" si="3"/>
        <v>0</v>
      </c>
    </row>
    <row r="242" ht="22.5" customHeight="1">
      <c r="A242" s="12">
        <f t="shared" si="4"/>
        <v>1240</v>
      </c>
      <c r="B242" s="26" t="s">
        <v>4110</v>
      </c>
      <c r="C242" s="7" t="str">
        <f t="shared" si="1"/>
        <v>🔊</v>
      </c>
      <c r="D242" s="8" t="s">
        <v>4111</v>
      </c>
      <c r="E242" s="6" t="s">
        <v>13</v>
      </c>
      <c r="F242" s="12" t="str">
        <f>IFERROR(__xludf.DUMMYFUNCTION("GOOGLETRANSLATE(B242,""zh_cn"",""vi"")"),"Cao hơn")</f>
        <v>Cao hơn</v>
      </c>
      <c r="G242" s="20" t="s">
        <v>4112</v>
      </c>
      <c r="I242" s="11" t="b">
        <f t="shared" si="2"/>
        <v>0</v>
      </c>
      <c r="K242" s="11" t="b">
        <f t="shared" si="3"/>
        <v>0</v>
      </c>
    </row>
    <row r="243" ht="22.5" customHeight="1">
      <c r="A243" s="12">
        <f t="shared" si="4"/>
        <v>1241</v>
      </c>
      <c r="B243" s="26" t="s">
        <v>4113</v>
      </c>
      <c r="C243" s="7" t="str">
        <f t="shared" si="1"/>
        <v>🔊</v>
      </c>
      <c r="D243" s="8" t="s">
        <v>214</v>
      </c>
      <c r="E243" s="6" t="s">
        <v>4114</v>
      </c>
      <c r="F243" s="12" t="str">
        <f>IFERROR(__xludf.DUMMYFUNCTION("GOOGLETRANSLATE(B243,""zh_cn"",""vi"")"),"mỗi")</f>
        <v>mỗi</v>
      </c>
      <c r="G243" s="20" t="s">
        <v>4115</v>
      </c>
      <c r="I243" s="11" t="b">
        <f t="shared" si="2"/>
        <v>0</v>
      </c>
      <c r="K243" s="11" t="b">
        <f t="shared" si="3"/>
        <v>0</v>
      </c>
    </row>
    <row r="244" ht="22.5" customHeight="1">
      <c r="A244" s="12">
        <f t="shared" si="4"/>
        <v>1242</v>
      </c>
      <c r="B244" s="26" t="s">
        <v>4116</v>
      </c>
      <c r="C244" s="7" t="str">
        <f t="shared" si="1"/>
        <v>🔊</v>
      </c>
      <c r="D244" s="8" t="s">
        <v>4117</v>
      </c>
      <c r="E244" s="6" t="s">
        <v>27</v>
      </c>
      <c r="F244" s="12" t="str">
        <f>IFERROR(__xludf.DUMMYFUNCTION("GOOGLETRANSLATE(B244,""zh_cn"",""vi"")"),"cánh tay")</f>
        <v>cánh tay</v>
      </c>
      <c r="G244" s="20" t="s">
        <v>4118</v>
      </c>
      <c r="I244" s="11" t="b">
        <f t="shared" si="2"/>
        <v>0</v>
      </c>
      <c r="K244" s="11" t="b">
        <f t="shared" si="3"/>
        <v>0</v>
      </c>
    </row>
    <row r="245" ht="22.5" customHeight="1">
      <c r="A245" s="12">
        <f t="shared" si="4"/>
        <v>1243</v>
      </c>
      <c r="B245" s="26" t="s">
        <v>4119</v>
      </c>
      <c r="C245" s="7" t="str">
        <f t="shared" si="1"/>
        <v>🔊</v>
      </c>
      <c r="D245" s="8" t="s">
        <v>4120</v>
      </c>
      <c r="E245" s="6" t="s">
        <v>27</v>
      </c>
      <c r="F245" s="12" t="str">
        <f>IFERROR(__xludf.DUMMYFUNCTION("GOOGLETRANSLATE(B245,""zh_cn"",""vi"")"),"nhiều nơi")</f>
        <v>nhiều nơi</v>
      </c>
      <c r="G245" s="20" t="s">
        <v>4121</v>
      </c>
      <c r="I245" s="11" t="b">
        <f t="shared" si="2"/>
        <v>0</v>
      </c>
      <c r="K245" s="11" t="b">
        <f t="shared" si="3"/>
        <v>0</v>
      </c>
    </row>
    <row r="246" ht="22.5" customHeight="1">
      <c r="A246" s="12">
        <f t="shared" si="4"/>
        <v>1244</v>
      </c>
      <c r="B246" s="26" t="s">
        <v>4122</v>
      </c>
      <c r="C246" s="7" t="str">
        <f t="shared" si="1"/>
        <v>🔊</v>
      </c>
      <c r="D246" s="8" t="s">
        <v>4123</v>
      </c>
      <c r="E246" s="6" t="s">
        <v>4114</v>
      </c>
      <c r="F246" s="12" t="str">
        <f>IFERROR(__xludf.DUMMYFUNCTION("GOOGLETRANSLATE(B246,""zh_cn"",""vi"")"),"mỗi")</f>
        <v>mỗi</v>
      </c>
      <c r="G246" s="20" t="s">
        <v>4124</v>
      </c>
      <c r="I246" s="11" t="b">
        <f t="shared" si="2"/>
        <v>0</v>
      </c>
      <c r="K246" s="11" t="b">
        <f t="shared" si="3"/>
        <v>0</v>
      </c>
    </row>
    <row r="247" ht="22.5" customHeight="1">
      <c r="A247" s="12">
        <f t="shared" si="4"/>
        <v>1245</v>
      </c>
      <c r="B247" s="26" t="s">
        <v>4125</v>
      </c>
      <c r="C247" s="7" t="str">
        <f t="shared" si="1"/>
        <v>🔊</v>
      </c>
      <c r="D247" s="8" t="s">
        <v>4126</v>
      </c>
      <c r="E247" s="6" t="s">
        <v>61</v>
      </c>
      <c r="F247" s="5" t="s">
        <v>2186</v>
      </c>
      <c r="G247" s="20" t="s">
        <v>4127</v>
      </c>
      <c r="I247" s="11" t="b">
        <f t="shared" si="2"/>
        <v>0</v>
      </c>
      <c r="K247" s="11" t="b">
        <f t="shared" si="3"/>
        <v>0</v>
      </c>
    </row>
    <row r="248" ht="22.5" customHeight="1">
      <c r="A248" s="12">
        <f t="shared" si="4"/>
        <v>1246</v>
      </c>
      <c r="B248" s="26" t="s">
        <v>4128</v>
      </c>
      <c r="C248" s="7" t="str">
        <f t="shared" si="1"/>
        <v>🔊</v>
      </c>
      <c r="D248" s="8" t="s">
        <v>4129</v>
      </c>
      <c r="E248" s="6" t="s">
        <v>27</v>
      </c>
      <c r="F248" s="5" t="s">
        <v>4130</v>
      </c>
      <c r="G248" s="20" t="s">
        <v>4131</v>
      </c>
      <c r="I248" s="11" t="b">
        <f t="shared" si="2"/>
        <v>0</v>
      </c>
      <c r="K248" s="11" t="b">
        <f t="shared" si="3"/>
        <v>0</v>
      </c>
    </row>
    <row r="249" ht="22.5" customHeight="1">
      <c r="A249" s="12">
        <f t="shared" si="4"/>
        <v>1247</v>
      </c>
      <c r="B249" s="26" t="s">
        <v>4132</v>
      </c>
      <c r="C249" s="7" t="str">
        <f t="shared" si="1"/>
        <v>🔊</v>
      </c>
      <c r="D249" s="8" t="s">
        <v>4133</v>
      </c>
      <c r="E249" s="6" t="s">
        <v>27</v>
      </c>
      <c r="F249" s="12" t="str">
        <f>IFERROR(__xludf.DUMMYFUNCTION("GOOGLETRANSLATE(B249,""zh_cn"",""vi"")"),"ca sĩ")</f>
        <v>ca sĩ</v>
      </c>
      <c r="G249" s="20" t="s">
        <v>4134</v>
      </c>
      <c r="I249" s="11" t="b">
        <f t="shared" si="2"/>
        <v>0</v>
      </c>
      <c r="K249" s="11" t="b">
        <f t="shared" si="3"/>
        <v>0</v>
      </c>
    </row>
    <row r="250" ht="22.5" customHeight="1">
      <c r="A250" s="12">
        <f t="shared" si="4"/>
        <v>1248</v>
      </c>
      <c r="B250" s="26" t="s">
        <v>4135</v>
      </c>
      <c r="C250" s="7" t="str">
        <f t="shared" si="1"/>
        <v>🔊</v>
      </c>
      <c r="D250" s="8" t="s">
        <v>4136</v>
      </c>
      <c r="E250" s="6" t="s">
        <v>106</v>
      </c>
      <c r="F250" s="12" t="str">
        <f>IFERROR(__xludf.DUMMYFUNCTION("GOOGLETRANSLATE(B250,""zh_cn"",""vi"")"),"Các bạn thân mến")</f>
        <v>Các bạn thân mến</v>
      </c>
      <c r="G250" s="20" t="s">
        <v>4137</v>
      </c>
      <c r="I250" s="11" t="b">
        <f t="shared" si="2"/>
        <v>0</v>
      </c>
      <c r="K250" s="11" t="b">
        <f t="shared" si="3"/>
        <v>0</v>
      </c>
    </row>
    <row r="251" ht="22.5" customHeight="1">
      <c r="A251" s="12">
        <f t="shared" si="4"/>
        <v>1249</v>
      </c>
      <c r="B251" s="26" t="s">
        <v>4138</v>
      </c>
      <c r="C251" s="7" t="str">
        <f t="shared" si="1"/>
        <v>🔊</v>
      </c>
      <c r="D251" s="8" t="s">
        <v>4139</v>
      </c>
      <c r="E251" s="6" t="s">
        <v>106</v>
      </c>
      <c r="F251" s="5" t="s">
        <v>4140</v>
      </c>
      <c r="G251" s="20" t="s">
        <v>4141</v>
      </c>
      <c r="I251" s="11" t="b">
        <f t="shared" si="2"/>
        <v>0</v>
      </c>
      <c r="K251" s="11" t="b">
        <f t="shared" si="3"/>
        <v>0</v>
      </c>
    </row>
    <row r="252" ht="22.5" customHeight="1">
      <c r="A252" s="12">
        <f t="shared" si="4"/>
        <v>1250</v>
      </c>
      <c r="B252" s="26" t="s">
        <v>4142</v>
      </c>
      <c r="C252" s="7" t="str">
        <f t="shared" si="1"/>
        <v>🔊</v>
      </c>
      <c r="D252" s="8" t="s">
        <v>4143</v>
      </c>
      <c r="E252" s="6" t="s">
        <v>61</v>
      </c>
      <c r="F252" s="12" t="str">
        <f>IFERROR(__xludf.DUMMYFUNCTION("GOOGLETRANSLATE(B252,""zh_cn"",""vi"")"),"chung")</f>
        <v>chung</v>
      </c>
      <c r="G252" s="20" t="s">
        <v>4144</v>
      </c>
      <c r="I252" s="11" t="b">
        <f t="shared" si="2"/>
        <v>0</v>
      </c>
      <c r="K252" s="11" t="b">
        <f t="shared" si="3"/>
        <v>0</v>
      </c>
    </row>
    <row r="253" ht="22.5" customHeight="1">
      <c r="A253" s="12">
        <f t="shared" si="4"/>
        <v>1251</v>
      </c>
      <c r="B253" s="26" t="s">
        <v>4145</v>
      </c>
      <c r="C253" s="7" t="str">
        <f t="shared" si="1"/>
        <v>🔊</v>
      </c>
      <c r="D253" s="8" t="s">
        <v>4146</v>
      </c>
      <c r="E253" s="6" t="s">
        <v>27</v>
      </c>
      <c r="F253" s="12" t="str">
        <f>IFERROR(__xludf.DUMMYFUNCTION("GOOGLETRANSLATE(B253,""zh_cn"",""vi"")"),"nhà máy")</f>
        <v>nhà máy</v>
      </c>
      <c r="G253" s="20" t="s">
        <v>4147</v>
      </c>
      <c r="I253" s="11" t="b">
        <f t="shared" si="2"/>
        <v>0</v>
      </c>
      <c r="K253" s="11" t="b">
        <f t="shared" si="3"/>
        <v>0</v>
      </c>
    </row>
    <row r="254" ht="22.5" customHeight="1">
      <c r="A254" s="12">
        <f t="shared" si="4"/>
        <v>1252</v>
      </c>
      <c r="B254" s="26" t="s">
        <v>4148</v>
      </c>
      <c r="C254" s="7" t="str">
        <f t="shared" si="1"/>
        <v>🔊</v>
      </c>
      <c r="D254" s="8" t="s">
        <v>4149</v>
      </c>
      <c r="E254" s="6" t="s">
        <v>27</v>
      </c>
      <c r="F254" s="5" t="s">
        <v>4150</v>
      </c>
      <c r="G254" s="20" t="s">
        <v>4151</v>
      </c>
      <c r="I254" s="11" t="b">
        <f t="shared" si="2"/>
        <v>0</v>
      </c>
      <c r="K254" s="11" t="b">
        <f t="shared" si="3"/>
        <v>0</v>
      </c>
    </row>
    <row r="255" ht="22.5" customHeight="1">
      <c r="A255" s="12">
        <f t="shared" si="4"/>
        <v>1253</v>
      </c>
      <c r="B255" s="26" t="s">
        <v>4152</v>
      </c>
      <c r="C255" s="7" t="str">
        <f t="shared" si="1"/>
        <v>🔊</v>
      </c>
      <c r="D255" s="8" t="s">
        <v>4153</v>
      </c>
      <c r="E255" s="6" t="s">
        <v>99</v>
      </c>
      <c r="F255" s="12" t="str">
        <f>IFERROR(__xludf.DUMMYFUNCTION("GOOGLETRANSLATE(B255,""zh_cn"",""vi"")"),"công cộng")</f>
        <v>công cộng</v>
      </c>
      <c r="G255" s="20" t="s">
        <v>4154</v>
      </c>
      <c r="I255" s="11" t="b">
        <f t="shared" si="2"/>
        <v>0</v>
      </c>
      <c r="K255" s="11" t="b">
        <f t="shared" si="3"/>
        <v>0</v>
      </c>
    </row>
    <row r="256" ht="22.5" customHeight="1">
      <c r="A256" s="12">
        <f t="shared" si="4"/>
        <v>1254</v>
      </c>
      <c r="B256" s="26" t="s">
        <v>4155</v>
      </c>
      <c r="C256" s="7" t="str">
        <f t="shared" si="1"/>
        <v>🔊</v>
      </c>
      <c r="D256" s="8" t="s">
        <v>4156</v>
      </c>
      <c r="E256" s="6" t="s">
        <v>27</v>
      </c>
      <c r="F256" s="5" t="s">
        <v>4157</v>
      </c>
      <c r="G256" s="20" t="s">
        <v>4158</v>
      </c>
      <c r="I256" s="11" t="b">
        <f t="shared" si="2"/>
        <v>0</v>
      </c>
      <c r="K256" s="11" t="b">
        <f t="shared" si="3"/>
        <v>0</v>
      </c>
    </row>
    <row r="257" ht="22.5" customHeight="1">
      <c r="A257" s="12">
        <f t="shared" si="4"/>
        <v>1255</v>
      </c>
      <c r="B257" s="26" t="s">
        <v>4159</v>
      </c>
      <c r="C257" s="7" t="str">
        <f t="shared" si="1"/>
        <v>🔊</v>
      </c>
      <c r="D257" s="8" t="s">
        <v>4160</v>
      </c>
      <c r="E257" s="6" t="s">
        <v>47</v>
      </c>
      <c r="F257" s="12" t="str">
        <f>IFERROR(__xludf.DUMMYFUNCTION("GOOGLETRANSLATE(B257,""zh_cn"",""vi"")"),"ki-lô-mét")</f>
        <v>ki-lô-mét</v>
      </c>
      <c r="G257" s="20" t="s">
        <v>4161</v>
      </c>
      <c r="I257" s="11" t="b">
        <f t="shared" si="2"/>
        <v>0</v>
      </c>
      <c r="K257" s="11" t="b">
        <f t="shared" si="3"/>
        <v>0</v>
      </c>
    </row>
    <row r="258" ht="22.5" customHeight="1">
      <c r="A258" s="12">
        <f t="shared" si="4"/>
        <v>1256</v>
      </c>
      <c r="B258" s="26" t="s">
        <v>4162</v>
      </c>
      <c r="C258" s="7" t="str">
        <f t="shared" si="1"/>
        <v>🔊</v>
      </c>
      <c r="D258" s="8" t="s">
        <v>4163</v>
      </c>
      <c r="E258" s="6" t="s">
        <v>27</v>
      </c>
      <c r="F258" s="5" t="s">
        <v>4164</v>
      </c>
      <c r="G258" s="20" t="s">
        <v>4165</v>
      </c>
      <c r="I258" s="11" t="b">
        <f t="shared" si="2"/>
        <v>0</v>
      </c>
      <c r="K258" s="11" t="b">
        <f t="shared" si="3"/>
        <v>0</v>
      </c>
    </row>
    <row r="259" ht="22.5" customHeight="1">
      <c r="A259" s="12">
        <f t="shared" si="4"/>
        <v>1257</v>
      </c>
      <c r="B259" s="26" t="s">
        <v>4166</v>
      </c>
      <c r="C259" s="7" t="str">
        <f t="shared" si="1"/>
        <v>🔊</v>
      </c>
      <c r="D259" s="8" t="s">
        <v>4167</v>
      </c>
      <c r="E259" s="6" t="s">
        <v>27</v>
      </c>
      <c r="F259" s="12" t="str">
        <f>IFERROR(__xludf.DUMMYFUNCTION("GOOGLETRANSLATE(B259,""zh_cn"",""vi"")"),"Công nhân")</f>
        <v>Công nhân</v>
      </c>
      <c r="G259" s="20" t="s">
        <v>4168</v>
      </c>
      <c r="I259" s="11" t="b">
        <f t="shared" si="2"/>
        <v>0</v>
      </c>
      <c r="K259" s="11" t="b">
        <f t="shared" si="3"/>
        <v>0</v>
      </c>
    </row>
    <row r="260" ht="22.5" customHeight="1">
      <c r="A260" s="12">
        <f t="shared" si="4"/>
        <v>1258</v>
      </c>
      <c r="B260" s="26" t="s">
        <v>4169</v>
      </c>
      <c r="C260" s="7" t="str">
        <f t="shared" si="1"/>
        <v>🔊</v>
      </c>
      <c r="D260" s="8" t="s">
        <v>4170</v>
      </c>
      <c r="E260" s="6" t="s">
        <v>99</v>
      </c>
      <c r="F260" s="12" t="str">
        <f>IFERROR(__xludf.DUMMYFUNCTION("GOOGLETRANSLATE(B260,""zh_cn"",""vi"")"),"chung")</f>
        <v>chung</v>
      </c>
      <c r="G260" s="20" t="s">
        <v>4171</v>
      </c>
      <c r="I260" s="11" t="b">
        <f t="shared" si="2"/>
        <v>0</v>
      </c>
      <c r="K260" s="11" t="b">
        <f t="shared" si="3"/>
        <v>0</v>
      </c>
    </row>
    <row r="261" ht="22.5" customHeight="1">
      <c r="A261" s="12">
        <f t="shared" si="4"/>
        <v>1259</v>
      </c>
      <c r="B261" s="26" t="s">
        <v>4172</v>
      </c>
      <c r="C261" s="7" t="str">
        <f t="shared" si="1"/>
        <v>🔊</v>
      </c>
      <c r="D261" s="8" t="s">
        <v>4173</v>
      </c>
      <c r="E261" s="6" t="s">
        <v>27</v>
      </c>
      <c r="F261" s="12" t="str">
        <f>IFERROR(__xludf.DUMMYFUNCTION("GOOGLETRANSLATE(B261,""zh_cn"",""vi"")"),"lương")</f>
        <v>lương</v>
      </c>
      <c r="G261" s="20" t="s">
        <v>4174</v>
      </c>
      <c r="I261" s="11" t="b">
        <f t="shared" si="2"/>
        <v>0</v>
      </c>
      <c r="K261" s="11" t="b">
        <f t="shared" si="3"/>
        <v>0</v>
      </c>
    </row>
    <row r="262" ht="22.5" customHeight="1">
      <c r="A262" s="12">
        <f t="shared" si="4"/>
        <v>1260</v>
      </c>
      <c r="B262" s="26" t="s">
        <v>4175</v>
      </c>
      <c r="C262" s="7" t="str">
        <f t="shared" si="1"/>
        <v>🔊</v>
      </c>
      <c r="D262" s="8" t="s">
        <v>4176</v>
      </c>
      <c r="E262" s="6" t="s">
        <v>433</v>
      </c>
      <c r="F262" s="12" t="str">
        <f>IFERROR(__xludf.DUMMYFUNCTION("GOOGLETRANSLATE(B262,""zh_cn"",""vi"")"),"đủ")</f>
        <v>đủ</v>
      </c>
      <c r="G262" s="20" t="s">
        <v>4177</v>
      </c>
      <c r="I262" s="11" t="b">
        <f t="shared" si="2"/>
        <v>0</v>
      </c>
      <c r="K262" s="11" t="b">
        <f t="shared" si="3"/>
        <v>0</v>
      </c>
    </row>
    <row r="263" ht="22.5" customHeight="1">
      <c r="A263" s="27">
        <f t="shared" si="4"/>
        <v>1261</v>
      </c>
      <c r="B263" s="26" t="s">
        <v>4178</v>
      </c>
      <c r="C263" s="7" t="str">
        <f t="shared" si="1"/>
        <v>🔊</v>
      </c>
      <c r="D263" s="8" t="s">
        <v>4179</v>
      </c>
      <c r="E263" s="6" t="s">
        <v>13</v>
      </c>
      <c r="F263" s="5" t="s">
        <v>4180</v>
      </c>
      <c r="G263" s="20" t="s">
        <v>4181</v>
      </c>
      <c r="I263" s="11" t="b">
        <f t="shared" si="2"/>
        <v>0</v>
      </c>
      <c r="K263" s="11" t="b">
        <f t="shared" si="3"/>
        <v>0</v>
      </c>
    </row>
    <row r="264" ht="22.5" customHeight="1">
      <c r="A264" s="12">
        <f t="shared" si="4"/>
        <v>1262</v>
      </c>
      <c r="B264" s="26" t="s">
        <v>4182</v>
      </c>
      <c r="C264" s="7" t="str">
        <f t="shared" si="1"/>
        <v>🔊</v>
      </c>
      <c r="D264" s="8" t="s">
        <v>4183</v>
      </c>
      <c r="E264" s="6" t="s">
        <v>13</v>
      </c>
      <c r="F264" s="12" t="str">
        <f>IFERROR(__xludf.DUMMYFUNCTION("GOOGLETRANSLATE(B264,""zh_cn"",""vi"")"),"Mua sắm")</f>
        <v>Mua sắm</v>
      </c>
      <c r="G264" s="20" t="s">
        <v>4184</v>
      </c>
      <c r="I264" s="11" t="b">
        <f t="shared" si="2"/>
        <v>0</v>
      </c>
      <c r="K264" s="11" t="b">
        <f t="shared" si="3"/>
        <v>0</v>
      </c>
    </row>
    <row r="265" ht="22.5" customHeight="1">
      <c r="A265" s="12">
        <f t="shared" si="4"/>
        <v>1263</v>
      </c>
      <c r="B265" s="26" t="s">
        <v>4185</v>
      </c>
      <c r="C265" s="7" t="str">
        <f t="shared" si="1"/>
        <v>🔊</v>
      </c>
      <c r="D265" s="8" t="s">
        <v>4186</v>
      </c>
      <c r="E265" s="6" t="s">
        <v>13</v>
      </c>
      <c r="F265" s="12" t="str">
        <f>IFERROR(__xludf.DUMMYFUNCTION("GOOGLETRANSLATE(B265,""zh_cn"",""vi"")"),"treo")</f>
        <v>treo</v>
      </c>
      <c r="G265" s="20" t="s">
        <v>4187</v>
      </c>
      <c r="I265" s="11" t="b">
        <f t="shared" si="2"/>
        <v>0</v>
      </c>
      <c r="K265" s="11" t="b">
        <f t="shared" si="3"/>
        <v>0</v>
      </c>
    </row>
    <row r="266" ht="22.5" customHeight="1">
      <c r="A266" s="12">
        <f t="shared" si="4"/>
        <v>1264</v>
      </c>
      <c r="B266" s="26" t="s">
        <v>4188</v>
      </c>
      <c r="C266" s="7" t="str">
        <f t="shared" si="1"/>
        <v>🔊</v>
      </c>
      <c r="D266" s="8" t="s">
        <v>4189</v>
      </c>
      <c r="E266" s="6" t="s">
        <v>1144</v>
      </c>
      <c r="F266" s="5" t="s">
        <v>4190</v>
      </c>
      <c r="G266" s="20" t="s">
        <v>4191</v>
      </c>
      <c r="I266" s="11" t="b">
        <f t="shared" si="2"/>
        <v>0</v>
      </c>
      <c r="K266" s="11" t="b">
        <f t="shared" si="3"/>
        <v>0</v>
      </c>
    </row>
    <row r="267" ht="22.5" customHeight="1">
      <c r="A267" s="12">
        <f t="shared" si="4"/>
        <v>1265</v>
      </c>
      <c r="B267" s="26" t="s">
        <v>4192</v>
      </c>
      <c r="C267" s="7" t="str">
        <f t="shared" si="1"/>
        <v>🔊</v>
      </c>
      <c r="D267" s="8" t="s">
        <v>4193</v>
      </c>
      <c r="E267" s="6" t="s">
        <v>13</v>
      </c>
      <c r="F267" s="5" t="s">
        <v>4194</v>
      </c>
      <c r="G267" s="20" t="s">
        <v>4195</v>
      </c>
      <c r="I267" s="11" t="b">
        <f t="shared" si="2"/>
        <v>0</v>
      </c>
      <c r="K267" s="11" t="b">
        <f t="shared" si="3"/>
        <v>0</v>
      </c>
    </row>
    <row r="268" ht="22.5" customHeight="1">
      <c r="A268" s="12">
        <f t="shared" si="4"/>
        <v>1266</v>
      </c>
      <c r="B268" s="26" t="s">
        <v>4196</v>
      </c>
      <c r="C268" s="7" t="str">
        <f t="shared" si="1"/>
        <v>🔊</v>
      </c>
      <c r="D268" s="8" t="s">
        <v>4197</v>
      </c>
      <c r="E268" s="6" t="s">
        <v>4198</v>
      </c>
      <c r="F268" s="12" t="str">
        <f>IFERROR(__xludf.DUMMYFUNCTION("GOOGLETRANSLATE(B268,""zh_cn"",""vi"")"),"Ánh sáng")</f>
        <v>Ánh sáng</v>
      </c>
      <c r="G268" s="20" t="s">
        <v>4199</v>
      </c>
      <c r="I268" s="11" t="b">
        <f t="shared" si="2"/>
        <v>0</v>
      </c>
      <c r="K268" s="11" t="b">
        <f t="shared" si="3"/>
        <v>0</v>
      </c>
    </row>
    <row r="269" ht="22.5" customHeight="1">
      <c r="A269" s="12">
        <f t="shared" si="4"/>
        <v>1267</v>
      </c>
      <c r="B269" s="26" t="s">
        <v>4200</v>
      </c>
      <c r="C269" s="7" t="str">
        <f t="shared" si="1"/>
        <v>🔊</v>
      </c>
      <c r="D269" s="8" t="s">
        <v>4201</v>
      </c>
      <c r="E269" s="6" t="s">
        <v>232</v>
      </c>
      <c r="F269" s="5" t="s">
        <v>4202</v>
      </c>
      <c r="G269" s="20" t="s">
        <v>4203</v>
      </c>
      <c r="I269" s="11" t="b">
        <f t="shared" si="2"/>
        <v>0</v>
      </c>
      <c r="K269" s="11" t="b">
        <f t="shared" si="3"/>
        <v>0</v>
      </c>
    </row>
    <row r="270" ht="22.5" customHeight="1">
      <c r="A270" s="12">
        <f t="shared" si="4"/>
        <v>1268</v>
      </c>
      <c r="B270" s="26" t="s">
        <v>4204</v>
      </c>
      <c r="C270" s="7" t="str">
        <f t="shared" si="1"/>
        <v>🔊</v>
      </c>
      <c r="D270" s="8" t="s">
        <v>4205</v>
      </c>
      <c r="E270" s="6" t="s">
        <v>27</v>
      </c>
      <c r="F270" s="12" t="str">
        <f>IFERROR(__xludf.DUMMYFUNCTION("GOOGLETRANSLATE(B270,""zh_cn"",""vi"")"),"quảng cáo")</f>
        <v>quảng cáo</v>
      </c>
      <c r="G270" s="20" t="s">
        <v>4206</v>
      </c>
      <c r="I270" s="11" t="b">
        <f t="shared" si="2"/>
        <v>0</v>
      </c>
      <c r="K270" s="11" t="b">
        <f t="shared" si="3"/>
        <v>0</v>
      </c>
    </row>
    <row r="271" ht="22.5" customHeight="1">
      <c r="A271" s="12">
        <f t="shared" si="4"/>
        <v>1269</v>
      </c>
      <c r="B271" s="26" t="s">
        <v>4207</v>
      </c>
      <c r="C271" s="7" t="str">
        <f t="shared" si="1"/>
        <v>🔊</v>
      </c>
      <c r="D271" s="8" t="s">
        <v>4208</v>
      </c>
      <c r="E271" s="6" t="s">
        <v>3430</v>
      </c>
      <c r="F271" s="5" t="s">
        <v>4209</v>
      </c>
      <c r="G271" s="20" t="s">
        <v>4210</v>
      </c>
      <c r="I271" s="11" t="b">
        <f t="shared" si="2"/>
        <v>0</v>
      </c>
      <c r="K271" s="11" t="b">
        <f t="shared" si="3"/>
        <v>0</v>
      </c>
    </row>
    <row r="272" ht="22.5" customHeight="1">
      <c r="A272" s="12">
        <f t="shared" si="4"/>
        <v>1270</v>
      </c>
      <c r="B272" s="26" t="s">
        <v>4211</v>
      </c>
      <c r="C272" s="7" t="str">
        <f t="shared" si="1"/>
        <v>🔊</v>
      </c>
      <c r="D272" s="8" t="s">
        <v>4212</v>
      </c>
      <c r="E272" s="6" t="s">
        <v>13</v>
      </c>
      <c r="F272" s="5" t="s">
        <v>4213</v>
      </c>
      <c r="G272" s="20" t="s">
        <v>4214</v>
      </c>
      <c r="I272" s="11" t="b">
        <f t="shared" si="2"/>
        <v>0</v>
      </c>
      <c r="K272" s="11" t="b">
        <f t="shared" si="3"/>
        <v>0</v>
      </c>
    </row>
    <row r="273" ht="22.5" customHeight="1">
      <c r="A273" s="12">
        <f t="shared" si="4"/>
        <v>1271</v>
      </c>
      <c r="B273" s="26" t="s">
        <v>4215</v>
      </c>
      <c r="C273" s="7" t="str">
        <f t="shared" si="1"/>
        <v>🔊</v>
      </c>
      <c r="D273" s="8" t="s">
        <v>4216</v>
      </c>
      <c r="E273" s="6" t="s">
        <v>13</v>
      </c>
      <c r="F273" s="12" t="str">
        <f>IFERROR(__xludf.DUMMYFUNCTION("GOOGLETRANSLATE(B273,""zh_cn"",""vi"")"),"quản lý")</f>
        <v>quản lý</v>
      </c>
      <c r="G273" s="20" t="s">
        <v>4217</v>
      </c>
      <c r="I273" s="11" t="b">
        <f t="shared" si="2"/>
        <v>0</v>
      </c>
      <c r="K273" s="11" t="b">
        <f t="shared" si="3"/>
        <v>0</v>
      </c>
    </row>
    <row r="274" ht="22.5" customHeight="1">
      <c r="A274" s="12">
        <f t="shared" si="4"/>
        <v>1272</v>
      </c>
      <c r="B274" s="26" t="s">
        <v>4218</v>
      </c>
      <c r="C274" s="7" t="str">
        <f t="shared" si="1"/>
        <v>🔊</v>
      </c>
      <c r="D274" s="8" t="s">
        <v>4219</v>
      </c>
      <c r="E274" s="6" t="s">
        <v>27</v>
      </c>
      <c r="F274" s="12" t="str">
        <f>IFERROR(__xludf.DUMMYFUNCTION("GOOGLETRANSLATE(B274,""zh_cn"",""vi"")"),"khán giả")</f>
        <v>khán giả</v>
      </c>
      <c r="G274" s="20" t="s">
        <v>4220</v>
      </c>
      <c r="I274" s="11" t="b">
        <f t="shared" si="2"/>
        <v>0</v>
      </c>
      <c r="K274" s="11" t="b">
        <f t="shared" si="3"/>
        <v>0</v>
      </c>
    </row>
    <row r="275" ht="22.5" customHeight="1">
      <c r="A275" s="12">
        <f t="shared" si="4"/>
        <v>1273</v>
      </c>
      <c r="B275" s="26" t="s">
        <v>4221</v>
      </c>
      <c r="C275" s="7" t="str">
        <f t="shared" si="1"/>
        <v>🔊</v>
      </c>
      <c r="D275" s="8" t="s">
        <v>4222</v>
      </c>
      <c r="E275" s="6" t="s">
        <v>232</v>
      </c>
      <c r="F275" s="12" t="str">
        <f>IFERROR(__xludf.DUMMYFUNCTION("GOOGLETRANSLATE(B275,""zh_cn"",""vi"")"),"Quy định")</f>
        <v>Quy định</v>
      </c>
      <c r="G275" s="20" t="s">
        <v>4223</v>
      </c>
      <c r="I275" s="11" t="b">
        <f t="shared" si="2"/>
        <v>0</v>
      </c>
      <c r="K275" s="11" t="b">
        <f t="shared" si="3"/>
        <v>0</v>
      </c>
    </row>
    <row r="276" ht="22.5" customHeight="1">
      <c r="A276" s="12">
        <f t="shared" si="4"/>
        <v>1274</v>
      </c>
      <c r="B276" s="26" t="s">
        <v>4224</v>
      </c>
      <c r="C276" s="7" t="str">
        <f t="shared" si="1"/>
        <v>🔊</v>
      </c>
      <c r="D276" s="8" t="s">
        <v>4225</v>
      </c>
      <c r="E276" s="6" t="s">
        <v>13</v>
      </c>
      <c r="F276" s="12" t="str">
        <f>IFERROR(__xludf.DUMMYFUNCTION("GOOGLETRANSLATE(B276,""zh_cn"",""vi"")"),"ước lượng")</f>
        <v>ước lượng</v>
      </c>
      <c r="G276" s="20" t="s">
        <v>4226</v>
      </c>
      <c r="I276" s="11" t="b">
        <f t="shared" si="2"/>
        <v>0</v>
      </c>
      <c r="K276" s="11" t="b">
        <f t="shared" si="3"/>
        <v>0</v>
      </c>
    </row>
    <row r="277" ht="22.5" customHeight="1">
      <c r="A277" s="12">
        <f t="shared" si="4"/>
        <v>1275</v>
      </c>
      <c r="B277" s="26" t="s">
        <v>4227</v>
      </c>
      <c r="C277" s="7" t="str">
        <f t="shared" si="1"/>
        <v>🔊</v>
      </c>
      <c r="D277" s="8" t="s">
        <v>4228</v>
      </c>
      <c r="E277" s="6" t="s">
        <v>27</v>
      </c>
      <c r="F277" s="12" t="str">
        <f>IFERROR(__xludf.DUMMYFUNCTION("GOOGLETRANSLATE(B277,""zh_cn"",""vi"")"),"khách hàng")</f>
        <v>khách hàng</v>
      </c>
      <c r="G277" s="20" t="s">
        <v>4229</v>
      </c>
      <c r="I277" s="11" t="b">
        <f t="shared" si="2"/>
        <v>0</v>
      </c>
      <c r="K277" s="11" t="b">
        <f t="shared" si="3"/>
        <v>0</v>
      </c>
    </row>
    <row r="278" ht="22.5" customHeight="1">
      <c r="A278" s="12">
        <f t="shared" si="4"/>
        <v>1276</v>
      </c>
      <c r="B278" s="26" t="s">
        <v>4230</v>
      </c>
      <c r="C278" s="7" t="str">
        <f t="shared" si="1"/>
        <v>🔊</v>
      </c>
      <c r="D278" s="8" t="s">
        <v>4231</v>
      </c>
      <c r="E278" s="6" t="s">
        <v>13</v>
      </c>
      <c r="F278" s="5" t="s">
        <v>4232</v>
      </c>
      <c r="G278" s="20" t="s">
        <v>4233</v>
      </c>
      <c r="I278" s="11" t="b">
        <f t="shared" si="2"/>
        <v>0</v>
      </c>
      <c r="K278" s="11" t="b">
        <f t="shared" si="3"/>
        <v>0</v>
      </c>
    </row>
    <row r="279" ht="22.5" customHeight="1">
      <c r="A279" s="12">
        <f t="shared" si="4"/>
        <v>1277</v>
      </c>
      <c r="B279" s="26" t="s">
        <v>4234</v>
      </c>
      <c r="C279" s="7" t="str">
        <f t="shared" si="1"/>
        <v>🔊</v>
      </c>
      <c r="D279" s="8" t="s">
        <v>4235</v>
      </c>
      <c r="E279" s="6" t="s">
        <v>27</v>
      </c>
      <c r="F279" s="5" t="s">
        <v>4236</v>
      </c>
      <c r="G279" s="20" t="s">
        <v>4237</v>
      </c>
      <c r="I279" s="11" t="b">
        <f t="shared" si="2"/>
        <v>0</v>
      </c>
      <c r="K279" s="11" t="b">
        <f t="shared" si="3"/>
        <v>0</v>
      </c>
    </row>
    <row r="280" ht="22.5" customHeight="1">
      <c r="A280" s="12">
        <f t="shared" si="4"/>
        <v>1278</v>
      </c>
      <c r="B280" s="26" t="s">
        <v>4238</v>
      </c>
      <c r="C280" s="7" t="str">
        <f t="shared" si="1"/>
        <v>🔊</v>
      </c>
      <c r="D280" s="8" t="s">
        <v>4239</v>
      </c>
      <c r="E280" s="6" t="s">
        <v>27</v>
      </c>
      <c r="F280" s="12" t="str">
        <f>IFERROR(__xludf.DUMMYFUNCTION("GOOGLETRANSLATE(B280,""zh_cn"",""vi"")"),"quá trình")</f>
        <v>quá trình</v>
      </c>
      <c r="G280" s="20" t="s">
        <v>4240</v>
      </c>
      <c r="I280" s="11" t="b">
        <f t="shared" si="2"/>
        <v>0</v>
      </c>
      <c r="K280" s="11" t="b">
        <f t="shared" si="3"/>
        <v>0</v>
      </c>
    </row>
    <row r="281" ht="22.5" customHeight="1">
      <c r="A281" s="12">
        <f t="shared" si="4"/>
        <v>1279</v>
      </c>
      <c r="B281" s="26" t="s">
        <v>4241</v>
      </c>
      <c r="C281" s="7" t="str">
        <f t="shared" si="1"/>
        <v>🔊</v>
      </c>
      <c r="D281" s="8" t="s">
        <v>4242</v>
      </c>
      <c r="E281" s="6" t="s">
        <v>27</v>
      </c>
      <c r="F281" s="12" t="str">
        <f>IFERROR(__xludf.DUMMYFUNCTION("GOOGLETRANSLATE(B281,""zh_cn"",""vi"")"),"Quốc tịch")</f>
        <v>Quốc tịch</v>
      </c>
      <c r="G281" s="20" t="s">
        <v>4243</v>
      </c>
      <c r="I281" s="11" t="b">
        <f t="shared" si="2"/>
        <v>0</v>
      </c>
      <c r="K281" s="11" t="b">
        <f t="shared" si="3"/>
        <v>0</v>
      </c>
    </row>
    <row r="282" ht="22.5" customHeight="1">
      <c r="A282" s="12">
        <f t="shared" si="4"/>
        <v>1280</v>
      </c>
      <c r="B282" s="26" t="s">
        <v>4244</v>
      </c>
      <c r="C282" s="7" t="str">
        <f t="shared" si="1"/>
        <v>🔊</v>
      </c>
      <c r="D282" s="8" t="s">
        <v>4245</v>
      </c>
      <c r="E282" s="6" t="s">
        <v>1164</v>
      </c>
      <c r="F282" s="12" t="str">
        <f>IFERROR(__xludf.DUMMYFUNCTION("GOOGLETRANSLATE(B282,""zh_cn"",""vi"")"),"tính quốc tế")</f>
        <v>tính quốc tế</v>
      </c>
      <c r="G282" s="20" t="s">
        <v>4246</v>
      </c>
      <c r="I282" s="11" t="b">
        <f t="shared" si="2"/>
        <v>0</v>
      </c>
      <c r="K282" s="11" t="b">
        <f t="shared" si="3"/>
        <v>0</v>
      </c>
    </row>
    <row r="283" ht="22.5" customHeight="1">
      <c r="A283" s="12">
        <f t="shared" si="4"/>
        <v>1281</v>
      </c>
      <c r="B283" s="26" t="s">
        <v>4247</v>
      </c>
      <c r="C283" s="7" t="str">
        <f t="shared" si="1"/>
        <v>🔊</v>
      </c>
      <c r="D283" s="8" t="s">
        <v>4248</v>
      </c>
      <c r="E283" s="6" t="s">
        <v>27</v>
      </c>
      <c r="F283" s="12" t="str">
        <f>IFERROR(__xludf.DUMMYFUNCTION("GOOGLETRANSLATE(B283,""zh_cn"",""vi"")"),"nước ép")</f>
        <v>nước ép</v>
      </c>
      <c r="G283" s="20" t="s">
        <v>4249</v>
      </c>
      <c r="I283" s="11" t="b">
        <f t="shared" si="2"/>
        <v>0</v>
      </c>
      <c r="K283" s="11" t="b">
        <f t="shared" si="3"/>
        <v>0</v>
      </c>
    </row>
    <row r="284" ht="22.5" customHeight="1">
      <c r="A284" s="12">
        <f t="shared" si="4"/>
        <v>1282</v>
      </c>
      <c r="B284" s="26" t="s">
        <v>4250</v>
      </c>
      <c r="C284" s="7" t="str">
        <f t="shared" si="1"/>
        <v>🔊</v>
      </c>
      <c r="D284" s="8" t="s">
        <v>4251</v>
      </c>
      <c r="E284" s="6" t="s">
        <v>61</v>
      </c>
      <c r="F284" s="12" t="str">
        <f>IFERROR(__xludf.DUMMYFUNCTION("GOOGLETRANSLATE(B284,""zh_cn"",""vi"")"),"cố ý")</f>
        <v>cố ý</v>
      </c>
      <c r="G284" s="20" t="s">
        <v>4252</v>
      </c>
      <c r="I284" s="11" t="b">
        <f t="shared" si="2"/>
        <v>0</v>
      </c>
      <c r="K284" s="11" t="b">
        <f t="shared" si="3"/>
        <v>0</v>
      </c>
    </row>
    <row r="285" ht="22.5" customHeight="1">
      <c r="A285" s="12">
        <f t="shared" si="4"/>
        <v>1283</v>
      </c>
      <c r="B285" s="26" t="s">
        <v>4253</v>
      </c>
      <c r="C285" s="7" t="str">
        <f t="shared" si="1"/>
        <v>🔊</v>
      </c>
      <c r="D285" s="8" t="s">
        <v>4254</v>
      </c>
      <c r="E285" s="6" t="s">
        <v>99</v>
      </c>
      <c r="F285" s="12" t="str">
        <f>IFERROR(__xludf.DUMMYFUNCTION("GOOGLETRANSLATE(B285,""zh_cn"",""vi"")"),"xấu hổ")</f>
        <v>xấu hổ</v>
      </c>
      <c r="G285" s="20" t="s">
        <v>4255</v>
      </c>
      <c r="I285" s="11" t="b">
        <f t="shared" si="2"/>
        <v>0</v>
      </c>
      <c r="K285" s="11" t="b">
        <f t="shared" si="3"/>
        <v>0</v>
      </c>
    </row>
    <row r="286" ht="22.5" customHeight="1">
      <c r="A286" s="12">
        <f t="shared" si="4"/>
        <v>1284</v>
      </c>
      <c r="B286" s="26" t="s">
        <v>4256</v>
      </c>
      <c r="C286" s="7" t="str">
        <f t="shared" si="1"/>
        <v>🔊</v>
      </c>
      <c r="D286" s="8" t="s">
        <v>4257</v>
      </c>
      <c r="E286" s="6" t="s">
        <v>27</v>
      </c>
      <c r="F286" s="12" t="str">
        <f>IFERROR(__xludf.DUMMYFUNCTION("GOOGLETRANSLATE(B286,""zh_cn"",""vi"")"),"đại dương")</f>
        <v>đại dương</v>
      </c>
      <c r="G286" s="20" t="s">
        <v>4258</v>
      </c>
      <c r="I286" s="11" t="b">
        <f t="shared" si="2"/>
        <v>0</v>
      </c>
      <c r="K286" s="11" t="b">
        <f t="shared" si="3"/>
        <v>0</v>
      </c>
    </row>
    <row r="287" ht="22.5" customHeight="1">
      <c r="A287" s="12">
        <f t="shared" si="4"/>
        <v>1285</v>
      </c>
      <c r="B287" s="26" t="s">
        <v>4259</v>
      </c>
      <c r="C287" s="7" t="str">
        <f t="shared" si="1"/>
        <v>🔊</v>
      </c>
      <c r="D287" s="8" t="s">
        <v>4260</v>
      </c>
      <c r="E287" s="6" t="s">
        <v>27</v>
      </c>
      <c r="F287" s="12" t="str">
        <f>IFERROR(__xludf.DUMMYFUNCTION("GOOGLETRANSLATE(B287,""zh_cn"",""vi"")"),"mồ hôi")</f>
        <v>mồ hôi</v>
      </c>
      <c r="G287" s="20" t="s">
        <v>4261</v>
      </c>
      <c r="I287" s="11" t="b">
        <f t="shared" si="2"/>
        <v>0</v>
      </c>
      <c r="K287" s="11" t="b">
        <f t="shared" si="3"/>
        <v>0</v>
      </c>
    </row>
    <row r="288" ht="22.5" customHeight="1">
      <c r="A288" s="12">
        <f t="shared" si="4"/>
        <v>1286</v>
      </c>
      <c r="B288" s="26" t="s">
        <v>4262</v>
      </c>
      <c r="C288" s="7" t="str">
        <f t="shared" si="1"/>
        <v>🔊</v>
      </c>
      <c r="D288" s="8" t="s">
        <v>4263</v>
      </c>
      <c r="E288" s="6" t="s">
        <v>13</v>
      </c>
      <c r="F288" s="12" t="str">
        <f>IFERROR(__xludf.DUMMYFUNCTION("GOOGLETRANSLATE(B288,""zh_cn"",""vi"")"),"gọi ")</f>
        <v>gọi </v>
      </c>
      <c r="G288" s="20" t="s">
        <v>4264</v>
      </c>
      <c r="I288" s="11" t="b">
        <f t="shared" si="2"/>
        <v>0</v>
      </c>
      <c r="K288" s="11" t="b">
        <f t="shared" si="3"/>
        <v>0</v>
      </c>
    </row>
    <row r="289" ht="22.5" customHeight="1">
      <c r="A289" s="12">
        <f t="shared" si="4"/>
        <v>1287</v>
      </c>
      <c r="B289" s="26" t="s">
        <v>4265</v>
      </c>
      <c r="C289" s="7" t="str">
        <f t="shared" si="1"/>
        <v>🔊</v>
      </c>
      <c r="D289" s="8" t="s">
        <v>4266</v>
      </c>
      <c r="E289" s="6" t="s">
        <v>27</v>
      </c>
      <c r="F289" s="12" t="str">
        <f>IFERROR(__xludf.DUMMYFUNCTION("GOOGLETRANSLATE(B289,""zh_cn"",""vi"")"),"chuyến bay")</f>
        <v>chuyến bay</v>
      </c>
      <c r="G289" s="20" t="s">
        <v>4267</v>
      </c>
      <c r="I289" s="11" t="b">
        <f t="shared" si="2"/>
        <v>0</v>
      </c>
      <c r="K289" s="11" t="b">
        <f t="shared" si="3"/>
        <v>0</v>
      </c>
    </row>
    <row r="290" ht="22.5" customHeight="1">
      <c r="A290" s="12">
        <f t="shared" si="4"/>
        <v>1288</v>
      </c>
      <c r="B290" s="26" t="s">
        <v>4268</v>
      </c>
      <c r="C290" s="7" t="str">
        <f t="shared" si="1"/>
        <v>🔊</v>
      </c>
      <c r="D290" s="8" t="s">
        <v>4269</v>
      </c>
      <c r="E290" s="6" t="s">
        <v>27</v>
      </c>
      <c r="F290" s="12" t="str">
        <f>IFERROR(__xludf.DUMMYFUNCTION("GOOGLETRANSLATE(B290,""zh_cn"",""vi"")"),"kỳ nghỉ đông")</f>
        <v>kỳ nghỉ đông</v>
      </c>
      <c r="G290" s="20" t="s">
        <v>4270</v>
      </c>
      <c r="I290" s="11" t="b">
        <f t="shared" si="2"/>
        <v>0</v>
      </c>
      <c r="K290" s="11" t="b">
        <f t="shared" si="3"/>
        <v>0</v>
      </c>
    </row>
    <row r="291" ht="22.5" customHeight="1">
      <c r="A291" s="12">
        <f t="shared" si="4"/>
        <v>1289</v>
      </c>
      <c r="B291" s="26" t="s">
        <v>4271</v>
      </c>
      <c r="C291" s="7" t="str">
        <f t="shared" si="1"/>
        <v>🔊</v>
      </c>
      <c r="D291" s="8" t="s">
        <v>4272</v>
      </c>
      <c r="E291" s="6" t="s">
        <v>99</v>
      </c>
      <c r="F291" s="12" t="str">
        <f>IFERROR(__xludf.DUMMYFUNCTION("GOOGLETRANSLATE(B291,""zh_cn"",""vi"")"),"lạnh lẽo")</f>
        <v>lạnh lẽo</v>
      </c>
      <c r="G291" s="20" t="s">
        <v>4273</v>
      </c>
      <c r="I291" s="11" t="b">
        <f t="shared" si="2"/>
        <v>0</v>
      </c>
      <c r="K291" s="11" t="b">
        <f t="shared" si="3"/>
        <v>0</v>
      </c>
    </row>
    <row r="292" ht="22.5" customHeight="1">
      <c r="A292" s="12">
        <f t="shared" si="4"/>
        <v>1290</v>
      </c>
      <c r="B292" s="26" t="s">
        <v>4274</v>
      </c>
      <c r="C292" s="7" t="str">
        <f t="shared" si="1"/>
        <v>🔊</v>
      </c>
      <c r="D292" s="8" t="s">
        <v>4275</v>
      </c>
      <c r="E292" s="6" t="s">
        <v>27</v>
      </c>
      <c r="F292" s="12" t="str">
        <f>IFERROR(__xludf.DUMMYFUNCTION("GOOGLETRANSLATE(B292,""zh_cn"",""vi"")"),"lợi ích")</f>
        <v>lợi ích</v>
      </c>
      <c r="G292" s="20" t="s">
        <v>4276</v>
      </c>
      <c r="I292" s="11" t="b">
        <f t="shared" si="2"/>
        <v>0</v>
      </c>
      <c r="K292" s="11" t="b">
        <f t="shared" si="3"/>
        <v>0</v>
      </c>
    </row>
    <row r="293" ht="22.5" customHeight="1">
      <c r="A293" s="12">
        <f t="shared" si="4"/>
        <v>1291</v>
      </c>
      <c r="B293" s="26" t="s">
        <v>4277</v>
      </c>
      <c r="C293" s="7" t="str">
        <f t="shared" si="1"/>
        <v>🔊</v>
      </c>
      <c r="D293" s="8" t="s">
        <v>4278</v>
      </c>
      <c r="E293" s="6" t="s">
        <v>1308</v>
      </c>
      <c r="F293" s="12" t="str">
        <f>IFERROR(__xludf.DUMMYFUNCTION("GOOGLETRANSLATE(B293,""zh_cn"",""vi"")"),"Tốt")</f>
        <v>Tốt</v>
      </c>
      <c r="G293" s="20" t="s">
        <v>4279</v>
      </c>
      <c r="I293" s="11" t="b">
        <f t="shared" si="2"/>
        <v>0</v>
      </c>
      <c r="K293" s="11" t="b">
        <f t="shared" si="3"/>
        <v>0</v>
      </c>
    </row>
    <row r="294" ht="22.5" customHeight="1">
      <c r="A294" s="12">
        <f t="shared" si="4"/>
        <v>1292</v>
      </c>
      <c r="B294" s="26" t="s">
        <v>4280</v>
      </c>
      <c r="C294" s="7" t="str">
        <f t="shared" si="1"/>
        <v>🔊</v>
      </c>
      <c r="D294" s="8" t="s">
        <v>4281</v>
      </c>
      <c r="E294" s="6" t="s">
        <v>99</v>
      </c>
      <c r="F294" s="12" t="str">
        <f>IFERROR(__xludf.DUMMYFUNCTION("GOOGLETRANSLATE(B294,""zh_cn"",""vi"")"),"buồn cười")</f>
        <v>buồn cười</v>
      </c>
      <c r="G294" s="20" t="s">
        <v>4282</v>
      </c>
      <c r="I294" s="11" t="b">
        <f t="shared" si="2"/>
        <v>0</v>
      </c>
      <c r="K294" s="11" t="b">
        <f t="shared" si="3"/>
        <v>0</v>
      </c>
    </row>
    <row r="295" ht="22.5" customHeight="1">
      <c r="A295" s="12">
        <f t="shared" si="4"/>
        <v>1293</v>
      </c>
      <c r="B295" s="26" t="s">
        <v>4283</v>
      </c>
      <c r="C295" s="7" t="str">
        <f t="shared" si="1"/>
        <v>🔊</v>
      </c>
      <c r="D295" s="8" t="s">
        <v>4284</v>
      </c>
      <c r="E295" s="6" t="s">
        <v>99</v>
      </c>
      <c r="F295" s="12" t="str">
        <f>IFERROR(__xludf.DUMMYFUNCTION("GOOGLETRANSLATE(B295,""zh_cn"",""vi"")"),"đạt tiêu chuẩn")</f>
        <v>đạt tiêu chuẩn</v>
      </c>
      <c r="G295" s="20" t="s">
        <v>4285</v>
      </c>
      <c r="I295" s="11" t="b">
        <f t="shared" si="2"/>
        <v>0</v>
      </c>
      <c r="K295" s="11" t="b">
        <f t="shared" si="3"/>
        <v>0</v>
      </c>
    </row>
    <row r="296" ht="22.5" customHeight="1">
      <c r="A296" s="12">
        <f t="shared" si="4"/>
        <v>1294</v>
      </c>
      <c r="B296" s="26" t="s">
        <v>4286</v>
      </c>
      <c r="C296" s="7" t="str">
        <f t="shared" si="1"/>
        <v>🔊</v>
      </c>
      <c r="D296" s="8" t="s">
        <v>4287</v>
      </c>
      <c r="E296" s="6" t="s">
        <v>27</v>
      </c>
      <c r="F296" s="12" t="str">
        <f>IFERROR(__xludf.DUMMYFUNCTION("GOOGLETRANSLATE(B296,""zh_cn"",""vi"")"),"Hộp")</f>
        <v>Hộp</v>
      </c>
      <c r="G296" s="20" t="s">
        <v>4288</v>
      </c>
      <c r="I296" s="11" t="b">
        <f t="shared" si="2"/>
        <v>0</v>
      </c>
      <c r="K296" s="11" t="b">
        <f t="shared" si="3"/>
        <v>0</v>
      </c>
    </row>
    <row r="297" ht="22.5" customHeight="1">
      <c r="A297" s="12">
        <f t="shared" si="4"/>
        <v>1295</v>
      </c>
      <c r="B297" s="26" t="s">
        <v>4289</v>
      </c>
      <c r="C297" s="7" t="str">
        <f t="shared" si="1"/>
        <v>🔊</v>
      </c>
      <c r="D297" s="8" t="s">
        <v>4290</v>
      </c>
      <c r="E297" s="6" t="s">
        <v>27</v>
      </c>
      <c r="F297" s="12" t="str">
        <f>IFERROR(__xludf.DUMMYFUNCTION("GOOGLETRANSLATE(B297,""zh_cn"",""vi"")"),"Phong bì đỏ")</f>
        <v>Phong bì đỏ</v>
      </c>
      <c r="G297" s="20" t="s">
        <v>4291</v>
      </c>
      <c r="I297" s="11" t="b">
        <f t="shared" si="2"/>
        <v>0</v>
      </c>
      <c r="K297" s="11" t="b">
        <f t="shared" si="3"/>
        <v>0</v>
      </c>
    </row>
    <row r="298" ht="22.5" customHeight="1">
      <c r="A298" s="12">
        <f t="shared" si="4"/>
        <v>1296</v>
      </c>
      <c r="B298" s="26" t="s">
        <v>4292</v>
      </c>
      <c r="C298" s="7" t="str">
        <f t="shared" si="1"/>
        <v>🔊</v>
      </c>
      <c r="D298" s="8" t="s">
        <v>290</v>
      </c>
      <c r="E298" s="6" t="s">
        <v>99</v>
      </c>
      <c r="F298" s="12" t="str">
        <f>IFERROR(__xludf.DUMMYFUNCTION("GOOGLETRANSLATE(B298,""zh_cn"",""vi"")"),"dày")</f>
        <v>dày</v>
      </c>
      <c r="G298" s="20" t="s">
        <v>4293</v>
      </c>
      <c r="I298" s="11" t="b">
        <f t="shared" si="2"/>
        <v>0</v>
      </c>
      <c r="K298" s="11" t="b">
        <f t="shared" si="3"/>
        <v>0</v>
      </c>
    </row>
    <row r="299" ht="22.5" customHeight="1">
      <c r="A299" s="12">
        <f t="shared" si="4"/>
        <v>1297</v>
      </c>
      <c r="B299" s="26" t="s">
        <v>4294</v>
      </c>
      <c r="C299" s="7" t="str">
        <f t="shared" si="1"/>
        <v>🔊</v>
      </c>
      <c r="D299" s="8" t="s">
        <v>4295</v>
      </c>
      <c r="E299" s="6" t="s">
        <v>13</v>
      </c>
      <c r="F299" s="12" t="str">
        <f>IFERROR(__xludf.DUMMYFUNCTION("GOOGLETRANSLATE(B299,""zh_cn"",""vi"")"),"hối tiếc")</f>
        <v>hối tiếc</v>
      </c>
      <c r="G299" s="20" t="s">
        <v>4296</v>
      </c>
      <c r="I299" s="11" t="b">
        <f t="shared" si="2"/>
        <v>0</v>
      </c>
      <c r="K299" s="11" t="b">
        <f t="shared" si="3"/>
        <v>0</v>
      </c>
    </row>
    <row r="300" ht="22.5" customHeight="1">
      <c r="A300" s="12">
        <f t="shared" si="4"/>
        <v>1298</v>
      </c>
      <c r="B300" s="26" t="s">
        <v>4297</v>
      </c>
      <c r="C300" s="7" t="str">
        <f t="shared" si="1"/>
        <v>🔊</v>
      </c>
      <c r="D300" s="8" t="s">
        <v>4298</v>
      </c>
      <c r="E300" s="6" t="s">
        <v>27</v>
      </c>
      <c r="F300" s="5" t="s">
        <v>4299</v>
      </c>
      <c r="G300" s="20" t="s">
        <v>4300</v>
      </c>
      <c r="I300" s="11" t="b">
        <f t="shared" si="2"/>
        <v>0</v>
      </c>
      <c r="K300" s="11" t="b">
        <f t="shared" si="3"/>
        <v>0</v>
      </c>
    </row>
    <row r="301" ht="22.5" customHeight="1">
      <c r="A301" s="12">
        <f t="shared" si="4"/>
        <v>1299</v>
      </c>
      <c r="B301" s="26" t="s">
        <v>4301</v>
      </c>
      <c r="C301" s="7" t="str">
        <f t="shared" si="1"/>
        <v>🔊</v>
      </c>
      <c r="D301" s="8" t="s">
        <v>4302</v>
      </c>
      <c r="E301" s="6" t="s">
        <v>13</v>
      </c>
      <c r="F301" s="12" t="str">
        <f>IFERROR(__xludf.DUMMYFUNCTION("GOOGLETRANSLATE(B301,""zh_cn"",""vi"")"),"Nghi ngờ")</f>
        <v>Nghi ngờ</v>
      </c>
      <c r="G301" s="20" t="s">
        <v>4303</v>
      </c>
      <c r="I301" s="11" t="b">
        <f t="shared" si="2"/>
        <v>0</v>
      </c>
      <c r="K301" s="11" t="b">
        <f t="shared" si="3"/>
        <v>0</v>
      </c>
    </row>
    <row r="302" ht="22.5" customHeight="1">
      <c r="A302" s="12">
        <f t="shared" si="4"/>
        <v>1300</v>
      </c>
      <c r="B302" s="26" t="s">
        <v>4304</v>
      </c>
      <c r="C302" s="7" t="str">
        <f t="shared" si="1"/>
        <v>🔊</v>
      </c>
      <c r="D302" s="8" t="s">
        <v>4305</v>
      </c>
      <c r="E302" s="6" t="s">
        <v>27</v>
      </c>
      <c r="F302" s="5" t="s">
        <v>4306</v>
      </c>
      <c r="G302" s="20" t="s">
        <v>4307</v>
      </c>
      <c r="I302" s="11" t="b">
        <f t="shared" si="2"/>
        <v>0</v>
      </c>
      <c r="J302" s="24"/>
      <c r="K302" s="11" t="b">
        <f t="shared" si="3"/>
        <v>0</v>
      </c>
    </row>
    <row r="303" ht="22.5" customHeight="1">
      <c r="A303" s="12">
        <f t="shared" si="4"/>
        <v>1301</v>
      </c>
      <c r="B303" s="26" t="s">
        <v>4308</v>
      </c>
      <c r="C303" s="7" t="str">
        <f t="shared" si="1"/>
        <v>🔊</v>
      </c>
      <c r="D303" s="8" t="s">
        <v>4309</v>
      </c>
      <c r="E303" s="6" t="s">
        <v>3430</v>
      </c>
      <c r="F303" s="5" t="s">
        <v>4310</v>
      </c>
      <c r="G303" s="20" t="s">
        <v>4311</v>
      </c>
      <c r="I303" s="11" t="b">
        <f t="shared" si="2"/>
        <v>0</v>
      </c>
      <c r="J303" s="24"/>
      <c r="K303" s="11" t="b">
        <f t="shared" si="3"/>
        <v>0</v>
      </c>
    </row>
    <row r="304" ht="22.5" customHeight="1">
      <c r="A304" s="12">
        <f t="shared" si="4"/>
        <v>1302</v>
      </c>
      <c r="B304" s="26" t="s">
        <v>4312</v>
      </c>
      <c r="C304" s="7" t="str">
        <f t="shared" si="1"/>
        <v>🔊</v>
      </c>
      <c r="D304" s="8" t="s">
        <v>4313</v>
      </c>
      <c r="E304" s="6" t="s">
        <v>13</v>
      </c>
      <c r="F304" s="5" t="s">
        <v>4314</v>
      </c>
      <c r="G304" s="20" t="s">
        <v>4315</v>
      </c>
      <c r="I304" s="11" t="b">
        <f t="shared" si="2"/>
        <v>0</v>
      </c>
      <c r="J304" s="24"/>
      <c r="K304" s="11" t="b">
        <f t="shared" si="3"/>
        <v>0</v>
      </c>
    </row>
    <row r="305" ht="22.5" customHeight="1">
      <c r="A305" s="12">
        <f t="shared" si="4"/>
        <v>1303</v>
      </c>
      <c r="B305" s="26" t="s">
        <v>4316</v>
      </c>
      <c r="C305" s="7" t="str">
        <f t="shared" si="1"/>
        <v>🔊</v>
      </c>
      <c r="D305" s="8" t="s">
        <v>4317</v>
      </c>
      <c r="E305" s="6" t="s">
        <v>13</v>
      </c>
      <c r="F305" s="12" t="str">
        <f>IFERROR(__xludf.DUMMYFUNCTION("GOOGLETRANSLATE(B305,""zh_cn"",""vi"")"),"hồi đáp")</f>
        <v>hồi đáp</v>
      </c>
      <c r="G305" s="20" t="s">
        <v>4318</v>
      </c>
      <c r="I305" s="11" t="b">
        <f t="shared" si="2"/>
        <v>0</v>
      </c>
      <c r="J305" s="24"/>
      <c r="K305" s="11" t="b">
        <f t="shared" si="3"/>
        <v>0</v>
      </c>
    </row>
    <row r="306" ht="22.5" customHeight="1">
      <c r="A306" s="12">
        <f t="shared" si="4"/>
        <v>1304</v>
      </c>
      <c r="B306" s="26" t="s">
        <v>4319</v>
      </c>
      <c r="C306" s="7" t="str">
        <f t="shared" si="1"/>
        <v>🔊</v>
      </c>
      <c r="D306" s="8" t="s">
        <v>4320</v>
      </c>
      <c r="E306" s="6" t="s">
        <v>232</v>
      </c>
      <c r="F306" s="5" t="s">
        <v>4321</v>
      </c>
      <c r="G306" s="20" t="s">
        <v>4322</v>
      </c>
      <c r="I306" s="11" t="b">
        <f t="shared" si="2"/>
        <v>0</v>
      </c>
      <c r="J306" s="24"/>
      <c r="K306" s="11" t="b">
        <f t="shared" si="3"/>
        <v>0</v>
      </c>
    </row>
    <row r="307" ht="22.5" customHeight="1">
      <c r="A307" s="12">
        <f t="shared" si="4"/>
        <v>1305</v>
      </c>
      <c r="B307" s="26" t="s">
        <v>4323</v>
      </c>
      <c r="C307" s="7" t="str">
        <f t="shared" si="1"/>
        <v>🔊</v>
      </c>
      <c r="D307" s="8" t="s">
        <v>4324</v>
      </c>
      <c r="E307" s="6" t="s">
        <v>13</v>
      </c>
      <c r="F307" s="5" t="s">
        <v>4325</v>
      </c>
      <c r="G307" s="20" t="s">
        <v>4326</v>
      </c>
      <c r="I307" s="11" t="b">
        <f t="shared" si="2"/>
        <v>0</v>
      </c>
      <c r="J307" s="24"/>
      <c r="K307" s="11" t="b">
        <f t="shared" si="3"/>
        <v>0</v>
      </c>
    </row>
    <row r="308" ht="22.5" customHeight="1">
      <c r="A308" s="12">
        <f t="shared" si="4"/>
        <v>1306</v>
      </c>
      <c r="B308" s="26" t="s">
        <v>4327</v>
      </c>
      <c r="C308" s="7" t="str">
        <f t="shared" si="1"/>
        <v>🔊</v>
      </c>
      <c r="D308" s="8" t="s">
        <v>4328</v>
      </c>
      <c r="E308" s="6" t="s">
        <v>27</v>
      </c>
      <c r="F308" s="5" t="s">
        <v>4329</v>
      </c>
      <c r="G308" s="20" t="s">
        <v>4330</v>
      </c>
      <c r="I308" s="11" t="b">
        <f t="shared" si="2"/>
        <v>0</v>
      </c>
      <c r="J308" s="24"/>
      <c r="K308" s="11" t="b">
        <f t="shared" si="3"/>
        <v>0</v>
      </c>
    </row>
    <row r="309" ht="22.5" customHeight="1">
      <c r="A309" s="12">
        <f t="shared" si="4"/>
        <v>1307</v>
      </c>
      <c r="B309" s="26" t="s">
        <v>4331</v>
      </c>
      <c r="C309" s="7" t="str">
        <f t="shared" si="1"/>
        <v>🔊</v>
      </c>
      <c r="D309" s="8" t="s">
        <v>4332</v>
      </c>
      <c r="E309" s="6" t="s">
        <v>27</v>
      </c>
      <c r="F309" s="12" t="str">
        <f>IFERROR(__xludf.DUMMYFUNCTION("GOOGLETRANSLATE(B309,""zh_cn"",""vi"")"),"internet")</f>
        <v>internet</v>
      </c>
      <c r="G309" s="20" t="s">
        <v>4333</v>
      </c>
      <c r="I309" s="11" t="b">
        <f t="shared" si="2"/>
        <v>0</v>
      </c>
      <c r="J309" s="24"/>
      <c r="K309" s="11" t="b">
        <f t="shared" si="3"/>
        <v>0</v>
      </c>
    </row>
    <row r="310" ht="22.5" customHeight="1">
      <c r="A310" s="12">
        <f t="shared" si="4"/>
        <v>1308</v>
      </c>
      <c r="B310" s="26" t="s">
        <v>4334</v>
      </c>
      <c r="C310" s="7" t="str">
        <f t="shared" si="1"/>
        <v>🔊</v>
      </c>
      <c r="D310" s="8" t="s">
        <v>4335</v>
      </c>
      <c r="E310" s="6" t="s">
        <v>4336</v>
      </c>
      <c r="F310" s="12" t="str">
        <f>IFERROR(__xludf.DUMMYFUNCTION("GOOGLETRANSLATE(B310,""zh_cn"",""vi"")"),"sống")</f>
        <v>sống</v>
      </c>
      <c r="G310" s="20" t="s">
        <v>4337</v>
      </c>
      <c r="I310" s="11" t="b">
        <f t="shared" si="2"/>
        <v>0</v>
      </c>
      <c r="J310" s="24"/>
      <c r="K310" s="11" t="b">
        <f t="shared" si="3"/>
        <v>0</v>
      </c>
    </row>
    <row r="311" ht="22.5" customHeight="1">
      <c r="A311" s="12">
        <f t="shared" si="4"/>
        <v>1309</v>
      </c>
      <c r="B311" s="26" t="s">
        <v>4338</v>
      </c>
      <c r="C311" s="7" t="str">
        <f t="shared" si="1"/>
        <v>🔊</v>
      </c>
      <c r="D311" s="8" t="s">
        <v>2311</v>
      </c>
      <c r="E311" s="6" t="s">
        <v>27</v>
      </c>
      <c r="F311" s="12" t="str">
        <f>IFERROR(__xludf.DUMMYFUNCTION("GOOGLETRANSLATE(B311,""zh_cn"",""vi"")"),"hàng hóa")</f>
        <v>hàng hóa</v>
      </c>
      <c r="G311" s="20" t="s">
        <v>4339</v>
      </c>
      <c r="I311" s="11" t="b">
        <f t="shared" si="2"/>
        <v>0</v>
      </c>
      <c r="J311" s="24"/>
      <c r="K311" s="11" t="b">
        <f t="shared" si="3"/>
        <v>0</v>
      </c>
    </row>
    <row r="312" ht="22.5" customHeight="1">
      <c r="A312" s="12">
        <f t="shared" si="4"/>
        <v>1310</v>
      </c>
      <c r="B312" s="26" t="s">
        <v>4340</v>
      </c>
      <c r="C312" s="7" t="str">
        <f t="shared" si="1"/>
        <v>🔊</v>
      </c>
      <c r="D312" s="8" t="s">
        <v>4341</v>
      </c>
      <c r="E312" s="6" t="s">
        <v>3430</v>
      </c>
      <c r="F312" s="12" t="str">
        <f>IFERROR(__xludf.DUMMYFUNCTION("GOOGLETRANSLATE(B312,""zh_cn"",""vi"")"),"ngọn lửa")</f>
        <v>ngọn lửa</v>
      </c>
      <c r="G312" s="20" t="s">
        <v>4342</v>
      </c>
      <c r="I312" s="11" t="b">
        <f t="shared" si="2"/>
        <v>0</v>
      </c>
      <c r="J312" s="24"/>
      <c r="K312" s="11" t="b">
        <f t="shared" si="3"/>
        <v>0</v>
      </c>
    </row>
    <row r="313" ht="22.5" customHeight="1">
      <c r="A313" s="12">
        <f t="shared" si="4"/>
        <v>1311</v>
      </c>
      <c r="B313" s="26" t="s">
        <v>4343</v>
      </c>
      <c r="C313" s="7" t="str">
        <f t="shared" si="1"/>
        <v>🔊</v>
      </c>
      <c r="D313" s="8" t="s">
        <v>4344</v>
      </c>
      <c r="E313" s="6" t="s">
        <v>13</v>
      </c>
      <c r="F313" s="5" t="s">
        <v>4345</v>
      </c>
      <c r="G313" s="20" t="s">
        <v>4346</v>
      </c>
      <c r="I313" s="11" t="b">
        <f t="shared" si="2"/>
        <v>0</v>
      </c>
      <c r="J313" s="24"/>
      <c r="K313" s="11" t="b">
        <f t="shared" si="3"/>
        <v>0</v>
      </c>
    </row>
    <row r="314" ht="22.5" customHeight="1">
      <c r="A314" s="12">
        <f t="shared" si="4"/>
        <v>1312</v>
      </c>
      <c r="B314" s="26" t="s">
        <v>4347</v>
      </c>
      <c r="C314" s="7" t="str">
        <f t="shared" si="1"/>
        <v>🔊</v>
      </c>
      <c r="D314" s="8" t="s">
        <v>4348</v>
      </c>
      <c r="E314" s="6" t="s">
        <v>232</v>
      </c>
      <c r="F314" s="12" t="str">
        <f>IFERROR(__xludf.DUMMYFUNCTION("GOOGLETRANSLATE(B314,""zh_cn"",""vi"")"),"Hoạt động")</f>
        <v>Hoạt động</v>
      </c>
      <c r="G314" s="20" t="s">
        <v>4349</v>
      </c>
      <c r="I314" s="11" t="b">
        <f t="shared" si="2"/>
        <v>0</v>
      </c>
      <c r="J314" s="24"/>
      <c r="K314" s="11" t="b">
        <f t="shared" si="3"/>
        <v>0</v>
      </c>
    </row>
    <row r="315" ht="22.5" customHeight="1">
      <c r="A315" s="12">
        <f t="shared" si="4"/>
        <v>1313</v>
      </c>
      <c r="B315" s="26" t="s">
        <v>4350</v>
      </c>
      <c r="C315" s="7" t="str">
        <f t="shared" si="1"/>
        <v>🔊</v>
      </c>
      <c r="D315" s="8" t="s">
        <v>4351</v>
      </c>
      <c r="E315" s="6" t="s">
        <v>13</v>
      </c>
      <c r="F315" s="5" t="s">
        <v>4352</v>
      </c>
      <c r="G315" s="20" t="s">
        <v>4353</v>
      </c>
      <c r="I315" s="11" t="b">
        <f t="shared" si="2"/>
        <v>0</v>
      </c>
      <c r="J315" s="24"/>
      <c r="K315" s="11" t="b">
        <f t="shared" si="3"/>
        <v>0</v>
      </c>
    </row>
    <row r="316" ht="22.5" customHeight="1">
      <c r="A316" s="12">
        <f t="shared" si="4"/>
        <v>1314</v>
      </c>
      <c r="B316" s="26" t="s">
        <v>4354</v>
      </c>
      <c r="C316" s="7" t="str">
        <f t="shared" si="1"/>
        <v>🔊</v>
      </c>
      <c r="D316" s="8" t="s">
        <v>4355</v>
      </c>
      <c r="E316" s="6" t="s">
        <v>99</v>
      </c>
      <c r="F316" s="12" t="str">
        <f>IFERROR(__xludf.DUMMYFUNCTION("GOOGLETRANSLATE(B316,""zh_cn"",""vi"")"),"sống động")</f>
        <v>sống động</v>
      </c>
      <c r="G316" s="20" t="s">
        <v>4356</v>
      </c>
      <c r="I316" s="11" t="b">
        <f t="shared" si="2"/>
        <v>0</v>
      </c>
      <c r="J316" s="24"/>
      <c r="K316" s="11" t="b">
        <f t="shared" si="3"/>
        <v>0</v>
      </c>
    </row>
    <row r="317" ht="22.5" customHeight="1">
      <c r="A317" s="12">
        <f t="shared" si="4"/>
        <v>1315</v>
      </c>
      <c r="B317" s="26" t="s">
        <v>4357</v>
      </c>
      <c r="C317" s="7" t="str">
        <f t="shared" si="1"/>
        <v>🔊</v>
      </c>
      <c r="D317" s="8" t="s">
        <v>4358</v>
      </c>
      <c r="E317" s="6" t="s">
        <v>13</v>
      </c>
      <c r="F317" s="5" t="s">
        <v>4359</v>
      </c>
      <c r="G317" s="20" t="s">
        <v>4360</v>
      </c>
      <c r="I317" s="11" t="b">
        <f t="shared" si="2"/>
        <v>0</v>
      </c>
      <c r="J317" s="24"/>
      <c r="K317" s="11" t="b">
        <f t="shared" si="3"/>
        <v>0</v>
      </c>
    </row>
    <row r="318" ht="22.5" customHeight="1">
      <c r="A318" s="12">
        <f t="shared" si="4"/>
        <v>1316</v>
      </c>
      <c r="B318" s="26" t="s">
        <v>4361</v>
      </c>
      <c r="C318" s="7" t="str">
        <f t="shared" si="1"/>
        <v>🔊</v>
      </c>
      <c r="D318" s="8" t="s">
        <v>4362</v>
      </c>
      <c r="E318" s="6" t="s">
        <v>61</v>
      </c>
      <c r="F318" s="12" t="str">
        <f>IFERROR(__xludf.DUMMYFUNCTION("GOOGLETRANSLATE(B318,""zh_cn"",""vi"")"),"đột nhiên")</f>
        <v>đột nhiên</v>
      </c>
      <c r="G318" s="20" t="s">
        <v>4363</v>
      </c>
      <c r="I318" s="11" t="b">
        <f t="shared" si="2"/>
        <v>0</v>
      </c>
      <c r="J318" s="24"/>
      <c r="K318" s="11" t="b">
        <f t="shared" si="3"/>
        <v>0</v>
      </c>
    </row>
    <row r="319" ht="22.5" customHeight="1">
      <c r="A319" s="12">
        <f t="shared" si="4"/>
        <v>1317</v>
      </c>
      <c r="B319" s="26" t="s">
        <v>4364</v>
      </c>
      <c r="C319" s="7" t="str">
        <f t="shared" si="1"/>
        <v>🔊</v>
      </c>
      <c r="D319" s="8" t="s">
        <v>4365</v>
      </c>
      <c r="E319" s="6" t="s">
        <v>27</v>
      </c>
      <c r="F319" s="12" t="str">
        <f>IFERROR(__xludf.DUMMYFUNCTION("GOOGLETRANSLATE(B319,""zh_cn"",""vi"")"),"Y tá")</f>
        <v>Y tá</v>
      </c>
      <c r="G319" s="20" t="s">
        <v>4366</v>
      </c>
      <c r="I319" s="11" t="b">
        <f t="shared" si="2"/>
        <v>0</v>
      </c>
      <c r="J319" s="24"/>
      <c r="K319" s="11" t="b">
        <f t="shared" si="3"/>
        <v>0</v>
      </c>
    </row>
    <row r="320" ht="22.5" customHeight="1">
      <c r="A320" s="12">
        <f t="shared" si="4"/>
        <v>1318</v>
      </c>
      <c r="B320" s="26" t="s">
        <v>4367</v>
      </c>
      <c r="C320" s="7" t="str">
        <f t="shared" si="1"/>
        <v>🔊</v>
      </c>
      <c r="D320" s="8" t="s">
        <v>4368</v>
      </c>
      <c r="E320" s="6" t="s">
        <v>61</v>
      </c>
      <c r="F320" s="5" t="s">
        <v>4369</v>
      </c>
      <c r="G320" s="20" t="s">
        <v>4370</v>
      </c>
      <c r="I320" s="11" t="b">
        <f t="shared" si="2"/>
        <v>0</v>
      </c>
      <c r="J320" s="24"/>
      <c r="K320" s="11" t="b">
        <f t="shared" si="3"/>
        <v>0</v>
      </c>
    </row>
    <row r="321" ht="22.5" customHeight="1">
      <c r="A321" s="12">
        <f t="shared" si="4"/>
        <v>1319</v>
      </c>
      <c r="B321" s="26" t="s">
        <v>4371</v>
      </c>
      <c r="C321" s="7" t="str">
        <f t="shared" si="1"/>
        <v>🔊</v>
      </c>
      <c r="D321" s="8" t="s">
        <v>2326</v>
      </c>
      <c r="E321" s="6" t="s">
        <v>1203</v>
      </c>
      <c r="F321" s="5" t="s">
        <v>4372</v>
      </c>
      <c r="G321" s="20" t="s">
        <v>4373</v>
      </c>
      <c r="I321" s="11" t="b">
        <f t="shared" si="2"/>
        <v>0</v>
      </c>
      <c r="J321" s="24"/>
      <c r="K321" s="11" t="b">
        <f t="shared" si="3"/>
        <v>0</v>
      </c>
    </row>
    <row r="322" ht="22.5" customHeight="1">
      <c r="A322" s="12">
        <f t="shared" si="4"/>
        <v>1320</v>
      </c>
      <c r="B322" s="26" t="s">
        <v>4374</v>
      </c>
      <c r="C322" s="7" t="str">
        <f t="shared" si="1"/>
        <v>🔊</v>
      </c>
      <c r="D322" s="8" t="s">
        <v>2326</v>
      </c>
      <c r="E322" s="6" t="s">
        <v>13</v>
      </c>
      <c r="F322" s="12" t="str">
        <f>IFERROR(__xludf.DUMMYFUNCTION("GOOGLETRANSLATE(B322,""zh_cn"",""vi"")"),"gửi")</f>
        <v>gửi</v>
      </c>
      <c r="G322" s="20" t="s">
        <v>4375</v>
      </c>
      <c r="I322" s="11" t="b">
        <f t="shared" si="2"/>
        <v>0</v>
      </c>
      <c r="J322" s="24"/>
      <c r="K322" s="11" t="b">
        <f t="shared" si="3"/>
        <v>0</v>
      </c>
    </row>
    <row r="323" ht="22.5" customHeight="1">
      <c r="A323" s="12">
        <f t="shared" si="4"/>
        <v>1321</v>
      </c>
      <c r="B323" s="26" t="s">
        <v>4376</v>
      </c>
      <c r="C323" s="7" t="str">
        <f t="shared" si="1"/>
        <v>🔊</v>
      </c>
      <c r="D323" s="8" t="s">
        <v>4377</v>
      </c>
      <c r="E323" s="6" t="s">
        <v>99</v>
      </c>
      <c r="F323" s="12" t="str">
        <f>IFERROR(__xludf.DUMMYFUNCTION("GOOGLETRANSLATE(B323,""zh_cn"",""vi"")"),"Giả mạo")</f>
        <v>Giả mạo</v>
      </c>
      <c r="G323" s="20" t="s">
        <v>4378</v>
      </c>
      <c r="I323" s="11" t="b">
        <f t="shared" si="2"/>
        <v>0</v>
      </c>
      <c r="J323" s="24"/>
      <c r="K323" s="11" t="b">
        <f t="shared" si="3"/>
        <v>0</v>
      </c>
    </row>
    <row r="324" ht="22.5" customHeight="1">
      <c r="A324" s="12">
        <f t="shared" si="4"/>
        <v>1322</v>
      </c>
      <c r="B324" s="26" t="s">
        <v>4379</v>
      </c>
      <c r="C324" s="7" t="str">
        <f t="shared" si="1"/>
        <v>🔊</v>
      </c>
      <c r="D324" s="8" t="s">
        <v>4380</v>
      </c>
      <c r="E324" s="6" t="s">
        <v>13</v>
      </c>
      <c r="F324" s="12" t="str">
        <f>IFERROR(__xludf.DUMMYFUNCTION("GOOGLETRANSLATE(B324,""zh_cn"",""vi"")"),"làm thêm giờ")</f>
        <v>làm thêm giờ</v>
      </c>
      <c r="G324" s="20" t="s">
        <v>4381</v>
      </c>
      <c r="I324" s="11" t="b">
        <f t="shared" si="2"/>
        <v>0</v>
      </c>
      <c r="J324" s="24"/>
      <c r="K324" s="11" t="b">
        <f t="shared" si="3"/>
        <v>0</v>
      </c>
    </row>
    <row r="325" ht="22.5" customHeight="1">
      <c r="A325" s="12">
        <f t="shared" si="4"/>
        <v>1323</v>
      </c>
      <c r="B325" s="26" t="s">
        <v>4382</v>
      </c>
      <c r="C325" s="7" t="str">
        <f t="shared" si="1"/>
        <v>🔊</v>
      </c>
      <c r="D325" s="8" t="s">
        <v>4383</v>
      </c>
      <c r="E325" s="6" t="s">
        <v>27</v>
      </c>
      <c r="F325" s="12" t="str">
        <f>IFERROR(__xludf.DUMMYFUNCTION("GOOGLETRANSLATE(B325,""zh_cn"",""vi"")"),"giá ")</f>
        <v>giá </v>
      </c>
      <c r="G325" s="20" t="s">
        <v>4384</v>
      </c>
      <c r="I325" s="11" t="b">
        <f t="shared" si="2"/>
        <v>0</v>
      </c>
      <c r="J325" s="24"/>
      <c r="K325" s="11" t="b">
        <f t="shared" si="3"/>
        <v>0</v>
      </c>
    </row>
    <row r="326" ht="22.5" customHeight="1">
      <c r="A326" s="12">
        <f t="shared" si="4"/>
        <v>1324</v>
      </c>
      <c r="B326" s="26" t="s">
        <v>4385</v>
      </c>
      <c r="C326" s="7" t="str">
        <f t="shared" si="1"/>
        <v>🔊</v>
      </c>
      <c r="D326" s="8" t="s">
        <v>4386</v>
      </c>
      <c r="E326" s="6" t="s">
        <v>27</v>
      </c>
      <c r="F326" s="12" t="str">
        <f>IFERROR(__xludf.DUMMYFUNCTION("GOOGLETRANSLATE(B326,""zh_cn"",""vi"")"),"nội thất")</f>
        <v>nội thất</v>
      </c>
      <c r="G326" s="20" t="s">
        <v>4387</v>
      </c>
      <c r="I326" s="11" t="b">
        <f t="shared" si="2"/>
        <v>0</v>
      </c>
      <c r="J326" s="24"/>
      <c r="K326" s="11" t="b">
        <f t="shared" si="3"/>
        <v>0</v>
      </c>
    </row>
    <row r="327" ht="22.5" customHeight="1">
      <c r="A327" s="12">
        <f t="shared" si="4"/>
        <v>1325</v>
      </c>
      <c r="B327" s="26" t="s">
        <v>4388</v>
      </c>
      <c r="C327" s="7" t="str">
        <f t="shared" si="1"/>
        <v>🔊</v>
      </c>
      <c r="D327" s="8" t="s">
        <v>4389</v>
      </c>
      <c r="E327" s="6" t="s">
        <v>13</v>
      </c>
      <c r="F327" s="12" t="str">
        <f>IFERROR(__xludf.DUMMYFUNCTION("GOOGLETRANSLATE(B327,""zh_cn"",""vi"")"),"tăng tốc")</f>
        <v>tăng tốc</v>
      </c>
      <c r="G327" s="20" t="s">
        <v>4390</v>
      </c>
      <c r="I327" s="11" t="b">
        <f t="shared" si="2"/>
        <v>0</v>
      </c>
      <c r="J327" s="24"/>
      <c r="K327" s="11" t="b">
        <f t="shared" si="3"/>
        <v>0</v>
      </c>
    </row>
    <row r="328" ht="22.5" customHeight="1">
      <c r="A328" s="12">
        <f t="shared" si="4"/>
        <v>1326</v>
      </c>
      <c r="B328" s="26" t="s">
        <v>4391</v>
      </c>
      <c r="C328" s="7" t="str">
        <f t="shared" si="1"/>
        <v>🔊</v>
      </c>
      <c r="D328" s="8" t="s">
        <v>4392</v>
      </c>
      <c r="E328" s="6" t="s">
        <v>13</v>
      </c>
      <c r="F328" s="12" t="str">
        <f>IFERROR(__xludf.DUMMYFUNCTION("GOOGLETRANSLATE(B328,""zh_cn"",""vi"")"),"giảm bớt")</f>
        <v>giảm bớt</v>
      </c>
      <c r="G328" s="20" t="s">
        <v>4393</v>
      </c>
      <c r="I328" s="11" t="b">
        <f t="shared" si="2"/>
        <v>0</v>
      </c>
      <c r="J328" s="24"/>
      <c r="K328" s="11" t="b">
        <f t="shared" si="3"/>
        <v>0</v>
      </c>
    </row>
    <row r="329" ht="22.5" customHeight="1">
      <c r="A329" s="12">
        <f t="shared" si="4"/>
        <v>1327</v>
      </c>
      <c r="B329" s="26" t="s">
        <v>4394</v>
      </c>
      <c r="C329" s="7" t="str">
        <f t="shared" si="1"/>
        <v>🔊</v>
      </c>
      <c r="D329" s="8" t="s">
        <v>4395</v>
      </c>
      <c r="E329" s="6" t="s">
        <v>13</v>
      </c>
      <c r="F329" s="5" t="s">
        <v>4396</v>
      </c>
      <c r="G329" s="20" t="s">
        <v>4397</v>
      </c>
      <c r="I329" s="11" t="b">
        <f t="shared" si="2"/>
        <v>0</v>
      </c>
      <c r="J329" s="24"/>
      <c r="K329" s="11" t="b">
        <f t="shared" si="3"/>
        <v>0</v>
      </c>
    </row>
    <row r="330" ht="22.5" customHeight="1">
      <c r="A330" s="12">
        <f t="shared" si="4"/>
        <v>1328</v>
      </c>
      <c r="B330" s="26" t="s">
        <v>4398</v>
      </c>
      <c r="C330" s="7" t="str">
        <f t="shared" si="1"/>
        <v>🔊</v>
      </c>
      <c r="D330" s="8" t="s">
        <v>2348</v>
      </c>
      <c r="E330" s="6" t="s">
        <v>1813</v>
      </c>
      <c r="F330" s="12" t="str">
        <f>IFERROR(__xludf.DUMMYFUNCTION("GOOGLETRANSLATE(B330,""zh_cn"",""vi"")"),"phần thưởng")</f>
        <v>phần thưởng</v>
      </c>
      <c r="G330" s="20" t="s">
        <v>4399</v>
      </c>
      <c r="I330" s="11" t="b">
        <f t="shared" si="2"/>
        <v>0</v>
      </c>
      <c r="J330" s="24"/>
      <c r="K330" s="11" t="b">
        <f t="shared" si="3"/>
        <v>0</v>
      </c>
    </row>
    <row r="331" ht="22.5" customHeight="1">
      <c r="A331" s="12">
        <f t="shared" si="4"/>
        <v>1329</v>
      </c>
      <c r="B331" s="26" t="s">
        <v>4400</v>
      </c>
      <c r="C331" s="7" t="str">
        <f t="shared" si="1"/>
        <v>🔊</v>
      </c>
      <c r="D331" s="8" t="s">
        <v>4401</v>
      </c>
      <c r="E331" s="6" t="s">
        <v>27</v>
      </c>
      <c r="F331" s="12" t="str">
        <f>IFERROR(__xludf.DUMMYFUNCTION("GOOGLETRANSLATE(B331,""zh_cn"",""vi"")"),"Dòng sông")</f>
        <v>Dòng sông</v>
      </c>
      <c r="G331" s="20" t="s">
        <v>4402</v>
      </c>
      <c r="I331" s="11" t="b">
        <f t="shared" si="2"/>
        <v>0</v>
      </c>
      <c r="J331" s="24"/>
      <c r="K331" s="11" t="b">
        <f t="shared" si="3"/>
        <v>0</v>
      </c>
    </row>
    <row r="332" ht="22.5" customHeight="1">
      <c r="A332" s="12">
        <f t="shared" si="4"/>
        <v>1330</v>
      </c>
      <c r="B332" s="26" t="s">
        <v>4403</v>
      </c>
      <c r="C332" s="7" t="str">
        <f t="shared" si="1"/>
        <v>🔊</v>
      </c>
      <c r="D332" s="8" t="s">
        <v>4401</v>
      </c>
      <c r="E332" s="6" t="s">
        <v>4404</v>
      </c>
      <c r="F332" s="12" t="str">
        <f>IFERROR(__xludf.DUMMYFUNCTION("GOOGLETRANSLATE(B332,""zh_cn"",""vi"")"),"Sẽ")</f>
        <v>Sẽ</v>
      </c>
      <c r="G332" s="20" t="s">
        <v>4405</v>
      </c>
      <c r="I332" s="11" t="b">
        <f t="shared" si="2"/>
        <v>0</v>
      </c>
      <c r="J332" s="24"/>
      <c r="K332" s="11" t="b">
        <f t="shared" si="3"/>
        <v>0</v>
      </c>
    </row>
    <row r="333" ht="22.5" customHeight="1">
      <c r="A333" s="12">
        <f t="shared" si="4"/>
        <v>1331</v>
      </c>
      <c r="B333" s="26" t="s">
        <v>4406</v>
      </c>
      <c r="C333" s="7" t="str">
        <f t="shared" si="1"/>
        <v>🔊</v>
      </c>
      <c r="D333" s="8" t="s">
        <v>4407</v>
      </c>
      <c r="E333" s="6" t="s">
        <v>13</v>
      </c>
      <c r="F333" s="5" t="s">
        <v>4408</v>
      </c>
      <c r="G333" s="20" t="s">
        <v>4409</v>
      </c>
      <c r="I333" s="11" t="b">
        <f t="shared" si="2"/>
        <v>0</v>
      </c>
      <c r="J333" s="24"/>
      <c r="K333" s="11" t="b">
        <f t="shared" si="3"/>
        <v>0</v>
      </c>
    </row>
    <row r="334" ht="22.5" customHeight="1">
      <c r="A334" s="12">
        <f t="shared" si="4"/>
        <v>1332</v>
      </c>
      <c r="B334" s="26" t="s">
        <v>4410</v>
      </c>
      <c r="C334" s="7" t="str">
        <f t="shared" si="1"/>
        <v>🔊</v>
      </c>
      <c r="D334" s="8" t="s">
        <v>4411</v>
      </c>
      <c r="E334" s="6" t="s">
        <v>13</v>
      </c>
      <c r="F334" s="12" t="str">
        <f>IFERROR(__xludf.DUMMYFUNCTION("GOOGLETRANSLATE(B334,""zh_cn"",""vi"")"),"Giảm giá")</f>
        <v>Giảm giá</v>
      </c>
      <c r="G334" s="20" t="s">
        <v>4412</v>
      </c>
      <c r="I334" s="11" t="b">
        <f t="shared" si="2"/>
        <v>0</v>
      </c>
      <c r="J334" s="24"/>
      <c r="K334" s="11" t="b">
        <f t="shared" si="3"/>
        <v>0</v>
      </c>
    </row>
    <row r="335" ht="22.5" customHeight="1">
      <c r="A335" s="12">
        <f t="shared" si="4"/>
        <v>1333</v>
      </c>
      <c r="B335" s="26" t="s">
        <v>4413</v>
      </c>
      <c r="C335" s="7" t="str">
        <f t="shared" si="1"/>
        <v>🔊</v>
      </c>
      <c r="D335" s="8" t="s">
        <v>4414</v>
      </c>
      <c r="E335" s="6" t="s">
        <v>27</v>
      </c>
      <c r="F335" s="5" t="s">
        <v>4415</v>
      </c>
      <c r="G335" s="20" t="s">
        <v>4416</v>
      </c>
      <c r="I335" s="11" t="b">
        <f t="shared" si="2"/>
        <v>0</v>
      </c>
      <c r="J335" s="24"/>
      <c r="K335" s="11" t="b">
        <f t="shared" si="3"/>
        <v>0</v>
      </c>
    </row>
    <row r="336" ht="22.5" customHeight="1">
      <c r="A336" s="12">
        <f t="shared" si="4"/>
        <v>1334</v>
      </c>
      <c r="B336" s="26" t="s">
        <v>4417</v>
      </c>
      <c r="C336" s="7" t="str">
        <f t="shared" si="1"/>
        <v>🔊</v>
      </c>
      <c r="D336" s="8" t="s">
        <v>4418</v>
      </c>
      <c r="E336" s="6" t="s">
        <v>27</v>
      </c>
      <c r="F336" s="12" t="str">
        <f>IFERROR(__xludf.DUMMYFUNCTION("GOOGLETRANSLATE(B336,""zh_cn"",""vi"")"),"tương lai")</f>
        <v>tương lai</v>
      </c>
      <c r="G336" s="20" t="s">
        <v>4419</v>
      </c>
      <c r="I336" s="11" t="b">
        <f t="shared" si="2"/>
        <v>0</v>
      </c>
      <c r="J336" s="24"/>
      <c r="K336" s="11" t="b">
        <f t="shared" si="3"/>
        <v>0</v>
      </c>
    </row>
    <row r="337" ht="22.5" customHeight="1">
      <c r="A337" s="12">
        <f t="shared" si="4"/>
        <v>1335</v>
      </c>
      <c r="B337" s="26" t="s">
        <v>4420</v>
      </c>
      <c r="C337" s="7" t="str">
        <f t="shared" si="1"/>
        <v>🔊</v>
      </c>
      <c r="D337" s="8" t="s">
        <v>4421</v>
      </c>
      <c r="E337" s="6" t="s">
        <v>13</v>
      </c>
      <c r="F337" s="12" t="str">
        <f>IFERROR(__xludf.DUMMYFUNCTION("GOOGLETRANSLATE(B337,""zh_cn"",""vi"")"),"hạ cánh")</f>
        <v>hạ cánh</v>
      </c>
      <c r="G337" s="20" t="s">
        <v>4422</v>
      </c>
      <c r="I337" s="11" t="b">
        <f t="shared" si="2"/>
        <v>0</v>
      </c>
      <c r="J337" s="24"/>
      <c r="K337" s="11" t="b">
        <f t="shared" si="3"/>
        <v>0</v>
      </c>
    </row>
    <row r="338" ht="22.5" customHeight="1">
      <c r="A338" s="12">
        <f t="shared" si="4"/>
        <v>1336</v>
      </c>
      <c r="B338" s="26" t="s">
        <v>4423</v>
      </c>
      <c r="C338" s="7" t="str">
        <f t="shared" si="1"/>
        <v>🔊</v>
      </c>
      <c r="D338" s="8" t="s">
        <v>4424</v>
      </c>
      <c r="E338" s="6" t="s">
        <v>13</v>
      </c>
      <c r="F338" s="5" t="s">
        <v>4425</v>
      </c>
      <c r="G338" s="20" t="s">
        <v>4426</v>
      </c>
      <c r="I338" s="11" t="b">
        <f t="shared" si="2"/>
        <v>0</v>
      </c>
      <c r="J338" s="24"/>
      <c r="K338" s="11" t="b">
        <f t="shared" si="3"/>
        <v>0</v>
      </c>
    </row>
    <row r="339" ht="22.5" customHeight="1">
      <c r="A339" s="12">
        <f t="shared" si="4"/>
        <v>1337</v>
      </c>
      <c r="B339" s="26" t="s">
        <v>4427</v>
      </c>
      <c r="C339" s="7" t="str">
        <f t="shared" si="1"/>
        <v>🔊</v>
      </c>
      <c r="D339" s="8" t="s">
        <v>4428</v>
      </c>
      <c r="E339" s="6" t="s">
        <v>27</v>
      </c>
      <c r="F339" s="12" t="str">
        <f>IFERROR(__xludf.DUMMYFUNCTION("GOOGLETRANSLATE(B339,""zh_cn"",""vi"")"),"học bổng")</f>
        <v>học bổng</v>
      </c>
      <c r="G339" s="20" t="s">
        <v>4429</v>
      </c>
      <c r="I339" s="11" t="b">
        <f t="shared" si="2"/>
        <v>0</v>
      </c>
      <c r="J339" s="24"/>
      <c r="K339" s="11" t="b">
        <f t="shared" si="3"/>
        <v>0</v>
      </c>
    </row>
    <row r="340" ht="22.5" customHeight="1">
      <c r="A340" s="12">
        <f t="shared" si="4"/>
        <v>1338</v>
      </c>
      <c r="B340" s="26" t="s">
        <v>4430</v>
      </c>
      <c r="C340" s="7" t="str">
        <f t="shared" si="1"/>
        <v>🔊</v>
      </c>
      <c r="D340" s="8" t="s">
        <v>4431</v>
      </c>
      <c r="E340" s="6" t="s">
        <v>61</v>
      </c>
      <c r="F340" s="12" t="str">
        <f>IFERROR(__xludf.DUMMYFUNCTION("GOOGLETRANSLATE(B340,""zh_cn"",""vi"")"),"Sắp sửa")</f>
        <v>Sắp sửa</v>
      </c>
      <c r="G340" s="20" t="s">
        <v>4432</v>
      </c>
      <c r="I340" s="11" t="b">
        <f t="shared" si="2"/>
        <v>0</v>
      </c>
      <c r="J340" s="24"/>
      <c r="K340" s="11" t="b">
        <f t="shared" si="3"/>
        <v>0</v>
      </c>
    </row>
    <row r="341" ht="22.5" customHeight="1">
      <c r="A341" s="12">
        <f t="shared" si="4"/>
        <v>1339</v>
      </c>
      <c r="B341" s="26" t="s">
        <v>4433</v>
      </c>
      <c r="C341" s="7" t="str">
        <f t="shared" si="1"/>
        <v>🔊</v>
      </c>
      <c r="D341" s="8" t="s">
        <v>4434</v>
      </c>
      <c r="E341" s="6" t="s">
        <v>13</v>
      </c>
      <c r="F341" s="5" t="s">
        <v>4435</v>
      </c>
      <c r="G341" s="20" t="s">
        <v>4436</v>
      </c>
      <c r="I341" s="11" t="b">
        <f t="shared" si="2"/>
        <v>0</v>
      </c>
      <c r="J341" s="24"/>
      <c r="K341" s="11" t="b">
        <f t="shared" si="3"/>
        <v>0</v>
      </c>
    </row>
    <row r="342" ht="22.5" customHeight="1">
      <c r="A342" s="12">
        <f t="shared" si="4"/>
        <v>1340</v>
      </c>
      <c r="B342" s="26" t="s">
        <v>4437</v>
      </c>
      <c r="C342" s="7" t="str">
        <f t="shared" si="1"/>
        <v>🔊</v>
      </c>
      <c r="D342" s="8" t="s">
        <v>4438</v>
      </c>
      <c r="E342" s="6" t="s">
        <v>13</v>
      </c>
      <c r="F342" s="12" t="str">
        <f>IFERROR(__xludf.DUMMYFUNCTION("GOOGLETRANSLATE(B342,""zh_cn"",""vi"")"),"giảm bớt")</f>
        <v>giảm bớt</v>
      </c>
      <c r="G342" s="20" t="s">
        <v>4439</v>
      </c>
      <c r="I342" s="11" t="b">
        <f t="shared" si="2"/>
        <v>0</v>
      </c>
      <c r="J342" s="24"/>
      <c r="K342" s="11" t="b">
        <f t="shared" si="3"/>
        <v>0</v>
      </c>
    </row>
    <row r="343" ht="22.5" customHeight="1">
      <c r="A343" s="12">
        <f t="shared" si="4"/>
        <v>1341</v>
      </c>
      <c r="B343" s="26" t="s">
        <v>4440</v>
      </c>
      <c r="C343" s="7" t="str">
        <f t="shared" si="1"/>
        <v>🔊</v>
      </c>
      <c r="D343" s="8" t="s">
        <v>4441</v>
      </c>
      <c r="E343" s="6" t="s">
        <v>13</v>
      </c>
      <c r="F343" s="5" t="s">
        <v>4442</v>
      </c>
      <c r="G343" s="20" t="s">
        <v>4443</v>
      </c>
      <c r="I343" s="11" t="b">
        <f t="shared" si="2"/>
        <v>0</v>
      </c>
      <c r="J343" s="24"/>
      <c r="K343" s="11" t="b">
        <f t="shared" si="3"/>
        <v>0</v>
      </c>
    </row>
    <row r="344" ht="22.5" customHeight="1">
      <c r="A344" s="12">
        <f t="shared" si="4"/>
        <v>1342</v>
      </c>
      <c r="B344" s="26" t="s">
        <v>4444</v>
      </c>
      <c r="C344" s="7" t="str">
        <f t="shared" si="1"/>
        <v>🔊</v>
      </c>
      <c r="D344" s="8" t="s">
        <v>4445</v>
      </c>
      <c r="E344" s="6" t="s">
        <v>27</v>
      </c>
      <c r="F344" s="5" t="s">
        <v>4446</v>
      </c>
      <c r="G344" s="20" t="s">
        <v>4447</v>
      </c>
      <c r="I344" s="11" t="b">
        <f t="shared" si="2"/>
        <v>0</v>
      </c>
      <c r="J344" s="24"/>
      <c r="K344" s="11" t="b">
        <f t="shared" si="3"/>
        <v>0</v>
      </c>
    </row>
    <row r="345" ht="22.5" customHeight="1">
      <c r="A345" s="12">
        <f t="shared" si="4"/>
        <v>1343</v>
      </c>
      <c r="B345" s="26" t="s">
        <v>4448</v>
      </c>
      <c r="C345" s="7" t="str">
        <f t="shared" si="1"/>
        <v>🔊</v>
      </c>
      <c r="D345" s="8" t="s">
        <v>4449</v>
      </c>
      <c r="E345" s="6" t="s">
        <v>232</v>
      </c>
      <c r="F345" s="12" t="str">
        <f>IFERROR(__xludf.DUMMYFUNCTION("GOOGLETRANSLATE(B345,""zh_cn"",""vi"")"),"gợi ý")</f>
        <v>gợi ý</v>
      </c>
      <c r="G345" s="20" t="s">
        <v>4450</v>
      </c>
      <c r="I345" s="11" t="b">
        <f t="shared" si="2"/>
        <v>0</v>
      </c>
      <c r="J345" s="24"/>
      <c r="K345" s="11" t="b">
        <f t="shared" si="3"/>
        <v>0</v>
      </c>
    </row>
    <row r="346" ht="22.5" customHeight="1">
      <c r="A346" s="12">
        <f t="shared" si="4"/>
        <v>1344</v>
      </c>
      <c r="B346" s="26" t="s">
        <v>4451</v>
      </c>
      <c r="C346" s="7" t="str">
        <f t="shared" si="1"/>
        <v>🔊</v>
      </c>
      <c r="D346" s="8" t="s">
        <v>1246</v>
      </c>
      <c r="E346" s="6" t="s">
        <v>1946</v>
      </c>
      <c r="F346" s="5" t="s">
        <v>4452</v>
      </c>
      <c r="G346" s="20" t="s">
        <v>4453</v>
      </c>
      <c r="I346" s="11" t="b">
        <f t="shared" si="2"/>
        <v>0</v>
      </c>
      <c r="J346" s="24"/>
      <c r="K346" s="11" t="b">
        <f t="shared" si="3"/>
        <v>0</v>
      </c>
    </row>
    <row r="347" ht="22.5" customHeight="1">
      <c r="A347" s="12">
        <f t="shared" si="4"/>
        <v>1345</v>
      </c>
      <c r="B347" s="26" t="s">
        <v>4454</v>
      </c>
      <c r="C347" s="7" t="str">
        <f t="shared" si="1"/>
        <v>🔊</v>
      </c>
      <c r="D347" s="8" t="s">
        <v>4455</v>
      </c>
      <c r="E347" s="6" t="s">
        <v>1164</v>
      </c>
      <c r="F347" s="5" t="s">
        <v>4456</v>
      </c>
      <c r="G347" s="20" t="s">
        <v>4457</v>
      </c>
      <c r="I347" s="11" t="b">
        <f t="shared" si="2"/>
        <v>0</v>
      </c>
      <c r="J347" s="24"/>
      <c r="K347" s="11" t="b">
        <f t="shared" si="3"/>
        <v>0</v>
      </c>
    </row>
    <row r="348" ht="22.5" customHeight="1">
      <c r="A348" s="12">
        <f t="shared" si="4"/>
        <v>1346</v>
      </c>
      <c r="B348" s="26" t="s">
        <v>4458</v>
      </c>
      <c r="C348" s="7" t="str">
        <f t="shared" si="1"/>
        <v>🔊</v>
      </c>
      <c r="D348" s="8" t="s">
        <v>4459</v>
      </c>
      <c r="E348" s="6" t="s">
        <v>27</v>
      </c>
      <c r="F348" s="12" t="str">
        <f>IFERROR(__xludf.DUMMYFUNCTION("GOOGLETRANSLATE(B348,""zh_cn"",""vi"")"),"cảnh sát giao thông")</f>
        <v>cảnh sát giao thông</v>
      </c>
      <c r="G348" s="20" t="s">
        <v>4460</v>
      </c>
      <c r="I348" s="11" t="b">
        <f t="shared" si="2"/>
        <v>0</v>
      </c>
      <c r="J348" s="24"/>
      <c r="K348" s="11" t="b">
        <f t="shared" si="3"/>
        <v>0</v>
      </c>
    </row>
    <row r="349" ht="22.5" customHeight="1">
      <c r="A349" s="12">
        <f t="shared" si="4"/>
        <v>1347</v>
      </c>
      <c r="B349" s="26" t="s">
        <v>4461</v>
      </c>
      <c r="C349" s="7" t="str">
        <f t="shared" si="1"/>
        <v>🔊</v>
      </c>
      <c r="D349" s="8" t="s">
        <v>4462</v>
      </c>
      <c r="E349" s="6" t="s">
        <v>27</v>
      </c>
      <c r="F349" s="12" t="str">
        <f>IFERROR(__xludf.DUMMYFUNCTION("GOOGLETRANSLATE(B349,""zh_cn"",""vi"")"),"huấn luyện viên")</f>
        <v>huấn luyện viên</v>
      </c>
      <c r="G349" s="20" t="s">
        <v>4463</v>
      </c>
      <c r="I349" s="11" t="b">
        <f t="shared" si="2"/>
        <v>0</v>
      </c>
      <c r="J349" s="24"/>
      <c r="K349" s="11" t="b">
        <f t="shared" si="3"/>
        <v>0</v>
      </c>
    </row>
    <row r="350" ht="22.5" customHeight="1">
      <c r="A350" s="12">
        <f t="shared" si="4"/>
        <v>1348</v>
      </c>
      <c r="B350" s="26" t="s">
        <v>4464</v>
      </c>
      <c r="C350" s="7" t="str">
        <f t="shared" si="1"/>
        <v>🔊</v>
      </c>
      <c r="D350" s="8" t="s">
        <v>4465</v>
      </c>
      <c r="E350" s="6" t="s">
        <v>13</v>
      </c>
      <c r="F350" s="12" t="str">
        <f>IFERROR(__xludf.DUMMYFUNCTION("GOOGLETRANSLATE(B350,""zh_cn"",""vi"")"),"giao tiếp")</f>
        <v>giao tiếp</v>
      </c>
      <c r="G350" s="20" t="s">
        <v>4466</v>
      </c>
      <c r="I350" s="11" t="b">
        <f t="shared" si="2"/>
        <v>0</v>
      </c>
      <c r="J350" s="24"/>
      <c r="K350" s="11" t="b">
        <f t="shared" si="3"/>
        <v>0</v>
      </c>
    </row>
    <row r="351" ht="22.5" customHeight="1">
      <c r="A351" s="12">
        <f t="shared" si="4"/>
        <v>1349</v>
      </c>
      <c r="B351" s="26" t="s">
        <v>4467</v>
      </c>
      <c r="C351" s="7" t="str">
        <f t="shared" si="1"/>
        <v>🔊</v>
      </c>
      <c r="D351" s="8" t="s">
        <v>4468</v>
      </c>
      <c r="E351" s="6" t="s">
        <v>27</v>
      </c>
      <c r="F351" s="12" t="str">
        <f>IFERROR(__xludf.DUMMYFUNCTION("GOOGLETRANSLATE(B351,""zh_cn"",""vi"")"),"vùng ngoại ô")</f>
        <v>vùng ngoại ô</v>
      </c>
      <c r="G351" s="20" t="s">
        <v>4469</v>
      </c>
      <c r="I351" s="11" t="b">
        <f t="shared" si="2"/>
        <v>0</v>
      </c>
      <c r="J351" s="24"/>
      <c r="K351" s="11" t="b">
        <f t="shared" si="3"/>
        <v>0</v>
      </c>
    </row>
    <row r="352" ht="22.5" customHeight="1">
      <c r="A352" s="12">
        <f t="shared" si="4"/>
        <v>1350</v>
      </c>
      <c r="B352" s="26" t="s">
        <v>4470</v>
      </c>
      <c r="C352" s="7" t="str">
        <f t="shared" si="1"/>
        <v>🔊</v>
      </c>
      <c r="D352" s="8" t="s">
        <v>4471</v>
      </c>
      <c r="E352" s="6" t="s">
        <v>27</v>
      </c>
      <c r="F352" s="12" t="str">
        <f>IFERROR(__xludf.DUMMYFUNCTION("GOOGLETRANSLATE(B352,""zh_cn"",""vi"")"),"giáo viên")</f>
        <v>giáo viên</v>
      </c>
      <c r="G352" s="20" t="s">
        <v>4472</v>
      </c>
      <c r="I352" s="11" t="b">
        <f t="shared" si="2"/>
        <v>0</v>
      </c>
      <c r="J352" s="24"/>
      <c r="K352" s="11" t="b">
        <f t="shared" si="3"/>
        <v>0</v>
      </c>
    </row>
    <row r="353" ht="22.5" customHeight="1">
      <c r="A353" s="12">
        <f t="shared" si="4"/>
        <v>1351</v>
      </c>
      <c r="B353" s="26" t="s">
        <v>4473</v>
      </c>
      <c r="C353" s="7" t="str">
        <f t="shared" si="1"/>
        <v>🔊</v>
      </c>
      <c r="D353" s="8" t="s">
        <v>4474</v>
      </c>
      <c r="E353" s="6" t="s">
        <v>27</v>
      </c>
      <c r="F353" s="12" t="str">
        <f>IFERROR(__xludf.DUMMYFUNCTION("GOOGLETRANSLATE(B353,""zh_cn"",""vi"")"),"giáo sư")</f>
        <v>giáo sư</v>
      </c>
      <c r="G353" s="20" t="s">
        <v>4475</v>
      </c>
      <c r="I353" s="11" t="b">
        <f t="shared" si="2"/>
        <v>0</v>
      </c>
      <c r="J353" s="24"/>
      <c r="K353" s="11" t="b">
        <f t="shared" si="3"/>
        <v>0</v>
      </c>
    </row>
    <row r="354" ht="22.5" customHeight="1">
      <c r="A354" s="12">
        <f t="shared" si="4"/>
        <v>1352</v>
      </c>
      <c r="B354" s="26" t="s">
        <v>4476</v>
      </c>
      <c r="C354" s="7" t="str">
        <f t="shared" si="1"/>
        <v>🔊</v>
      </c>
      <c r="D354" s="8" t="s">
        <v>4477</v>
      </c>
      <c r="E354" s="6" t="s">
        <v>27</v>
      </c>
      <c r="F354" s="5" t="s">
        <v>4478</v>
      </c>
      <c r="G354" s="20" t="s">
        <v>4479</v>
      </c>
      <c r="I354" s="11" t="b">
        <f t="shared" si="2"/>
        <v>0</v>
      </c>
      <c r="J354" s="24"/>
      <c r="K354" s="11" t="b">
        <f t="shared" si="3"/>
        <v>0</v>
      </c>
    </row>
    <row r="355" ht="22.5" customHeight="1">
      <c r="A355" s="12">
        <f t="shared" si="4"/>
        <v>1353</v>
      </c>
      <c r="B355" s="26" t="s">
        <v>4480</v>
      </c>
      <c r="C355" s="7" t="str">
        <f t="shared" si="1"/>
        <v>🔊</v>
      </c>
      <c r="D355" s="8" t="s">
        <v>4481</v>
      </c>
      <c r="E355" s="6" t="s">
        <v>27</v>
      </c>
      <c r="F355" s="12" t="str">
        <f>IFERROR(__xludf.DUMMYFUNCTION("GOOGLETRANSLATE(B355,""zh_cn"",""vi"")"),"giảng dạy")</f>
        <v>giảng dạy</v>
      </c>
      <c r="G355" s="20" t="s">
        <v>4482</v>
      </c>
      <c r="I355" s="11" t="b">
        <f t="shared" si="2"/>
        <v>0</v>
      </c>
      <c r="J355" s="24"/>
      <c r="K355" s="11" t="b">
        <f t="shared" si="3"/>
        <v>0</v>
      </c>
    </row>
    <row r="356" ht="22.5" customHeight="1">
      <c r="A356" s="12">
        <f t="shared" si="4"/>
        <v>1354</v>
      </c>
      <c r="B356" s="26" t="s">
        <v>4483</v>
      </c>
      <c r="C356" s="7" t="str">
        <f t="shared" si="1"/>
        <v>🔊</v>
      </c>
      <c r="D356" s="8" t="s">
        <v>4484</v>
      </c>
      <c r="E356" s="6" t="s">
        <v>57</v>
      </c>
      <c r="F356" s="12" t="str">
        <f>IFERROR(__xludf.DUMMYFUNCTION("GOOGLETRANSLATE(B356,""zh_cn"",""vi"")"),"giáo dục")</f>
        <v>giáo dục</v>
      </c>
      <c r="G356" s="20" t="s">
        <v>4485</v>
      </c>
      <c r="I356" s="11" t="b">
        <f t="shared" si="2"/>
        <v>0</v>
      </c>
      <c r="J356" s="24"/>
      <c r="K356" s="11" t="b">
        <f t="shared" si="3"/>
        <v>0</v>
      </c>
    </row>
    <row r="357" ht="22.5" customHeight="1">
      <c r="A357" s="12">
        <f t="shared" si="4"/>
        <v>1355</v>
      </c>
      <c r="B357" s="26" t="s">
        <v>4486</v>
      </c>
      <c r="C357" s="7" t="str">
        <f t="shared" si="1"/>
        <v>🔊</v>
      </c>
      <c r="D357" s="8" t="s">
        <v>4487</v>
      </c>
      <c r="E357" s="6" t="s">
        <v>13</v>
      </c>
      <c r="F357" s="5" t="s">
        <v>4488</v>
      </c>
      <c r="G357" s="20" t="s">
        <v>4489</v>
      </c>
      <c r="I357" s="11" t="b">
        <f t="shared" si="2"/>
        <v>0</v>
      </c>
      <c r="J357" s="24"/>
      <c r="K357" s="11" t="b">
        <f t="shared" si="3"/>
        <v>0</v>
      </c>
    </row>
    <row r="358" ht="22.5" customHeight="1">
      <c r="A358" s="12">
        <f t="shared" si="4"/>
        <v>1356</v>
      </c>
      <c r="B358" s="26" t="s">
        <v>4490</v>
      </c>
      <c r="C358" s="7" t="str">
        <f t="shared" si="1"/>
        <v>🔊</v>
      </c>
      <c r="D358" s="8" t="s">
        <v>4491</v>
      </c>
      <c r="E358" s="6" t="s">
        <v>27</v>
      </c>
      <c r="F358" s="5" t="s">
        <v>4492</v>
      </c>
      <c r="G358" s="20" t="s">
        <v>4493</v>
      </c>
      <c r="I358" s="11" t="b">
        <f t="shared" si="2"/>
        <v>0</v>
      </c>
      <c r="J358" s="24"/>
      <c r="K358" s="11" t="b">
        <f t="shared" si="3"/>
        <v>0</v>
      </c>
    </row>
    <row r="359" ht="22.5" customHeight="1">
      <c r="A359" s="12">
        <f t="shared" si="4"/>
        <v>1357</v>
      </c>
      <c r="B359" s="26" t="s">
        <v>4494</v>
      </c>
      <c r="C359" s="7" t="str">
        <f t="shared" si="1"/>
        <v>🔊</v>
      </c>
      <c r="D359" s="8" t="s">
        <v>4495</v>
      </c>
      <c r="E359" s="6" t="s">
        <v>13</v>
      </c>
      <c r="F359" s="12" t="str">
        <f>IFERROR(__xludf.DUMMYFUNCTION("GOOGLETRANSLATE(B359,""zh_cn"",""vi"")"),"tăng cường")</f>
        <v>tăng cường</v>
      </c>
      <c r="G359" s="20" t="s">
        <v>4496</v>
      </c>
      <c r="I359" s="11" t="b">
        <f t="shared" si="2"/>
        <v>0</v>
      </c>
      <c r="J359" s="24"/>
      <c r="K359" s="11" t="b">
        <f t="shared" si="3"/>
        <v>0</v>
      </c>
    </row>
    <row r="360" ht="22.5" customHeight="1">
      <c r="A360" s="12">
        <f t="shared" si="4"/>
        <v>1358</v>
      </c>
      <c r="B360" s="26" t="s">
        <v>4497</v>
      </c>
      <c r="C360" s="7" t="str">
        <f t="shared" si="1"/>
        <v>🔊</v>
      </c>
      <c r="D360" s="8" t="s">
        <v>4498</v>
      </c>
      <c r="E360" s="6" t="s">
        <v>27</v>
      </c>
      <c r="F360" s="12" t="str">
        <f>IFERROR(__xludf.DUMMYFUNCTION("GOOGLETRANSLATE(B360,""zh_cn"",""vi"")"),"ngày lễ")</f>
        <v>ngày lễ</v>
      </c>
      <c r="G360" s="20" t="s">
        <v>4499</v>
      </c>
      <c r="I360" s="11" t="b">
        <f t="shared" si="2"/>
        <v>0</v>
      </c>
      <c r="J360" s="24"/>
      <c r="K360" s="11" t="b">
        <f t="shared" si="3"/>
        <v>0</v>
      </c>
    </row>
    <row r="361" ht="22.5" customHeight="1">
      <c r="A361" s="12">
        <f t="shared" si="4"/>
        <v>1359</v>
      </c>
      <c r="B361" s="26" t="s">
        <v>4500</v>
      </c>
      <c r="C361" s="7" t="str">
        <f t="shared" si="1"/>
        <v>🔊</v>
      </c>
      <c r="D361" s="8" t="s">
        <v>4501</v>
      </c>
      <c r="E361" s="6" t="s">
        <v>13</v>
      </c>
      <c r="F361" s="5" t="s">
        <v>4502</v>
      </c>
      <c r="G361" s="20" t="s">
        <v>4503</v>
      </c>
      <c r="I361" s="11" t="b">
        <f t="shared" si="2"/>
        <v>0</v>
      </c>
      <c r="J361" s="24"/>
      <c r="K361" s="11" t="b">
        <f t="shared" si="3"/>
        <v>0</v>
      </c>
    </row>
    <row r="362" ht="22.5" customHeight="1">
      <c r="A362" s="12">
        <f t="shared" si="4"/>
        <v>1360</v>
      </c>
      <c r="B362" s="26" t="s">
        <v>4504</v>
      </c>
      <c r="C362" s="7" t="str">
        <f t="shared" si="1"/>
        <v>🔊</v>
      </c>
      <c r="D362" s="8" t="s">
        <v>4505</v>
      </c>
      <c r="E362" s="6" t="s">
        <v>1132</v>
      </c>
      <c r="F362" s="12" t="str">
        <f>IFERROR(__xludf.DUMMYFUNCTION("GOOGLETRANSLATE(B362,""zh_cn"",""vi"")"),"Thêm vào đó")</f>
        <v>Thêm vào đó</v>
      </c>
      <c r="G362" s="20" t="s">
        <v>4506</v>
      </c>
      <c r="I362" s="11" t="b">
        <f t="shared" si="2"/>
        <v>0</v>
      </c>
      <c r="J362" s="24"/>
      <c r="K362" s="11" t="b">
        <f t="shared" si="3"/>
        <v>0</v>
      </c>
    </row>
    <row r="363" ht="22.5" customHeight="1">
      <c r="A363" s="12">
        <f t="shared" si="4"/>
        <v>1361</v>
      </c>
      <c r="B363" s="26" t="s">
        <v>4507</v>
      </c>
      <c r="C363" s="7" t="str">
        <f t="shared" si="1"/>
        <v>🔊</v>
      </c>
      <c r="D363" s="8" t="s">
        <v>4508</v>
      </c>
      <c r="E363" s="6" t="s">
        <v>27</v>
      </c>
      <c r="F363" s="12" t="str">
        <f>IFERROR(__xludf.DUMMYFUNCTION("GOOGLETRANSLATE(B363,""zh_cn"",""vi"")"),"gia đình")</f>
        <v>gia đình</v>
      </c>
      <c r="G363" s="20" t="s">
        <v>4509</v>
      </c>
      <c r="I363" s="11" t="b">
        <f t="shared" si="2"/>
        <v>0</v>
      </c>
      <c r="J363" s="24"/>
      <c r="K363" s="11" t="b">
        <f t="shared" si="3"/>
        <v>0</v>
      </c>
    </row>
    <row r="364" ht="22.5" customHeight="1">
      <c r="A364" s="12">
        <f t="shared" si="4"/>
        <v>1362</v>
      </c>
      <c r="B364" s="26" t="s">
        <v>4510</v>
      </c>
      <c r="C364" s="7" t="str">
        <f t="shared" si="1"/>
        <v>🔊</v>
      </c>
      <c r="D364" s="8" t="s">
        <v>4511</v>
      </c>
      <c r="E364" s="6" t="s">
        <v>27</v>
      </c>
      <c r="F364" s="12" t="str">
        <f>IFERROR(__xludf.DUMMYFUNCTION("GOOGLETRANSLATE(B364,""zh_cn"",""vi"")"),"quê hương")</f>
        <v>quê hương</v>
      </c>
      <c r="G364" s="20" t="s">
        <v>4512</v>
      </c>
      <c r="I364" s="11" t="b">
        <f t="shared" si="2"/>
        <v>0</v>
      </c>
      <c r="J364" s="24"/>
      <c r="K364" s="11" t="b">
        <f t="shared" si="3"/>
        <v>0</v>
      </c>
    </row>
    <row r="365" ht="22.5" customHeight="1">
      <c r="A365" s="12">
        <f t="shared" si="4"/>
        <v>1363</v>
      </c>
      <c r="B365" s="26" t="s">
        <v>4513</v>
      </c>
      <c r="C365" s="7" t="str">
        <f t="shared" si="1"/>
        <v>🔊</v>
      </c>
      <c r="D365" s="8" t="s">
        <v>4514</v>
      </c>
      <c r="E365" s="6" t="s">
        <v>13</v>
      </c>
      <c r="F365" s="5" t="s">
        <v>4515</v>
      </c>
      <c r="G365" s="20" t="s">
        <v>4516</v>
      </c>
      <c r="I365" s="11" t="b">
        <f t="shared" si="2"/>
        <v>0</v>
      </c>
      <c r="J365" s="24"/>
      <c r="K365" s="11" t="b">
        <f t="shared" si="3"/>
        <v>0</v>
      </c>
    </row>
    <row r="366" ht="22.5" customHeight="1">
      <c r="A366" s="12">
        <f t="shared" si="4"/>
        <v>1364</v>
      </c>
      <c r="B366" s="26" t="s">
        <v>4517</v>
      </c>
      <c r="C366" s="7" t="str">
        <f t="shared" si="1"/>
        <v>🔊</v>
      </c>
      <c r="D366" s="8" t="s">
        <v>4518</v>
      </c>
      <c r="E366" s="6" t="s">
        <v>27</v>
      </c>
      <c r="F366" s="12" t="str">
        <f>IFERROR(__xludf.DUMMYFUNCTION("GOOGLETRANSLATE(B366,""zh_cn"",""vi"")"),"Trạm xăng")</f>
        <v>Trạm xăng</v>
      </c>
      <c r="G366" s="20" t="s">
        <v>4519</v>
      </c>
      <c r="I366" s="11" t="b">
        <f t="shared" si="2"/>
        <v>0</v>
      </c>
      <c r="J366" s="24"/>
      <c r="K366" s="11" t="b">
        <f t="shared" si="3"/>
        <v>0</v>
      </c>
    </row>
    <row r="367" ht="22.5" customHeight="1">
      <c r="A367" s="12">
        <f t="shared" si="4"/>
        <v>1365</v>
      </c>
      <c r="B367" s="26" t="s">
        <v>4520</v>
      </c>
      <c r="C367" s="7" t="str">
        <f t="shared" si="1"/>
        <v>🔊</v>
      </c>
      <c r="D367" s="8" t="s">
        <v>4521</v>
      </c>
      <c r="E367" s="6" t="s">
        <v>27</v>
      </c>
      <c r="F367" s="5" t="s">
        <v>4522</v>
      </c>
      <c r="G367" s="20" t="s">
        <v>4523</v>
      </c>
      <c r="I367" s="11" t="b">
        <f t="shared" si="2"/>
        <v>0</v>
      </c>
      <c r="J367" s="24"/>
      <c r="K367" s="11" t="b">
        <f t="shared" si="3"/>
        <v>0</v>
      </c>
    </row>
    <row r="368" ht="22.5" customHeight="1">
      <c r="A368" s="12">
        <f t="shared" si="4"/>
        <v>1366</v>
      </c>
      <c r="B368" s="26" t="s">
        <v>4524</v>
      </c>
      <c r="C368" s="7" t="str">
        <f t="shared" si="1"/>
        <v>🔊</v>
      </c>
      <c r="D368" s="8" t="s">
        <v>4525</v>
      </c>
      <c r="E368" s="6" t="s">
        <v>1308</v>
      </c>
      <c r="F368" s="5" t="s">
        <v>4526</v>
      </c>
      <c r="G368" s="20" t="s">
        <v>4527</v>
      </c>
      <c r="I368" s="11" t="b">
        <f t="shared" si="2"/>
        <v>0</v>
      </c>
      <c r="J368" s="24"/>
      <c r="K368" s="11" t="b">
        <f t="shared" si="3"/>
        <v>0</v>
      </c>
    </row>
    <row r="369" ht="22.5" customHeight="1">
      <c r="A369" s="12">
        <f t="shared" si="4"/>
        <v>1367</v>
      </c>
      <c r="B369" s="26" t="s">
        <v>4528</v>
      </c>
      <c r="C369" s="7" t="str">
        <f t="shared" si="1"/>
        <v>🔊</v>
      </c>
      <c r="D369" s="8" t="s">
        <v>4529</v>
      </c>
      <c r="E369" s="6" t="s">
        <v>61</v>
      </c>
      <c r="F369" s="12" t="str">
        <f>IFERROR(__xludf.DUMMYFUNCTION("GOOGLETRANSLATE(B369,""zh_cn"",""vi"")"),"về cơ bản")</f>
        <v>về cơ bản</v>
      </c>
      <c r="G369" s="20" t="s">
        <v>4530</v>
      </c>
      <c r="I369" s="11" t="b">
        <f t="shared" si="2"/>
        <v>0</v>
      </c>
      <c r="J369" s="24"/>
      <c r="K369" s="11" t="b">
        <f t="shared" si="3"/>
        <v>0</v>
      </c>
    </row>
    <row r="370" ht="22.5" customHeight="1">
      <c r="A370" s="12">
        <f t="shared" si="4"/>
        <v>1368</v>
      </c>
      <c r="B370" s="26" t="s">
        <v>4531</v>
      </c>
      <c r="C370" s="7" t="str">
        <f t="shared" si="1"/>
        <v>🔊</v>
      </c>
      <c r="D370" s="8" t="s">
        <v>4532</v>
      </c>
      <c r="E370" s="6" t="s">
        <v>27</v>
      </c>
      <c r="F370" s="5" t="s">
        <v>4533</v>
      </c>
      <c r="G370" s="20" t="s">
        <v>4534</v>
      </c>
      <c r="I370" s="11" t="b">
        <f t="shared" si="2"/>
        <v>0</v>
      </c>
      <c r="J370" s="24"/>
      <c r="K370" s="11" t="b">
        <f t="shared" si="3"/>
        <v>0</v>
      </c>
    </row>
    <row r="371" ht="22.5" customHeight="1">
      <c r="A371" s="12">
        <f t="shared" si="4"/>
        <v>1369</v>
      </c>
      <c r="B371" s="26" t="s">
        <v>4535</v>
      </c>
      <c r="C371" s="7" t="str">
        <f t="shared" si="1"/>
        <v>🔊</v>
      </c>
      <c r="D371" s="8" t="s">
        <v>4536</v>
      </c>
      <c r="E371" s="6" t="s">
        <v>416</v>
      </c>
      <c r="F371" s="5" t="s">
        <v>4537</v>
      </c>
      <c r="G371" s="20" t="s">
        <v>4538</v>
      </c>
      <c r="I371" s="11" t="b">
        <f t="shared" si="2"/>
        <v>0</v>
      </c>
      <c r="J371" s="24"/>
      <c r="K371" s="11" t="b">
        <f t="shared" si="3"/>
        <v>0</v>
      </c>
    </row>
    <row r="372" ht="22.5" customHeight="1">
      <c r="A372" s="12">
        <f t="shared" si="4"/>
        <v>1370</v>
      </c>
      <c r="B372" s="26" t="s">
        <v>4539</v>
      </c>
      <c r="C372" s="7" t="str">
        <f t="shared" si="1"/>
        <v>🔊</v>
      </c>
      <c r="D372" s="8" t="s">
        <v>4540</v>
      </c>
      <c r="E372" s="6" t="s">
        <v>27</v>
      </c>
      <c r="F372" s="12" t="str">
        <f>IFERROR(__xludf.DUMMYFUNCTION("GOOGLETRANSLATE(B372,""zh_cn"",""vi"")"),"đường phố")</f>
        <v>đường phố</v>
      </c>
      <c r="G372" s="20" t="s">
        <v>4541</v>
      </c>
      <c r="I372" s="11" t="b">
        <f t="shared" si="2"/>
        <v>0</v>
      </c>
      <c r="J372" s="24"/>
      <c r="K372" s="11" t="b">
        <f t="shared" si="3"/>
        <v>0</v>
      </c>
    </row>
    <row r="373" ht="22.5" customHeight="1">
      <c r="A373" s="12">
        <f t="shared" si="4"/>
        <v>1371</v>
      </c>
      <c r="B373" s="26" t="s">
        <v>4542</v>
      </c>
      <c r="C373" s="7" t="str">
        <f t="shared" si="1"/>
        <v>🔊</v>
      </c>
      <c r="D373" s="8" t="s">
        <v>4543</v>
      </c>
      <c r="E373" s="6" t="s">
        <v>4544</v>
      </c>
      <c r="F373" s="12" t="str">
        <f>IFERROR(__xludf.DUMMYFUNCTION("GOOGLETRANSLATE(B373,""zh_cn"",""vi"")"),"kết quả")</f>
        <v>kết quả</v>
      </c>
      <c r="G373" s="20" t="s">
        <v>4545</v>
      </c>
      <c r="I373" s="11" t="b">
        <f t="shared" si="2"/>
        <v>0</v>
      </c>
      <c r="J373" s="24"/>
      <c r="K373" s="11" t="b">
        <f t="shared" si="3"/>
        <v>0</v>
      </c>
    </row>
    <row r="374" ht="22.5" customHeight="1">
      <c r="A374" s="12">
        <f t="shared" si="4"/>
        <v>1372</v>
      </c>
      <c r="B374" s="26" t="s">
        <v>4546</v>
      </c>
      <c r="C374" s="7" t="str">
        <f t="shared" si="1"/>
        <v>🔊</v>
      </c>
      <c r="D374" s="8" t="s">
        <v>4547</v>
      </c>
      <c r="E374" s="6" t="s">
        <v>27</v>
      </c>
      <c r="F374" s="12" t="str">
        <f>IFERROR(__xludf.DUMMYFUNCTION("GOOGLETRANSLATE(B374,""zh_cn"",""vi"")"),"Ngày lễ")</f>
        <v>Ngày lễ</v>
      </c>
      <c r="G374" s="20" t="s">
        <v>4548</v>
      </c>
      <c r="I374" s="11" t="b">
        <f t="shared" si="2"/>
        <v>0</v>
      </c>
      <c r="J374" s="24"/>
      <c r="K374" s="11" t="b">
        <f t="shared" si="3"/>
        <v>0</v>
      </c>
    </row>
    <row r="375" ht="22.5" customHeight="1">
      <c r="A375" s="12">
        <f t="shared" si="4"/>
        <v>1373</v>
      </c>
      <c r="B375" s="26" t="s">
        <v>4549</v>
      </c>
      <c r="C375" s="7" t="str">
        <f t="shared" si="1"/>
        <v>🔊</v>
      </c>
      <c r="D375" s="8" t="s">
        <v>4550</v>
      </c>
      <c r="E375" s="6" t="s">
        <v>13</v>
      </c>
      <c r="F375" s="12" t="str">
        <f>IFERROR(__xludf.DUMMYFUNCTION("GOOGLETRANSLATE(B375,""zh_cn"",""vi"")"),"giải thích")</f>
        <v>giải thích</v>
      </c>
      <c r="G375" s="20" t="s">
        <v>4551</v>
      </c>
      <c r="I375" s="11" t="b">
        <f t="shared" si="2"/>
        <v>0</v>
      </c>
      <c r="J375" s="24"/>
      <c r="K375" s="11" t="b">
        <f t="shared" si="3"/>
        <v>0</v>
      </c>
    </row>
    <row r="376" ht="22.5" customHeight="1">
      <c r="A376" s="12">
        <f t="shared" si="4"/>
        <v>1374</v>
      </c>
      <c r="B376" s="26" t="s">
        <v>4552</v>
      </c>
      <c r="C376" s="7" t="str">
        <f t="shared" si="1"/>
        <v>🔊</v>
      </c>
      <c r="D376" s="8" t="s">
        <v>4553</v>
      </c>
      <c r="E376" s="6" t="s">
        <v>13</v>
      </c>
      <c r="F376" s="12" t="str">
        <f>IFERROR(__xludf.DUMMYFUNCTION("GOOGLETRANSLATE(B376,""zh_cn"",""vi"")"),"chấp nhận")</f>
        <v>chấp nhận</v>
      </c>
      <c r="G376" s="20" t="s">
        <v>4554</v>
      </c>
      <c r="I376" s="11" t="b">
        <f t="shared" si="2"/>
        <v>0</v>
      </c>
      <c r="J376" s="24"/>
      <c r="K376" s="11" t="b">
        <f t="shared" si="3"/>
        <v>0</v>
      </c>
    </row>
    <row r="377" ht="22.5" customHeight="1">
      <c r="A377" s="12">
        <f t="shared" si="4"/>
        <v>1375</v>
      </c>
      <c r="B377" s="26" t="s">
        <v>4555</v>
      </c>
      <c r="C377" s="7" t="str">
        <f t="shared" si="1"/>
        <v>🔊</v>
      </c>
      <c r="D377" s="8" t="s">
        <v>4556</v>
      </c>
      <c r="E377" s="6" t="s">
        <v>13</v>
      </c>
      <c r="F377" s="5" t="s">
        <v>4557</v>
      </c>
      <c r="G377" s="20" t="s">
        <v>4558</v>
      </c>
      <c r="I377" s="11" t="b">
        <f t="shared" si="2"/>
        <v>0</v>
      </c>
      <c r="J377" s="24"/>
      <c r="K377" s="11" t="b">
        <f t="shared" si="3"/>
        <v>0</v>
      </c>
    </row>
    <row r="378" ht="22.5" customHeight="1">
      <c r="A378" s="12">
        <f t="shared" si="4"/>
        <v>1376</v>
      </c>
      <c r="B378" s="26" t="s">
        <v>4559</v>
      </c>
      <c r="C378" s="7" t="str">
        <f t="shared" si="1"/>
        <v>🔊</v>
      </c>
      <c r="D378" s="8" t="s">
        <v>4560</v>
      </c>
      <c r="E378" s="6" t="s">
        <v>13</v>
      </c>
      <c r="F378" s="12" t="str">
        <f>IFERROR(__xludf.DUMMYFUNCTION("GOOGLETRANSLATE(B378,""zh_cn"",""vi"")"),"Bill, làm ơn")</f>
        <v>Bill, làm ơn</v>
      </c>
      <c r="G378" s="20" t="s">
        <v>4561</v>
      </c>
      <c r="I378" s="11" t="b">
        <f t="shared" si="2"/>
        <v>0</v>
      </c>
      <c r="J378" s="24"/>
      <c r="K378" s="11" t="b">
        <f t="shared" si="3"/>
        <v>0</v>
      </c>
    </row>
    <row r="379" ht="22.5" customHeight="1">
      <c r="A379" s="12">
        <f t="shared" si="4"/>
        <v>1377</v>
      </c>
      <c r="B379" s="26" t="s">
        <v>4562</v>
      </c>
      <c r="C379" s="7" t="str">
        <f t="shared" si="1"/>
        <v>🔊</v>
      </c>
      <c r="D379" s="8" t="s">
        <v>4563</v>
      </c>
      <c r="E379" s="6" t="s">
        <v>433</v>
      </c>
      <c r="F379" s="12" t="str">
        <f>IFERROR(__xludf.DUMMYFUNCTION("GOOGLETRANSLATE(B379,""zh_cn"",""vi"")"),"sau đó")</f>
        <v>sau đó</v>
      </c>
      <c r="G379" s="20" t="s">
        <v>4564</v>
      </c>
      <c r="I379" s="11" t="b">
        <f t="shared" si="2"/>
        <v>0</v>
      </c>
      <c r="J379" s="24"/>
      <c r="K379" s="11" t="b">
        <f t="shared" si="3"/>
        <v>0</v>
      </c>
    </row>
    <row r="380" ht="22.5" customHeight="1">
      <c r="A380" s="12">
        <f t="shared" si="4"/>
        <v>1378</v>
      </c>
      <c r="B380" s="26" t="s">
        <v>4565</v>
      </c>
      <c r="C380" s="7" t="str">
        <f t="shared" si="1"/>
        <v>🔊</v>
      </c>
      <c r="D380" s="8" t="s">
        <v>4566</v>
      </c>
      <c r="E380" s="6" t="s">
        <v>57</v>
      </c>
      <c r="F380" s="12" t="str">
        <f>IFERROR(__xludf.DUMMYFUNCTION("GOOGLETRANSLATE(B380,""zh_cn"",""vi"")"),"kế hoạch")</f>
        <v>kế hoạch</v>
      </c>
      <c r="G380" s="20" t="s">
        <v>4567</v>
      </c>
      <c r="I380" s="11" t="b">
        <f t="shared" si="2"/>
        <v>0</v>
      </c>
      <c r="J380" s="24"/>
      <c r="K380" s="11" t="b">
        <f t="shared" si="3"/>
        <v>0</v>
      </c>
    </row>
    <row r="381" ht="22.5" customHeight="1">
      <c r="A381" s="12">
        <f t="shared" si="4"/>
        <v>1379</v>
      </c>
      <c r="B381" s="26" t="s">
        <v>4568</v>
      </c>
      <c r="C381" s="7" t="str">
        <f t="shared" si="1"/>
        <v>🔊</v>
      </c>
      <c r="D381" s="8" t="s">
        <v>4569</v>
      </c>
      <c r="E381" s="6" t="s">
        <v>99</v>
      </c>
      <c r="F381" s="12" t="str">
        <f>IFERROR(__xludf.DUMMYFUNCTION("GOOGLETRANSLATE(B381,""zh_cn"",""vi"")"),"tích cực")</f>
        <v>tích cực</v>
      </c>
      <c r="G381" s="20" t="s">
        <v>4570</v>
      </c>
      <c r="I381" s="11" t="b">
        <f t="shared" si="2"/>
        <v>0</v>
      </c>
      <c r="J381" s="24"/>
      <c r="K381" s="11" t="b">
        <f t="shared" si="3"/>
        <v>0</v>
      </c>
    </row>
    <row r="382" ht="22.5" customHeight="1">
      <c r="A382" s="12">
        <f t="shared" si="4"/>
        <v>1380</v>
      </c>
      <c r="B382" s="26" t="s">
        <v>4571</v>
      </c>
      <c r="C382" s="7" t="str">
        <f t="shared" si="1"/>
        <v>🔊</v>
      </c>
      <c r="D382" s="8" t="s">
        <v>4572</v>
      </c>
      <c r="E382" s="6" t="s">
        <v>13</v>
      </c>
      <c r="F382" s="5" t="s">
        <v>4573</v>
      </c>
      <c r="G382" s="20" t="s">
        <v>4574</v>
      </c>
      <c r="I382" s="11" t="b">
        <f t="shared" si="2"/>
        <v>0</v>
      </c>
      <c r="J382" s="24"/>
      <c r="K382" s="11" t="b">
        <f t="shared" si="3"/>
        <v>0</v>
      </c>
    </row>
    <row r="383" ht="22.5" customHeight="1">
      <c r="A383" s="12">
        <f t="shared" si="4"/>
        <v>1381</v>
      </c>
      <c r="B383" s="26" t="s">
        <v>4575</v>
      </c>
      <c r="C383" s="7" t="str">
        <f t="shared" si="1"/>
        <v>🔊</v>
      </c>
      <c r="D383" s="8" t="s">
        <v>4576</v>
      </c>
      <c r="E383" s="6" t="s">
        <v>61</v>
      </c>
      <c r="F383" s="12" t="str">
        <f>IFERROR(__xludf.DUMMYFUNCTION("GOOGLETRANSLATE(B383,""zh_cn"",""vi"")"),"chỉ một")</f>
        <v>chỉ một</v>
      </c>
      <c r="G383" s="20" t="s">
        <v>4577</v>
      </c>
      <c r="I383" s="11" t="b">
        <f t="shared" si="2"/>
        <v>0</v>
      </c>
      <c r="J383" s="24"/>
      <c r="K383" s="11" t="b">
        <f t="shared" si="3"/>
        <v>0</v>
      </c>
    </row>
    <row r="384" ht="22.5" customHeight="1">
      <c r="A384" s="12">
        <f t="shared" si="4"/>
        <v>1382</v>
      </c>
      <c r="B384" s="26" t="s">
        <v>4578</v>
      </c>
      <c r="C384" s="7" t="str">
        <f t="shared" si="1"/>
        <v>🔊</v>
      </c>
      <c r="D384" s="8" t="s">
        <v>4579</v>
      </c>
      <c r="E384" s="6" t="s">
        <v>99</v>
      </c>
      <c r="F384" s="5" t="s">
        <v>4580</v>
      </c>
      <c r="G384" s="20" t="s">
        <v>4581</v>
      </c>
      <c r="I384" s="11" t="b">
        <f t="shared" si="2"/>
        <v>0</v>
      </c>
      <c r="J384" s="24"/>
      <c r="K384" s="11" t="b">
        <f t="shared" si="3"/>
        <v>0</v>
      </c>
    </row>
    <row r="385" ht="22.5" customHeight="1">
      <c r="A385" s="12">
        <f t="shared" si="4"/>
        <v>1383</v>
      </c>
      <c r="B385" s="26" t="s">
        <v>4582</v>
      </c>
      <c r="C385" s="7" t="str">
        <f t="shared" si="1"/>
        <v>🔊</v>
      </c>
      <c r="D385" s="8" t="s">
        <v>4583</v>
      </c>
      <c r="E385" s="6" t="s">
        <v>27</v>
      </c>
      <c r="F385" s="12" t="str">
        <f>IFERROR(__xludf.DUMMYFUNCTION("GOOGLETRANSLATE(B385,""zh_cn"",""vi"")"),"cảnh sát")</f>
        <v>cảnh sát</v>
      </c>
      <c r="G385" s="20" t="s">
        <v>4584</v>
      </c>
      <c r="I385" s="11" t="b">
        <f t="shared" si="2"/>
        <v>0</v>
      </c>
      <c r="J385" s="24"/>
      <c r="K385" s="11" t="b">
        <f t="shared" si="3"/>
        <v>0</v>
      </c>
    </row>
    <row r="386" ht="22.5" customHeight="1">
      <c r="A386" s="12">
        <f t="shared" si="4"/>
        <v>1384</v>
      </c>
      <c r="B386" s="26" t="s">
        <v>4585</v>
      </c>
      <c r="C386" s="7" t="str">
        <f t="shared" si="1"/>
        <v>🔊</v>
      </c>
      <c r="D386" s="8" t="s">
        <v>4586</v>
      </c>
      <c r="E386" s="6" t="s">
        <v>27</v>
      </c>
      <c r="F386" s="12" t="str">
        <f>IFERROR(__xludf.DUMMYFUNCTION("GOOGLETRANSLATE(B386,""zh_cn"",""vi"")"),"điểm tham quan")</f>
        <v>điểm tham quan</v>
      </c>
      <c r="G386" s="20" t="s">
        <v>4587</v>
      </c>
      <c r="I386" s="11" t="b">
        <f t="shared" si="2"/>
        <v>0</v>
      </c>
      <c r="J386" s="24"/>
      <c r="K386" s="11" t="b">
        <f t="shared" si="3"/>
        <v>0</v>
      </c>
    </row>
    <row r="387" ht="22.5" customHeight="1">
      <c r="A387" s="12">
        <f t="shared" si="4"/>
        <v>1385</v>
      </c>
      <c r="B387" s="26" t="s">
        <v>4588</v>
      </c>
      <c r="C387" s="7" t="str">
        <f t="shared" si="1"/>
        <v>🔊</v>
      </c>
      <c r="D387" s="8" t="s">
        <v>4589</v>
      </c>
      <c r="E387" s="6" t="s">
        <v>1228</v>
      </c>
      <c r="F387" s="12" t="str">
        <f>IFERROR(__xludf.DUMMYFUNCTION("GOOGLETRANSLATE(B387,""zh_cn"",""vi"")"),"kinh tế")</f>
        <v>kinh tế</v>
      </c>
      <c r="G387" s="20" t="s">
        <v>4590</v>
      </c>
      <c r="I387" s="11" t="b">
        <f t="shared" si="2"/>
        <v>0</v>
      </c>
      <c r="J387" s="24"/>
      <c r="K387" s="11" t="b">
        <f t="shared" si="3"/>
        <v>0</v>
      </c>
    </row>
    <row r="388" ht="22.5" customHeight="1">
      <c r="A388" s="12">
        <f t="shared" si="4"/>
        <v>1386</v>
      </c>
      <c r="B388" s="26" t="s">
        <v>4591</v>
      </c>
      <c r="C388" s="7" t="str">
        <f t="shared" si="1"/>
        <v>🔊</v>
      </c>
      <c r="D388" s="8" t="s">
        <v>4592</v>
      </c>
      <c r="E388" s="6" t="s">
        <v>27</v>
      </c>
      <c r="F388" s="12" t="str">
        <f>IFERROR(__xludf.DUMMYFUNCTION("GOOGLETRANSLATE(B388,""zh_cn"",""vi"")"),"Kinh kịch Bắc Kinh")</f>
        <v>Kinh kịch Bắc Kinh</v>
      </c>
      <c r="G388" s="20" t="s">
        <v>4593</v>
      </c>
      <c r="I388" s="11" t="b">
        <f t="shared" si="2"/>
        <v>0</v>
      </c>
      <c r="J388" s="24"/>
      <c r="K388" s="11" t="b">
        <f t="shared" si="3"/>
        <v>0</v>
      </c>
    </row>
    <row r="389" ht="22.5" customHeight="1">
      <c r="A389" s="12">
        <f t="shared" si="4"/>
        <v>1387</v>
      </c>
      <c r="B389" s="26" t="s">
        <v>4594</v>
      </c>
      <c r="C389" s="7" t="str">
        <f t="shared" si="1"/>
        <v>🔊</v>
      </c>
      <c r="D389" s="8" t="s">
        <v>4595</v>
      </c>
      <c r="E389" s="6" t="s">
        <v>232</v>
      </c>
      <c r="F389" s="5" t="s">
        <v>4596</v>
      </c>
      <c r="G389" s="20" t="s">
        <v>4597</v>
      </c>
      <c r="I389" s="11" t="b">
        <f t="shared" si="2"/>
        <v>0</v>
      </c>
      <c r="J389" s="24"/>
      <c r="K389" s="11" t="b">
        <f t="shared" si="3"/>
        <v>0</v>
      </c>
    </row>
    <row r="390" ht="22.5" customHeight="1">
      <c r="A390" s="12">
        <f t="shared" si="4"/>
        <v>1388</v>
      </c>
      <c r="B390" s="26" t="s">
        <v>4598</v>
      </c>
      <c r="C390" s="7" t="str">
        <f t="shared" si="1"/>
        <v>🔊</v>
      </c>
      <c r="D390" s="8" t="s">
        <v>4599</v>
      </c>
      <c r="E390" s="6" t="s">
        <v>27</v>
      </c>
      <c r="F390" s="12" t="str">
        <f>IFERROR(__xludf.DUMMYFUNCTION("GOOGLETRANSLATE(B390,""zh_cn"",""vi"")"),"Khu vực danh lam thắng cảnh")</f>
        <v>Khu vực danh lam thắng cảnh</v>
      </c>
      <c r="G390" s="20" t="s">
        <v>4600</v>
      </c>
      <c r="I390" s="11" t="b">
        <f t="shared" si="2"/>
        <v>0</v>
      </c>
      <c r="J390" s="24"/>
      <c r="K390" s="11" t="b">
        <f t="shared" si="3"/>
        <v>0</v>
      </c>
    </row>
    <row r="391" ht="22.5" customHeight="1">
      <c r="A391" s="12">
        <f t="shared" si="4"/>
        <v>1389</v>
      </c>
      <c r="B391" s="26" t="s">
        <v>4601</v>
      </c>
      <c r="C391" s="7" t="str">
        <f t="shared" si="1"/>
        <v>🔊</v>
      </c>
      <c r="D391" s="8" t="s">
        <v>4602</v>
      </c>
      <c r="E391" s="6" t="s">
        <v>61</v>
      </c>
      <c r="F391" s="12" t="str">
        <f>IFERROR(__xludf.DUMMYFUNCTION("GOOGLETRANSLATE(B391,""zh_cn"",""vi"")"),"hóa ra")</f>
        <v>hóa ra</v>
      </c>
      <c r="G391" s="20" t="s">
        <v>4603</v>
      </c>
      <c r="I391" s="11" t="b">
        <f t="shared" si="2"/>
        <v>0</v>
      </c>
      <c r="J391" s="24"/>
      <c r="K391" s="11" t="b">
        <f t="shared" si="3"/>
        <v>0</v>
      </c>
    </row>
    <row r="392" ht="22.5" customHeight="1">
      <c r="A392" s="12">
        <f t="shared" si="4"/>
        <v>1390</v>
      </c>
      <c r="B392" s="26" t="s">
        <v>4604</v>
      </c>
      <c r="C392" s="7" t="str">
        <f t="shared" si="1"/>
        <v>🔊</v>
      </c>
      <c r="D392" s="8" t="s">
        <v>4605</v>
      </c>
      <c r="E392" s="6" t="s">
        <v>27</v>
      </c>
      <c r="F392" s="5" t="s">
        <v>4606</v>
      </c>
      <c r="G392" s="20" t="s">
        <v>4607</v>
      </c>
      <c r="I392" s="11" t="b">
        <f t="shared" si="2"/>
        <v>0</v>
      </c>
      <c r="J392" s="24"/>
      <c r="K392" s="11" t="b">
        <f t="shared" si="3"/>
        <v>0</v>
      </c>
    </row>
    <row r="393" ht="22.5" customHeight="1">
      <c r="A393" s="12">
        <f t="shared" si="4"/>
        <v>1391</v>
      </c>
      <c r="B393" s="26" t="s">
        <v>4608</v>
      </c>
      <c r="C393" s="7" t="str">
        <f t="shared" si="1"/>
        <v>🔊</v>
      </c>
      <c r="D393" s="8" t="s">
        <v>4609</v>
      </c>
      <c r="E393" s="6" t="s">
        <v>1203</v>
      </c>
      <c r="F393" s="12" t="str">
        <f>IFERROR(__xludf.DUMMYFUNCTION("GOOGLETRANSLATE(B393,""zh_cn"",""vi"")"),"mặc dù")</f>
        <v>mặc dù</v>
      </c>
      <c r="G393" s="20" t="s">
        <v>4610</v>
      </c>
      <c r="I393" s="11" t="b">
        <f t="shared" si="2"/>
        <v>0</v>
      </c>
      <c r="J393" s="24"/>
      <c r="K393" s="11" t="b">
        <f t="shared" si="3"/>
        <v>0</v>
      </c>
    </row>
    <row r="394" ht="22.5" customHeight="1">
      <c r="A394" s="12">
        <f t="shared" si="4"/>
        <v>1392</v>
      </c>
      <c r="B394" s="26" t="s">
        <v>4611</v>
      </c>
      <c r="C394" s="7" t="str">
        <f t="shared" si="1"/>
        <v>🔊</v>
      </c>
      <c r="D394" s="8" t="s">
        <v>4612</v>
      </c>
      <c r="E394" s="6" t="s">
        <v>27</v>
      </c>
      <c r="F394" s="12" t="str">
        <f>IFERROR(__xludf.DUMMYFUNCTION("GOOGLETRANSLATE(B394,""zh_cn"",""vi"")"),"kinh nghiệm")</f>
        <v>kinh nghiệm</v>
      </c>
      <c r="G394" s="20" t="s">
        <v>4613</v>
      </c>
      <c r="I394" s="11" t="b">
        <f t="shared" si="2"/>
        <v>0</v>
      </c>
      <c r="J394" s="24"/>
      <c r="K394" s="11" t="b">
        <f t="shared" si="3"/>
        <v>0</v>
      </c>
    </row>
    <row r="395" ht="22.5" customHeight="1">
      <c r="A395" s="12">
        <f t="shared" si="4"/>
        <v>1393</v>
      </c>
      <c r="B395" s="26" t="s">
        <v>4614</v>
      </c>
      <c r="C395" s="7" t="str">
        <f t="shared" si="1"/>
        <v>🔊</v>
      </c>
      <c r="D395" s="8" t="s">
        <v>4615</v>
      </c>
      <c r="E395" s="6" t="s">
        <v>13</v>
      </c>
      <c r="F395" s="5" t="s">
        <v>4616</v>
      </c>
      <c r="G395" s="20" t="s">
        <v>4617</v>
      </c>
      <c r="I395" s="11" t="b">
        <f t="shared" si="2"/>
        <v>0</v>
      </c>
      <c r="J395" s="24"/>
      <c r="K395" s="11" t="b">
        <f t="shared" si="3"/>
        <v>0</v>
      </c>
    </row>
    <row r="396" ht="22.5" customHeight="1">
      <c r="A396" s="12">
        <f t="shared" si="4"/>
        <v>1394</v>
      </c>
      <c r="B396" s="26" t="s">
        <v>4618</v>
      </c>
      <c r="C396" s="7" t="str">
        <f t="shared" si="1"/>
        <v>🔊</v>
      </c>
      <c r="D396" s="8" t="s">
        <v>4619</v>
      </c>
      <c r="E396" s="6" t="s">
        <v>27</v>
      </c>
      <c r="F396" s="12" t="str">
        <f>IFERROR(__xludf.DUMMYFUNCTION("GOOGLETRANSLATE(B396,""zh_cn"",""vi"")"),"Gương")</f>
        <v>Gương</v>
      </c>
      <c r="G396" s="20" t="s">
        <v>4620</v>
      </c>
      <c r="I396" s="11" t="b">
        <f t="shared" si="2"/>
        <v>0</v>
      </c>
      <c r="J396" s="24"/>
      <c r="K396" s="11" t="b">
        <f t="shared" si="3"/>
        <v>0</v>
      </c>
    </row>
    <row r="397" ht="22.5" customHeight="1">
      <c r="A397" s="12">
        <f t="shared" si="4"/>
        <v>1395</v>
      </c>
      <c r="B397" s="26" t="s">
        <v>4621</v>
      </c>
      <c r="C397" s="7" t="str">
        <f t="shared" si="1"/>
        <v>🔊</v>
      </c>
      <c r="D397" s="8" t="s">
        <v>4622</v>
      </c>
      <c r="E397" s="6" t="s">
        <v>27</v>
      </c>
      <c r="F397" s="12" t="str">
        <f>IFERROR(__xludf.DUMMYFUNCTION("GOOGLETRANSLATE(B397,""zh_cn"",""vi"")"),"từ bây giờ trở đi")</f>
        <v>từ bây giờ trở đi</v>
      </c>
      <c r="G397" s="20" t="s">
        <v>4623</v>
      </c>
      <c r="I397" s="11" t="b">
        <f t="shared" si="2"/>
        <v>0</v>
      </c>
      <c r="J397" s="24"/>
      <c r="K397" s="11" t="b">
        <f t="shared" si="3"/>
        <v>0</v>
      </c>
    </row>
    <row r="398" ht="22.5" customHeight="1">
      <c r="A398" s="12">
        <f t="shared" si="4"/>
        <v>1396</v>
      </c>
      <c r="B398" s="26" t="s">
        <v>4624</v>
      </c>
      <c r="C398" s="7" t="str">
        <f t="shared" si="1"/>
        <v>🔊</v>
      </c>
      <c r="D398" s="8" t="s">
        <v>4625</v>
      </c>
      <c r="E398" s="6" t="s">
        <v>61</v>
      </c>
      <c r="F398" s="12" t="str">
        <f>IFERROR(__xludf.DUMMYFUNCTION("GOOGLETRANSLATE(B398,""zh_cn"",""vi"")"),"chỉ một")</f>
        <v>chỉ một</v>
      </c>
      <c r="G398" s="20" t="s">
        <v>4626</v>
      </c>
      <c r="I398" s="11" t="b">
        <f t="shared" si="2"/>
        <v>0</v>
      </c>
      <c r="J398" s="24"/>
      <c r="K398" s="11" t="b">
        <f t="shared" si="3"/>
        <v>0</v>
      </c>
    </row>
    <row r="399" ht="22.5" customHeight="1">
      <c r="A399" s="12">
        <f t="shared" si="4"/>
        <v>1397</v>
      </c>
      <c r="B399" s="26" t="s">
        <v>4627</v>
      </c>
      <c r="C399" s="7" t="str">
        <f t="shared" si="1"/>
        <v>🔊</v>
      </c>
      <c r="D399" s="8" t="s">
        <v>4628</v>
      </c>
      <c r="E399" s="6" t="s">
        <v>13</v>
      </c>
      <c r="F399" s="12" t="str">
        <f>IFERROR(__xludf.DUMMYFUNCTION("GOOGLETRANSLATE(B399,""zh_cn"",""vi"")"),"Đi vào")</f>
        <v>Đi vào</v>
      </c>
      <c r="G399" s="20" t="s">
        <v>4629</v>
      </c>
      <c r="I399" s="11" t="b">
        <f t="shared" si="2"/>
        <v>0</v>
      </c>
      <c r="J399" s="24"/>
      <c r="K399" s="11" t="b">
        <f t="shared" si="3"/>
        <v>0</v>
      </c>
    </row>
    <row r="400" ht="22.5" customHeight="1">
      <c r="A400" s="12">
        <f t="shared" si="4"/>
        <v>1398</v>
      </c>
      <c r="B400" s="26" t="s">
        <v>4630</v>
      </c>
      <c r="C400" s="7" t="str">
        <f t="shared" si="1"/>
        <v>🔊</v>
      </c>
      <c r="D400" s="8" t="s">
        <v>4631</v>
      </c>
      <c r="E400" s="6" t="s">
        <v>13</v>
      </c>
      <c r="F400" s="5" t="s">
        <v>4632</v>
      </c>
      <c r="G400" s="20" t="s">
        <v>4633</v>
      </c>
      <c r="I400" s="11" t="b">
        <f t="shared" si="2"/>
        <v>0</v>
      </c>
      <c r="J400" s="24"/>
      <c r="K400" s="11" t="b">
        <f t="shared" si="3"/>
        <v>0</v>
      </c>
    </row>
    <row r="401" ht="22.5" customHeight="1">
      <c r="A401" s="12">
        <f t="shared" si="4"/>
        <v>1399</v>
      </c>
      <c r="B401" s="26" t="s">
        <v>4634</v>
      </c>
      <c r="C401" s="7" t="str">
        <f t="shared" si="1"/>
        <v>🔊</v>
      </c>
      <c r="D401" s="8" t="s">
        <v>4635</v>
      </c>
      <c r="E401" s="6" t="s">
        <v>99</v>
      </c>
      <c r="F401" s="5" t="s">
        <v>4636</v>
      </c>
      <c r="G401" s="20" t="s">
        <v>4637</v>
      </c>
      <c r="I401" s="11" t="b">
        <f t="shared" si="2"/>
        <v>0</v>
      </c>
      <c r="J401" s="24"/>
      <c r="K401" s="11" t="b">
        <f t="shared" si="3"/>
        <v>0</v>
      </c>
    </row>
    <row r="402" ht="22.5" customHeight="1">
      <c r="A402" s="12">
        <f t="shared" si="4"/>
        <v>1400</v>
      </c>
      <c r="B402" s="26" t="s">
        <v>4638</v>
      </c>
      <c r="C402" s="7" t="str">
        <f t="shared" si="1"/>
        <v>🔊</v>
      </c>
      <c r="D402" s="8" t="s">
        <v>4639</v>
      </c>
      <c r="E402" s="6" t="s">
        <v>13</v>
      </c>
      <c r="F402" s="12" t="str">
        <f>IFERROR(__xludf.DUMMYFUNCTION("GOOGLETRANSLATE(B402,""zh_cn"",""vi"")"),"cấm")</f>
        <v>cấm</v>
      </c>
      <c r="G402" s="20" t="s">
        <v>4640</v>
      </c>
      <c r="I402" s="11" t="b">
        <f t="shared" si="2"/>
        <v>0</v>
      </c>
      <c r="J402" s="24"/>
      <c r="K402" s="11" t="b">
        <f t="shared" si="3"/>
        <v>0</v>
      </c>
    </row>
    <row r="403" ht="22.5" customHeight="1">
      <c r="A403" s="12">
        <f t="shared" si="4"/>
        <v>1401</v>
      </c>
      <c r="B403" s="26" t="s">
        <v>4641</v>
      </c>
      <c r="C403" s="7" t="str">
        <f t="shared" si="1"/>
        <v>🔊</v>
      </c>
      <c r="D403" s="8" t="s">
        <v>4642</v>
      </c>
      <c r="E403" s="6" t="s">
        <v>1132</v>
      </c>
      <c r="F403" s="5" t="s">
        <v>4643</v>
      </c>
      <c r="G403" s="20" t="s">
        <v>4644</v>
      </c>
      <c r="I403" s="11" t="b">
        <f t="shared" si="2"/>
        <v>0</v>
      </c>
      <c r="J403" s="24"/>
      <c r="K403" s="11" t="b">
        <f t="shared" si="3"/>
        <v>0</v>
      </c>
    </row>
    <row r="404" ht="22.5" customHeight="1">
      <c r="A404" s="12">
        <f t="shared" si="4"/>
        <v>1402</v>
      </c>
      <c r="B404" s="26" t="s">
        <v>4645</v>
      </c>
      <c r="C404" s="7" t="str">
        <f t="shared" si="1"/>
        <v>🔊</v>
      </c>
      <c r="D404" s="8" t="s">
        <v>4646</v>
      </c>
      <c r="E404" s="6" t="s">
        <v>1308</v>
      </c>
      <c r="F404" s="12" t="str">
        <f>IFERROR(__xludf.DUMMYFUNCTION("GOOGLETRANSLATE(B404,""zh_cn"",""vi"")"),"kịp thời")</f>
        <v>kịp thời</v>
      </c>
      <c r="G404" s="20" t="s">
        <v>4647</v>
      </c>
      <c r="I404" s="11" t="b">
        <f t="shared" si="2"/>
        <v>0</v>
      </c>
      <c r="J404" s="24"/>
      <c r="K404" s="11" t="b">
        <f t="shared" si="3"/>
        <v>0</v>
      </c>
    </row>
    <row r="405" ht="22.5" customHeight="1">
      <c r="A405" s="12">
        <f t="shared" si="4"/>
        <v>1403</v>
      </c>
      <c r="B405" s="26" t="s">
        <v>4648</v>
      </c>
      <c r="C405" s="7" t="str">
        <f t="shared" si="1"/>
        <v>🔊</v>
      </c>
      <c r="D405" s="8" t="s">
        <v>4649</v>
      </c>
      <c r="E405" s="6" t="s">
        <v>1132</v>
      </c>
      <c r="F405" s="12" t="str">
        <f>IFERROR(__xludf.DUMMYFUNCTION("GOOGLETRANSLATE(B405,""zh_cn"",""vi"")"),"mặc dù")</f>
        <v>mặc dù</v>
      </c>
      <c r="G405" s="20" t="s">
        <v>4650</v>
      </c>
      <c r="I405" s="11" t="b">
        <f t="shared" si="2"/>
        <v>0</v>
      </c>
      <c r="J405" s="24"/>
      <c r="K405" s="11" t="b">
        <f t="shared" si="3"/>
        <v>0</v>
      </c>
    </row>
    <row r="406" ht="22.5" customHeight="1">
      <c r="A406" s="12">
        <f t="shared" si="4"/>
        <v>1404</v>
      </c>
      <c r="B406" s="26" t="s">
        <v>4651</v>
      </c>
      <c r="C406" s="7" t="str">
        <f t="shared" si="1"/>
        <v>🔊</v>
      </c>
      <c r="D406" s="8" t="s">
        <v>4652</v>
      </c>
      <c r="E406" s="6" t="s">
        <v>27</v>
      </c>
      <c r="F406" s="12" t="str">
        <f>IFERROR(__xludf.DUMMYFUNCTION("GOOGLETRANSLATE(B406,""zh_cn"",""vi"")"),"công nghệ")</f>
        <v>công nghệ</v>
      </c>
      <c r="G406" s="20" t="s">
        <v>4653</v>
      </c>
      <c r="I406" s="11" t="b">
        <f t="shared" si="2"/>
        <v>0</v>
      </c>
      <c r="J406" s="24"/>
      <c r="K406" s="11" t="b">
        <f t="shared" si="3"/>
        <v>0</v>
      </c>
    </row>
    <row r="407" ht="22.5" customHeight="1">
      <c r="A407" s="12">
        <f t="shared" si="4"/>
        <v>1405</v>
      </c>
      <c r="B407" s="26" t="s">
        <v>4654</v>
      </c>
      <c r="C407" s="7" t="str">
        <f t="shared" si="1"/>
        <v>🔊</v>
      </c>
      <c r="D407" s="8" t="s">
        <v>4655</v>
      </c>
      <c r="E407" s="6" t="s">
        <v>4656</v>
      </c>
      <c r="F407" s="5" t="s">
        <v>4657</v>
      </c>
      <c r="G407" s="20" t="s">
        <v>4658</v>
      </c>
      <c r="I407" s="11" t="b">
        <f t="shared" si="2"/>
        <v>0</v>
      </c>
      <c r="J407" s="24"/>
      <c r="K407" s="11" t="b">
        <f t="shared" si="3"/>
        <v>0</v>
      </c>
    </row>
    <row r="408" ht="22.5" customHeight="1">
      <c r="A408" s="12">
        <f t="shared" si="4"/>
        <v>1406</v>
      </c>
      <c r="B408" s="26" t="s">
        <v>4659</v>
      </c>
      <c r="C408" s="7" t="str">
        <f t="shared" si="1"/>
        <v>🔊</v>
      </c>
      <c r="D408" s="8" t="s">
        <v>4660</v>
      </c>
      <c r="E408" s="6" t="s">
        <v>4661</v>
      </c>
      <c r="F408" s="12" t="str">
        <f>IFERROR(__xludf.DUMMYFUNCTION("GOOGLETRANSLATE(B408,""zh_cn"",""vi"")"),"tức là")</f>
        <v>tức là</v>
      </c>
      <c r="G408" s="20" t="s">
        <v>4662</v>
      </c>
      <c r="I408" s="11" t="b">
        <f t="shared" si="2"/>
        <v>0</v>
      </c>
      <c r="J408" s="24"/>
      <c r="K408" s="11" t="b">
        <f t="shared" si="3"/>
        <v>0</v>
      </c>
    </row>
    <row r="409" ht="22.5" customHeight="1">
      <c r="A409" s="12">
        <f t="shared" si="4"/>
        <v>1407</v>
      </c>
      <c r="B409" s="26" t="s">
        <v>4663</v>
      </c>
      <c r="C409" s="7" t="str">
        <f t="shared" si="1"/>
        <v>🔊</v>
      </c>
      <c r="D409" s="8" t="s">
        <v>4664</v>
      </c>
      <c r="E409" s="6" t="s">
        <v>13</v>
      </c>
      <c r="F409" s="12" t="str">
        <f>IFERROR(__xludf.DUMMYFUNCTION("GOOGLETRANSLATE(B409,""zh_cn"",""vi"")"),"Tiếp tục")</f>
        <v>Tiếp tục</v>
      </c>
      <c r="G409" s="20" t="s">
        <v>4665</v>
      </c>
      <c r="I409" s="11" t="b">
        <f t="shared" si="2"/>
        <v>0</v>
      </c>
      <c r="J409" s="24"/>
      <c r="K409" s="11" t="b">
        <f t="shared" si="3"/>
        <v>0</v>
      </c>
    </row>
    <row r="410" ht="22.5" customHeight="1">
      <c r="A410" s="12">
        <f t="shared" si="4"/>
        <v>1408</v>
      </c>
      <c r="B410" s="26" t="s">
        <v>4666</v>
      </c>
      <c r="C410" s="7" t="str">
        <f t="shared" si="1"/>
        <v>🔊</v>
      </c>
      <c r="D410" s="8" t="s">
        <v>4667</v>
      </c>
      <c r="E410" s="6" t="s">
        <v>27</v>
      </c>
      <c r="F410" s="12" t="str">
        <f>IFERROR(__xludf.DUMMYFUNCTION("GOOGLETRANSLATE(B410,""zh_cn"",""vi"")"),"phóng viên")</f>
        <v>phóng viên</v>
      </c>
      <c r="G410" s="20" t="s">
        <v>4668</v>
      </c>
      <c r="I410" s="11" t="b">
        <f t="shared" si="2"/>
        <v>0</v>
      </c>
      <c r="J410" s="24"/>
      <c r="K410" s="11" t="b">
        <f t="shared" si="3"/>
        <v>0</v>
      </c>
    </row>
    <row r="411" ht="22.5" customHeight="1">
      <c r="A411" s="12">
        <f t="shared" si="4"/>
        <v>1409</v>
      </c>
      <c r="B411" s="26" t="s">
        <v>4669</v>
      </c>
      <c r="C411" s="7" t="str">
        <f t="shared" si="1"/>
        <v>🔊</v>
      </c>
      <c r="D411" s="8" t="s">
        <v>2432</v>
      </c>
      <c r="E411" s="6" t="s">
        <v>13</v>
      </c>
      <c r="F411" s="5" t="s">
        <v>4670</v>
      </c>
      <c r="G411" s="20" t="s">
        <v>4671</v>
      </c>
      <c r="I411" s="11" t="b">
        <f t="shared" si="2"/>
        <v>0</v>
      </c>
      <c r="J411" s="24"/>
      <c r="K411" s="11" t="b">
        <f t="shared" si="3"/>
        <v>0</v>
      </c>
    </row>
    <row r="412" ht="22.5" customHeight="1">
      <c r="A412" s="12">
        <f t="shared" si="4"/>
        <v>1410</v>
      </c>
      <c r="B412" s="26" t="s">
        <v>4672</v>
      </c>
      <c r="C412" s="7" t="str">
        <f t="shared" si="1"/>
        <v>🔊</v>
      </c>
      <c r="D412" s="8" t="s">
        <v>4673</v>
      </c>
      <c r="E412" s="6" t="s">
        <v>13</v>
      </c>
      <c r="F412" s="5" t="s">
        <v>4674</v>
      </c>
      <c r="G412" s="20" t="s">
        <v>4675</v>
      </c>
      <c r="I412" s="11" t="b">
        <f t="shared" si="2"/>
        <v>0</v>
      </c>
      <c r="J412" s="24"/>
      <c r="K412" s="11" t="b">
        <f t="shared" si="3"/>
        <v>0</v>
      </c>
    </row>
    <row r="413" ht="22.5" customHeight="1">
      <c r="A413" s="12">
        <f t="shared" si="4"/>
        <v>1411</v>
      </c>
      <c r="B413" s="26" t="s">
        <v>4676</v>
      </c>
      <c r="C413" s="7" t="str">
        <f t="shared" si="1"/>
        <v>🔊</v>
      </c>
      <c r="D413" s="8" t="s">
        <v>4677</v>
      </c>
      <c r="E413" s="6" t="s">
        <v>13</v>
      </c>
      <c r="F413" s="5" t="s">
        <v>4678</v>
      </c>
      <c r="G413" s="20" t="s">
        <v>4679</v>
      </c>
      <c r="I413" s="11" t="b">
        <f t="shared" si="2"/>
        <v>0</v>
      </c>
      <c r="J413" s="24"/>
      <c r="K413" s="11" t="b">
        <f t="shared" si="3"/>
        <v>0</v>
      </c>
    </row>
    <row r="414" ht="22.5" customHeight="1">
      <c r="A414" s="12">
        <f t="shared" si="4"/>
        <v>1412</v>
      </c>
      <c r="B414" s="26" t="s">
        <v>4680</v>
      </c>
      <c r="C414" s="7" t="str">
        <f t="shared" si="1"/>
        <v>🔊</v>
      </c>
      <c r="D414" s="8" t="s">
        <v>4681</v>
      </c>
      <c r="E414" s="6" t="s">
        <v>13</v>
      </c>
      <c r="F414" s="12" t="str">
        <f>IFERROR(__xludf.DUMMYFUNCTION("GOOGLETRANSLATE(B414,""zh_cn"",""vi"")"),"bữa tiệc tối")</f>
        <v>bữa tiệc tối</v>
      </c>
      <c r="G414" s="20" t="s">
        <v>4682</v>
      </c>
      <c r="I414" s="11" t="b">
        <f t="shared" si="2"/>
        <v>0</v>
      </c>
      <c r="J414" s="24"/>
      <c r="K414" s="11" t="b">
        <f t="shared" si="3"/>
        <v>0</v>
      </c>
    </row>
    <row r="415" ht="22.5" customHeight="1">
      <c r="A415" s="12">
        <f t="shared" si="4"/>
        <v>1413</v>
      </c>
      <c r="B415" s="26" t="s">
        <v>4683</v>
      </c>
      <c r="C415" s="7" t="str">
        <f t="shared" si="1"/>
        <v>🔊</v>
      </c>
      <c r="D415" s="8" t="s">
        <v>4684</v>
      </c>
      <c r="E415" s="6" t="s">
        <v>232</v>
      </c>
      <c r="F415" s="5" t="s">
        <v>4670</v>
      </c>
      <c r="G415" s="20" t="s">
        <v>4685</v>
      </c>
      <c r="I415" s="11" t="b">
        <f t="shared" si="2"/>
        <v>0</v>
      </c>
      <c r="J415" s="24"/>
      <c r="K415" s="11" t="b">
        <f t="shared" si="3"/>
        <v>0</v>
      </c>
    </row>
    <row r="416" ht="22.5" customHeight="1">
      <c r="A416" s="12">
        <f t="shared" si="4"/>
        <v>1414</v>
      </c>
      <c r="B416" s="26" t="s">
        <v>4686</v>
      </c>
      <c r="C416" s="7" t="str">
        <f t="shared" si="1"/>
        <v>🔊</v>
      </c>
      <c r="D416" s="8" t="s">
        <v>4687</v>
      </c>
      <c r="E416" s="6" t="s">
        <v>13</v>
      </c>
      <c r="F416" s="12" t="str">
        <f>IFERROR(__xludf.DUMMYFUNCTION("GOOGLETRANSLATE(B416,""zh_cn"",""vi"")"),"từ chối")</f>
        <v>từ chối</v>
      </c>
      <c r="G416" s="20" t="s">
        <v>4688</v>
      </c>
      <c r="I416" s="11" t="b">
        <f t="shared" si="2"/>
        <v>0</v>
      </c>
      <c r="J416" s="24"/>
      <c r="K416" s="11" t="b">
        <f t="shared" si="3"/>
        <v>0</v>
      </c>
    </row>
    <row r="417" ht="22.5" customHeight="1">
      <c r="A417" s="12">
        <f t="shared" si="4"/>
        <v>1415</v>
      </c>
      <c r="B417" s="26" t="s">
        <v>4689</v>
      </c>
      <c r="C417" s="7" t="str">
        <f t="shared" si="1"/>
        <v>🔊</v>
      </c>
      <c r="D417" s="8" t="s">
        <v>4690</v>
      </c>
      <c r="E417" s="6" t="s">
        <v>232</v>
      </c>
      <c r="F417" s="12" t="str">
        <f>IFERROR(__xludf.DUMMYFUNCTION("GOOGLETRANSLATE(B417,""zh_cn"",""vi"")"),"khoảng cách")</f>
        <v>khoảng cách</v>
      </c>
      <c r="G417" s="20" t="s">
        <v>4691</v>
      </c>
      <c r="I417" s="11" t="b">
        <f t="shared" si="2"/>
        <v>0</v>
      </c>
      <c r="J417" s="24"/>
      <c r="K417" s="11" t="b">
        <f t="shared" si="3"/>
        <v>0</v>
      </c>
    </row>
    <row r="418" ht="22.5" customHeight="1">
      <c r="A418" s="12">
        <f t="shared" si="4"/>
        <v>1416</v>
      </c>
      <c r="B418" s="26" t="s">
        <v>4692</v>
      </c>
      <c r="C418" s="7" t="str">
        <f t="shared" si="1"/>
        <v>🔊</v>
      </c>
      <c r="D418" s="8" t="s">
        <v>4693</v>
      </c>
      <c r="E418" s="6" t="s">
        <v>13</v>
      </c>
      <c r="F418" s="12" t="str">
        <f>IFERROR(__xludf.DUMMYFUNCTION("GOOGLETRANSLATE(B418,""zh_cn"",""vi"")"),"Ví dụ")</f>
        <v>Ví dụ</v>
      </c>
      <c r="G418" s="20" t="s">
        <v>4694</v>
      </c>
      <c r="I418" s="11" t="b">
        <f t="shared" si="2"/>
        <v>0</v>
      </c>
      <c r="J418" s="24"/>
      <c r="K418" s="11" t="b">
        <f t="shared" si="3"/>
        <v>0</v>
      </c>
    </row>
    <row r="419" ht="22.5" customHeight="1">
      <c r="A419" s="12">
        <f t="shared" si="4"/>
        <v>1417</v>
      </c>
      <c r="B419" s="26" t="s">
        <v>4695</v>
      </c>
      <c r="C419" s="7" t="str">
        <f t="shared" si="1"/>
        <v>🔊</v>
      </c>
      <c r="D419" s="8" t="s">
        <v>4696</v>
      </c>
      <c r="E419" s="6" t="s">
        <v>13</v>
      </c>
      <c r="F419" s="5" t="s">
        <v>4697</v>
      </c>
      <c r="G419" s="20" t="s">
        <v>4698</v>
      </c>
      <c r="I419" s="11" t="b">
        <f t="shared" si="2"/>
        <v>0</v>
      </c>
      <c r="J419" s="24"/>
      <c r="K419" s="11" t="b">
        <f t="shared" si="3"/>
        <v>0</v>
      </c>
    </row>
    <row r="420" ht="22.5" customHeight="1">
      <c r="A420" s="12">
        <f t="shared" si="4"/>
        <v>1418</v>
      </c>
      <c r="B420" s="26" t="s">
        <v>4699</v>
      </c>
      <c r="C420" s="7" t="str">
        <f t="shared" si="1"/>
        <v>🔊</v>
      </c>
      <c r="D420" s="8" t="s">
        <v>4700</v>
      </c>
      <c r="E420" s="6" t="s">
        <v>27</v>
      </c>
      <c r="F420" s="12" t="str">
        <f>IFERROR(__xludf.DUMMYFUNCTION("GOOGLETRANSLATE(B420,""zh_cn"",""vi"")"),"nhà hát")</f>
        <v>nhà hát</v>
      </c>
      <c r="G420" s="20" t="s">
        <v>4701</v>
      </c>
      <c r="I420" s="11" t="b">
        <f t="shared" si="2"/>
        <v>0</v>
      </c>
      <c r="J420" s="24"/>
      <c r="K420" s="11" t="b">
        <f t="shared" si="3"/>
        <v>0</v>
      </c>
    </row>
    <row r="421" ht="22.5" customHeight="1">
      <c r="A421" s="12">
        <f t="shared" si="4"/>
        <v>1419</v>
      </c>
      <c r="B421" s="26" t="s">
        <v>4702</v>
      </c>
      <c r="C421" s="7" t="str">
        <f t="shared" si="1"/>
        <v>🔊</v>
      </c>
      <c r="D421" s="8" t="s">
        <v>4703</v>
      </c>
      <c r="E421" s="14"/>
      <c r="F421" s="12" t="str">
        <f>IFERROR(__xludf.DUMMYFUNCTION("GOOGLETRANSLATE(B421,""zh_cn"",""vi"")"),"câu nói đùa")</f>
        <v>câu nói đùa</v>
      </c>
      <c r="G421" s="20" t="s">
        <v>4704</v>
      </c>
      <c r="I421" s="11" t="b">
        <f t="shared" si="2"/>
        <v>0</v>
      </c>
      <c r="J421" s="24"/>
      <c r="K421" s="11" t="b">
        <f t="shared" si="3"/>
        <v>0</v>
      </c>
    </row>
    <row r="422" ht="22.5" customHeight="1">
      <c r="A422" s="12">
        <f t="shared" si="4"/>
        <v>1420</v>
      </c>
      <c r="B422" s="26" t="s">
        <v>4705</v>
      </c>
      <c r="C422" s="7" t="str">
        <f t="shared" si="1"/>
        <v>🔊</v>
      </c>
      <c r="D422" s="8" t="s">
        <v>4706</v>
      </c>
      <c r="E422" s="6" t="s">
        <v>27</v>
      </c>
      <c r="F422" s="5" t="s">
        <v>4707</v>
      </c>
      <c r="G422" s="20" t="s">
        <v>4708</v>
      </c>
      <c r="I422" s="11" t="b">
        <f t="shared" si="2"/>
        <v>0</v>
      </c>
      <c r="J422" s="24"/>
      <c r="K422" s="11" t="b">
        <f t="shared" si="3"/>
        <v>0</v>
      </c>
    </row>
    <row r="423" ht="22.5" customHeight="1">
      <c r="A423" s="12">
        <f t="shared" si="4"/>
        <v>1421</v>
      </c>
      <c r="B423" s="26" t="s">
        <v>4709</v>
      </c>
      <c r="C423" s="7" t="str">
        <f t="shared" si="1"/>
        <v>🔊</v>
      </c>
      <c r="D423" s="8" t="s">
        <v>1297</v>
      </c>
      <c r="E423" s="6" t="s">
        <v>13</v>
      </c>
      <c r="F423" s="12" t="str">
        <f>IFERROR(__xludf.DUMMYFUNCTION("GOOGLETRANSLATE(B423,""zh_cn"",""vi"")"),"nướng")</f>
        <v>nướng</v>
      </c>
      <c r="G423" s="20" t="s">
        <v>4710</v>
      </c>
      <c r="I423" s="11" t="b">
        <f t="shared" si="2"/>
        <v>0</v>
      </c>
      <c r="J423" s="24"/>
      <c r="K423" s="11" t="b">
        <f t="shared" si="3"/>
        <v>0</v>
      </c>
    </row>
    <row r="424" ht="22.5" customHeight="1">
      <c r="A424" s="12">
        <f t="shared" si="4"/>
        <v>1422</v>
      </c>
      <c r="B424" s="26" t="s">
        <v>4711</v>
      </c>
      <c r="C424" s="7" t="str">
        <f t="shared" si="1"/>
        <v>🔊</v>
      </c>
      <c r="D424" s="8" t="s">
        <v>4712</v>
      </c>
      <c r="E424" s="6" t="s">
        <v>13</v>
      </c>
      <c r="F424" s="5" t="s">
        <v>4713</v>
      </c>
      <c r="G424" s="20" t="s">
        <v>4714</v>
      </c>
      <c r="I424" s="11" t="b">
        <f t="shared" si="2"/>
        <v>0</v>
      </c>
      <c r="J424" s="24"/>
      <c r="K424" s="11" t="b">
        <f t="shared" si="3"/>
        <v>0</v>
      </c>
    </row>
    <row r="425" ht="22.5" customHeight="1">
      <c r="A425" s="12">
        <f t="shared" si="4"/>
        <v>1423</v>
      </c>
      <c r="B425" s="26" t="s">
        <v>4715</v>
      </c>
      <c r="C425" s="7" t="str">
        <f t="shared" si="1"/>
        <v>🔊</v>
      </c>
      <c r="D425" s="8" t="s">
        <v>4716</v>
      </c>
      <c r="E425" s="6" t="s">
        <v>27</v>
      </c>
      <c r="F425" s="12" t="str">
        <f>IFERROR(__xludf.DUMMYFUNCTION("GOOGLETRANSLATE(B425,""zh_cn"",""vi"")"),"Ứng viên")</f>
        <v>Ứng viên</v>
      </c>
      <c r="G425" s="20" t="s">
        <v>4717</v>
      </c>
      <c r="I425" s="11" t="b">
        <f t="shared" si="2"/>
        <v>0</v>
      </c>
      <c r="J425" s="24"/>
      <c r="K425" s="11" t="b">
        <f t="shared" si="3"/>
        <v>0</v>
      </c>
    </row>
    <row r="426" ht="22.5" customHeight="1">
      <c r="A426" s="12">
        <f t="shared" si="4"/>
        <v>1424</v>
      </c>
      <c r="B426" s="26" t="s">
        <v>4718</v>
      </c>
      <c r="C426" s="7" t="str">
        <f t="shared" si="1"/>
        <v>🔊</v>
      </c>
      <c r="D426" s="8" t="s">
        <v>4719</v>
      </c>
      <c r="E426" s="6" t="s">
        <v>13</v>
      </c>
      <c r="F426" s="12" t="str">
        <f>IFERROR(__xludf.DUMMYFUNCTION("GOOGLETRANSLATE(B426,""zh_cn"",""vi"")"),"ho")</f>
        <v>ho</v>
      </c>
      <c r="G426" s="20" t="s">
        <v>4720</v>
      </c>
      <c r="I426" s="11" t="b">
        <f t="shared" si="2"/>
        <v>0</v>
      </c>
      <c r="J426" s="24"/>
      <c r="K426" s="11" t="b">
        <f t="shared" si="3"/>
        <v>0</v>
      </c>
    </row>
    <row r="427" ht="22.5" customHeight="1">
      <c r="A427" s="12">
        <f t="shared" si="4"/>
        <v>1425</v>
      </c>
      <c r="B427" s="26" t="s">
        <v>4721</v>
      </c>
      <c r="C427" s="7" t="str">
        <f t="shared" si="1"/>
        <v>🔊</v>
      </c>
      <c r="D427" s="8" t="s">
        <v>363</v>
      </c>
      <c r="E427" s="6" t="s">
        <v>47</v>
      </c>
      <c r="F427" s="12" t="str">
        <f>IFERROR(__xludf.DUMMYFUNCTION("GOOGLETRANSLATE(B427,""zh_cn"",""vi"")"),"gram")</f>
        <v>gram</v>
      </c>
      <c r="G427" s="20" t="s">
        <v>4722</v>
      </c>
      <c r="I427" s="11" t="b">
        <f t="shared" si="2"/>
        <v>0</v>
      </c>
      <c r="J427" s="24"/>
      <c r="K427" s="11" t="b">
        <f t="shared" si="3"/>
        <v>0</v>
      </c>
    </row>
    <row r="428" ht="22.5" customHeight="1">
      <c r="A428" s="12">
        <f t="shared" si="4"/>
        <v>1426</v>
      </c>
      <c r="B428" s="26" t="s">
        <v>4723</v>
      </c>
      <c r="C428" s="7" t="str">
        <f t="shared" si="1"/>
        <v>🔊</v>
      </c>
      <c r="D428" s="8" t="s">
        <v>4724</v>
      </c>
      <c r="E428" s="6" t="s">
        <v>47</v>
      </c>
      <c r="F428" s="12" t="str">
        <f>IFERROR(__xludf.DUMMYFUNCTION("GOOGLETRANSLATE(B428,""zh_cn"",""vi"")"),"cây")</f>
        <v>cây</v>
      </c>
      <c r="G428" s="20" t="s">
        <v>4725</v>
      </c>
      <c r="I428" s="11" t="b">
        <f t="shared" si="2"/>
        <v>0</v>
      </c>
      <c r="J428" s="24"/>
      <c r="K428" s="11" t="b">
        <f t="shared" si="3"/>
        <v>0</v>
      </c>
    </row>
    <row r="429" ht="22.5" customHeight="1">
      <c r="A429" s="12">
        <f t="shared" si="4"/>
        <v>1427</v>
      </c>
      <c r="B429" s="26" t="s">
        <v>4726</v>
      </c>
      <c r="C429" s="7" t="str">
        <f t="shared" si="1"/>
        <v>🔊</v>
      </c>
      <c r="D429" s="8" t="s">
        <v>4727</v>
      </c>
      <c r="E429" s="6" t="s">
        <v>27</v>
      </c>
      <c r="F429" s="12" t="str">
        <f>IFERROR(__xludf.DUMMYFUNCTION("GOOGLETRANSLATE(B429,""zh_cn"",""vi"")"),"khóa học")</f>
        <v>khóa học</v>
      </c>
      <c r="G429" s="20" t="s">
        <v>4728</v>
      </c>
      <c r="I429" s="11" t="b">
        <f t="shared" si="2"/>
        <v>0</v>
      </c>
      <c r="J429" s="24"/>
      <c r="K429" s="11" t="b">
        <f t="shared" si="3"/>
        <v>0</v>
      </c>
    </row>
    <row r="430" ht="22.5" customHeight="1">
      <c r="A430" s="12">
        <f t="shared" si="4"/>
        <v>1428</v>
      </c>
      <c r="B430" s="26" t="s">
        <v>4729</v>
      </c>
      <c r="C430" s="7" t="str">
        <f t="shared" si="1"/>
        <v>🔊</v>
      </c>
      <c r="D430" s="8" t="s">
        <v>4730</v>
      </c>
      <c r="E430" s="6" t="s">
        <v>27</v>
      </c>
      <c r="F430" s="12" t="str">
        <f>IFERROR(__xludf.DUMMYFUNCTION("GOOGLETRANSLATE(B430,""zh_cn"",""vi"")"),"khoa học và công nghệ")</f>
        <v>khoa học và công nghệ</v>
      </c>
      <c r="G430" s="20" t="s">
        <v>4731</v>
      </c>
      <c r="I430" s="11" t="b">
        <f t="shared" si="2"/>
        <v>0</v>
      </c>
      <c r="J430" s="24"/>
      <c r="K430" s="11" t="b">
        <f t="shared" si="3"/>
        <v>0</v>
      </c>
    </row>
    <row r="431" ht="22.5" customHeight="1">
      <c r="A431" s="12">
        <f t="shared" si="4"/>
        <v>1429</v>
      </c>
      <c r="B431" s="26" t="s">
        <v>4732</v>
      </c>
      <c r="C431" s="7" t="str">
        <f t="shared" si="1"/>
        <v>🔊</v>
      </c>
      <c r="D431" s="8" t="s">
        <v>4733</v>
      </c>
      <c r="E431" s="6" t="s">
        <v>4734</v>
      </c>
      <c r="F431" s="12" t="str">
        <f>IFERROR(__xludf.DUMMYFUNCTION("GOOGLETRANSLATE(B431,""zh_cn"",""vi"")"),"khẳng định")</f>
        <v>khẳng định</v>
      </c>
      <c r="G431" s="20" t="s">
        <v>4735</v>
      </c>
      <c r="I431" s="11" t="b">
        <f t="shared" si="2"/>
        <v>0</v>
      </c>
      <c r="J431" s="24"/>
      <c r="K431" s="11" t="b">
        <f t="shared" si="3"/>
        <v>0</v>
      </c>
    </row>
    <row r="432" ht="22.5" customHeight="1">
      <c r="A432" s="12">
        <f t="shared" si="4"/>
        <v>1430</v>
      </c>
      <c r="B432" s="26" t="s">
        <v>4736</v>
      </c>
      <c r="C432" s="7" t="str">
        <f t="shared" si="1"/>
        <v>🔊</v>
      </c>
      <c r="D432" s="8" t="s">
        <v>4737</v>
      </c>
      <c r="E432" s="6" t="s">
        <v>416</v>
      </c>
      <c r="F432" s="5" t="s">
        <v>4738</v>
      </c>
      <c r="G432" s="20" t="s">
        <v>4739</v>
      </c>
      <c r="I432" s="11" t="b">
        <f t="shared" si="2"/>
        <v>0</v>
      </c>
      <c r="J432" s="24"/>
      <c r="K432" s="11" t="b">
        <f t="shared" si="3"/>
        <v>0</v>
      </c>
    </row>
    <row r="433" ht="22.5" customHeight="1">
      <c r="A433" s="12">
        <f t="shared" si="4"/>
        <v>1431</v>
      </c>
      <c r="B433" s="26" t="s">
        <v>4740</v>
      </c>
      <c r="C433" s="7" t="str">
        <f t="shared" si="1"/>
        <v>🔊</v>
      </c>
      <c r="D433" s="8" t="s">
        <v>4741</v>
      </c>
      <c r="E433" s="6" t="s">
        <v>13</v>
      </c>
      <c r="F433" s="12" t="str">
        <f>IFERROR(__xludf.DUMMYFUNCTION("GOOGLETRANSLATE(B433,""zh_cn"",""vi"")"),"ho")</f>
        <v>ho</v>
      </c>
      <c r="G433" s="20" t="s">
        <v>4742</v>
      </c>
      <c r="I433" s="11" t="b">
        <f t="shared" si="2"/>
        <v>0</v>
      </c>
      <c r="J433" s="24"/>
      <c r="K433" s="11" t="b">
        <f t="shared" si="3"/>
        <v>0</v>
      </c>
    </row>
    <row r="434" ht="22.5" customHeight="1">
      <c r="A434" s="12">
        <f t="shared" si="4"/>
        <v>1432</v>
      </c>
      <c r="B434" s="26" t="s">
        <v>4743</v>
      </c>
      <c r="C434" s="7" t="str">
        <f t="shared" si="1"/>
        <v>🔊</v>
      </c>
      <c r="D434" s="8" t="s">
        <v>4744</v>
      </c>
      <c r="E434" s="6" t="s">
        <v>27</v>
      </c>
      <c r="F434" s="12" t="str">
        <f>IFERROR(__xludf.DUMMYFUNCTION("GOOGLETRANSLATE(B434,""zh_cn"",""vi"")"),"lớp học")</f>
        <v>lớp học</v>
      </c>
      <c r="G434" s="20" t="s">
        <v>4745</v>
      </c>
      <c r="I434" s="11" t="b">
        <f t="shared" si="2"/>
        <v>0</v>
      </c>
      <c r="J434" s="24"/>
      <c r="K434" s="11" t="b">
        <f t="shared" si="3"/>
        <v>0</v>
      </c>
    </row>
    <row r="435" ht="22.5" customHeight="1">
      <c r="A435" s="12">
        <f t="shared" si="4"/>
        <v>1433</v>
      </c>
      <c r="B435" s="26" t="s">
        <v>4746</v>
      </c>
      <c r="C435" s="7" t="str">
        <f t="shared" si="1"/>
        <v>🔊</v>
      </c>
      <c r="D435" s="8" t="s">
        <v>4747</v>
      </c>
      <c r="E435" s="6" t="s">
        <v>27</v>
      </c>
      <c r="F435" s="12" t="str">
        <f>IFERROR(__xludf.DUMMYFUNCTION("GOOGLETRANSLATE(B435,""zh_cn"",""vi"")"),"phòng khách")</f>
        <v>phòng khách</v>
      </c>
      <c r="G435" s="20" t="s">
        <v>4748</v>
      </c>
      <c r="I435" s="11" t="b">
        <f t="shared" si="2"/>
        <v>0</v>
      </c>
      <c r="J435" s="24"/>
      <c r="K435" s="11" t="b">
        <f t="shared" si="3"/>
        <v>0</v>
      </c>
    </row>
    <row r="436" ht="22.5" customHeight="1">
      <c r="A436" s="12">
        <f t="shared" si="4"/>
        <v>1434</v>
      </c>
      <c r="B436" s="26" t="s">
        <v>4749</v>
      </c>
      <c r="C436" s="7" t="str">
        <f t="shared" si="1"/>
        <v>🔊</v>
      </c>
      <c r="D436" s="8" t="s">
        <v>4750</v>
      </c>
      <c r="E436" s="6" t="s">
        <v>99</v>
      </c>
      <c r="F436" s="5" t="s">
        <v>4751</v>
      </c>
      <c r="G436" s="20" t="s">
        <v>4752</v>
      </c>
      <c r="I436" s="11" t="b">
        <f t="shared" si="2"/>
        <v>0</v>
      </c>
      <c r="J436" s="24"/>
      <c r="K436" s="11" t="b">
        <f t="shared" si="3"/>
        <v>0</v>
      </c>
    </row>
    <row r="437" ht="22.5" customHeight="1">
      <c r="A437" s="12">
        <f t="shared" si="4"/>
        <v>1435</v>
      </c>
      <c r="B437" s="26" t="s">
        <v>4753</v>
      </c>
      <c r="C437" s="7" t="str">
        <f t="shared" si="1"/>
        <v>🔊</v>
      </c>
      <c r="D437" s="8" t="s">
        <v>4754</v>
      </c>
      <c r="E437" s="6" t="s">
        <v>3430</v>
      </c>
      <c r="F437" s="12" t="str">
        <f>IFERROR(__xludf.DUMMYFUNCTION("GOOGLETRANSLATE(B437,""zh_cn"",""vi"")"),"khoa học")</f>
        <v>khoa học</v>
      </c>
      <c r="G437" s="20" t="s">
        <v>4755</v>
      </c>
      <c r="I437" s="11" t="b">
        <f t="shared" si="2"/>
        <v>0</v>
      </c>
      <c r="J437" s="24"/>
      <c r="K437" s="11" t="b">
        <f t="shared" si="3"/>
        <v>0</v>
      </c>
    </row>
    <row r="438" ht="22.5" customHeight="1">
      <c r="A438" s="12">
        <f t="shared" si="4"/>
        <v>1436</v>
      </c>
      <c r="B438" s="26" t="s">
        <v>4756</v>
      </c>
      <c r="C438" s="7" t="str">
        <f t="shared" si="1"/>
        <v>🔊</v>
      </c>
      <c r="D438" s="8" t="s">
        <v>4757</v>
      </c>
      <c r="E438" s="6" t="s">
        <v>4336</v>
      </c>
      <c r="F438" s="5" t="s">
        <v>4758</v>
      </c>
      <c r="G438" s="5" t="s">
        <v>4759</v>
      </c>
      <c r="I438" s="11" t="b">
        <f>G438=B438</f>
        <v>0</v>
      </c>
      <c r="J438" s="24"/>
      <c r="K438" s="11" t="b">
        <f>J438=F439</f>
        <v>0</v>
      </c>
    </row>
    <row r="439" ht="22.5" customHeight="1">
      <c r="A439" s="12">
        <f t="shared" si="4"/>
        <v>1437</v>
      </c>
      <c r="B439" s="26" t="s">
        <v>4756</v>
      </c>
      <c r="C439" s="7" t="str">
        <f t="shared" si="1"/>
        <v>🔊</v>
      </c>
      <c r="D439" s="8" t="s">
        <v>4760</v>
      </c>
      <c r="E439" s="6" t="s">
        <v>4761</v>
      </c>
      <c r="F439" s="5" t="s">
        <v>4762</v>
      </c>
      <c r="G439" s="20" t="s">
        <v>4763</v>
      </c>
      <c r="I439" s="11" t="b">
        <f t="shared" ref="I439:I1002" si="5">H439=B439</f>
        <v>0</v>
      </c>
      <c r="J439" s="24"/>
      <c r="K439" s="11" t="str">
        <f>J439=#REF!</f>
        <v>#REF!</v>
      </c>
    </row>
    <row r="440" ht="22.5" customHeight="1">
      <c r="A440" s="12">
        <f t="shared" si="4"/>
        <v>1438</v>
      </c>
      <c r="B440" s="26" t="s">
        <v>4764</v>
      </c>
      <c r="C440" s="7" t="str">
        <f t="shared" si="1"/>
        <v>🔊</v>
      </c>
      <c r="D440" s="8" t="s">
        <v>4765</v>
      </c>
      <c r="E440" s="6" t="s">
        <v>433</v>
      </c>
      <c r="F440" s="5" t="s">
        <v>4766</v>
      </c>
      <c r="G440" s="20" t="s">
        <v>4767</v>
      </c>
      <c r="I440" s="11" t="b">
        <f t="shared" si="5"/>
        <v>0</v>
      </c>
      <c r="J440" s="24"/>
      <c r="K440" s="11" t="b">
        <f t="shared" ref="K440:K1002" si="6">J440=F440</f>
        <v>0</v>
      </c>
    </row>
    <row r="441" ht="22.5" customHeight="1">
      <c r="A441" s="12">
        <f t="shared" si="4"/>
        <v>1439</v>
      </c>
      <c r="B441" s="26" t="s">
        <v>4768</v>
      </c>
      <c r="C441" s="7" t="str">
        <f t="shared" si="1"/>
        <v>🔊</v>
      </c>
      <c r="D441" s="8" t="s">
        <v>4769</v>
      </c>
      <c r="E441" s="6" t="s">
        <v>27</v>
      </c>
      <c r="F441" s="12" t="str">
        <f>IFERROR(__xludf.DUMMYFUNCTION("GOOGLETRANSLATE(B441,""zh_cn"",""vi"")"),"Không khí")</f>
        <v>Không khí</v>
      </c>
      <c r="G441" s="20" t="s">
        <v>4770</v>
      </c>
      <c r="I441" s="11" t="b">
        <f t="shared" si="5"/>
        <v>0</v>
      </c>
      <c r="J441" s="24"/>
      <c r="K441" s="11" t="b">
        <f t="shared" si="6"/>
        <v>0</v>
      </c>
    </row>
    <row r="442" ht="22.5" customHeight="1">
      <c r="A442" s="12">
        <f t="shared" si="4"/>
        <v>1440</v>
      </c>
      <c r="B442" s="26" t="s">
        <v>4771</v>
      </c>
      <c r="C442" s="7" t="str">
        <f t="shared" si="1"/>
        <v>🔊</v>
      </c>
      <c r="D442" s="8" t="s">
        <v>4772</v>
      </c>
      <c r="E442" s="6" t="s">
        <v>27</v>
      </c>
      <c r="F442" s="5" t="s">
        <v>4773</v>
      </c>
      <c r="G442" s="20" t="s">
        <v>4774</v>
      </c>
      <c r="I442" s="11" t="b">
        <f t="shared" si="5"/>
        <v>0</v>
      </c>
      <c r="J442" s="24"/>
      <c r="K442" s="11" t="b">
        <f t="shared" si="6"/>
        <v>0</v>
      </c>
    </row>
    <row r="443" ht="22.5" customHeight="1">
      <c r="A443" s="12">
        <f t="shared" si="4"/>
        <v>1441</v>
      </c>
      <c r="B443" s="26" t="s">
        <v>4775</v>
      </c>
      <c r="C443" s="7" t="str">
        <f t="shared" si="1"/>
        <v>🔊</v>
      </c>
      <c r="D443" s="8" t="s">
        <v>4776</v>
      </c>
      <c r="E443" s="6" t="s">
        <v>99</v>
      </c>
      <c r="F443" s="12" t="str">
        <f>IFERROR(__xludf.DUMMYFUNCTION("GOOGLETRANSLATE(B443,""zh_cn"",""vi"")"),"vị đắng")</f>
        <v>vị đắng</v>
      </c>
      <c r="G443" s="20" t="s">
        <v>4777</v>
      </c>
      <c r="I443" s="11" t="b">
        <f t="shared" si="5"/>
        <v>0</v>
      </c>
      <c r="J443" s="24"/>
      <c r="K443" s="11" t="b">
        <f t="shared" si="6"/>
        <v>0</v>
      </c>
    </row>
    <row r="444" ht="22.5" customHeight="1">
      <c r="A444" s="12">
        <f t="shared" si="4"/>
        <v>1442</v>
      </c>
      <c r="B444" s="26" t="s">
        <v>4778</v>
      </c>
      <c r="C444" s="7" t="str">
        <f t="shared" si="1"/>
        <v>🔊</v>
      </c>
      <c r="D444" s="8" t="s">
        <v>4779</v>
      </c>
      <c r="E444" s="6" t="s">
        <v>27</v>
      </c>
      <c r="F444" s="12" t="str">
        <f>IFERROR(__xludf.DUMMYFUNCTION("GOOGLETRANSLATE(B444,""zh_cn"",""vi"")"),"thức ăn nhanh")</f>
        <v>thức ăn nhanh</v>
      </c>
      <c r="G444" s="20" t="s">
        <v>4780</v>
      </c>
      <c r="I444" s="11" t="b">
        <f t="shared" si="5"/>
        <v>0</v>
      </c>
      <c r="J444" s="24"/>
      <c r="K444" s="11" t="b">
        <f t="shared" si="6"/>
        <v>0</v>
      </c>
    </row>
    <row r="445" ht="22.5" customHeight="1">
      <c r="A445" s="12">
        <f t="shared" si="4"/>
        <v>1443</v>
      </c>
      <c r="B445" s="26" t="s">
        <v>4781</v>
      </c>
      <c r="C445" s="7" t="str">
        <f t="shared" si="1"/>
        <v>🔊</v>
      </c>
      <c r="D445" s="8" t="s">
        <v>4782</v>
      </c>
      <c r="E445" s="6" t="s">
        <v>27</v>
      </c>
      <c r="F445" s="12" t="str">
        <f>IFERROR(__xludf.DUMMYFUNCTION("GOOGLETRANSLATE(B445,""zh_cn"",""vi"")"),"giao hàng nhanh")</f>
        <v>giao hàng nhanh</v>
      </c>
      <c r="G445" s="20" t="s">
        <v>4783</v>
      </c>
      <c r="I445" s="11" t="b">
        <f t="shared" si="5"/>
        <v>0</v>
      </c>
      <c r="J445" s="24"/>
      <c r="K445" s="11" t="b">
        <f t="shared" si="6"/>
        <v>0</v>
      </c>
    </row>
    <row r="446" ht="22.5" customHeight="1">
      <c r="A446" s="12">
        <f t="shared" si="4"/>
        <v>1444</v>
      </c>
      <c r="B446" s="26" t="s">
        <v>4784</v>
      </c>
      <c r="C446" s="7" t="str">
        <f t="shared" si="1"/>
        <v>🔊</v>
      </c>
      <c r="D446" s="8" t="s">
        <v>4785</v>
      </c>
      <c r="E446" s="6" t="s">
        <v>99</v>
      </c>
      <c r="F446" s="5" t="s">
        <v>4786</v>
      </c>
      <c r="G446" s="20" t="s">
        <v>4787</v>
      </c>
      <c r="I446" s="11" t="b">
        <f t="shared" si="5"/>
        <v>0</v>
      </c>
      <c r="J446" s="24"/>
      <c r="K446" s="11" t="b">
        <f t="shared" si="6"/>
        <v>0</v>
      </c>
    </row>
    <row r="447" ht="22.5" customHeight="1">
      <c r="A447" s="12">
        <f t="shared" si="4"/>
        <v>1445</v>
      </c>
      <c r="B447" s="26" t="s">
        <v>4788</v>
      </c>
      <c r="C447" s="7" t="str">
        <f t="shared" si="1"/>
        <v>🔊</v>
      </c>
      <c r="D447" s="8" t="s">
        <v>4789</v>
      </c>
      <c r="E447" s="6" t="s">
        <v>1502</v>
      </c>
      <c r="F447" s="12" t="str">
        <f>IFERROR(__xludf.DUMMYFUNCTION("GOOGLETRANSLATE(B447,""zh_cn"",""vi"")"),"Buồn ngủ")</f>
        <v>Buồn ngủ</v>
      </c>
      <c r="G447" s="20" t="s">
        <v>4790</v>
      </c>
      <c r="I447" s="11" t="b">
        <f t="shared" si="5"/>
        <v>0</v>
      </c>
      <c r="J447" s="24"/>
      <c r="K447" s="11" t="b">
        <f t="shared" si="6"/>
        <v>0</v>
      </c>
    </row>
    <row r="448" ht="22.5" customHeight="1">
      <c r="A448" s="12">
        <f t="shared" si="4"/>
        <v>1446</v>
      </c>
      <c r="B448" s="26" t="s">
        <v>4791</v>
      </c>
      <c r="C448" s="7" t="str">
        <f t="shared" si="1"/>
        <v>🔊</v>
      </c>
      <c r="D448" s="8" t="s">
        <v>4792</v>
      </c>
      <c r="E448" s="6" t="s">
        <v>1164</v>
      </c>
      <c r="F448" s="12" t="str">
        <f>IFERROR(__xludf.DUMMYFUNCTION("GOOGLETRANSLATE(B448,""zh_cn"",""vi"")"),"khó khăn")</f>
        <v>khó khăn</v>
      </c>
      <c r="G448" s="20" t="s">
        <v>4793</v>
      </c>
      <c r="I448" s="11" t="b">
        <f t="shared" si="5"/>
        <v>0</v>
      </c>
      <c r="J448" s="24"/>
      <c r="K448" s="11" t="b">
        <f t="shared" si="6"/>
        <v>0</v>
      </c>
    </row>
    <row r="449" ht="22.5" customHeight="1">
      <c r="A449" s="12">
        <f t="shared" si="4"/>
        <v>1447</v>
      </c>
      <c r="B449" s="26" t="s">
        <v>4794</v>
      </c>
      <c r="C449" s="7" t="str">
        <f t="shared" si="1"/>
        <v>🔊</v>
      </c>
      <c r="D449" s="8" t="s">
        <v>4795</v>
      </c>
      <c r="E449" s="6" t="s">
        <v>99</v>
      </c>
      <c r="F449" s="12" t="str">
        <f>IFERROR(__xludf.DUMMYFUNCTION("GOOGLETRANSLATE(B449,""zh_cn"",""vi"")"),"nóng")</f>
        <v>nóng</v>
      </c>
      <c r="G449" s="20" t="s">
        <v>4796</v>
      </c>
      <c r="I449" s="11" t="b">
        <f t="shared" si="5"/>
        <v>0</v>
      </c>
      <c r="J449" s="24"/>
      <c r="K449" s="11" t="b">
        <f t="shared" si="6"/>
        <v>0</v>
      </c>
    </row>
    <row r="450" ht="22.5" customHeight="1">
      <c r="A450" s="12">
        <f t="shared" si="4"/>
        <v>1448</v>
      </c>
      <c r="B450" s="26" t="s">
        <v>4797</v>
      </c>
      <c r="C450" s="7" t="str">
        <f t="shared" si="1"/>
        <v>🔊</v>
      </c>
      <c r="D450" s="8" t="s">
        <v>4798</v>
      </c>
      <c r="E450" s="6" t="s">
        <v>13</v>
      </c>
      <c r="F450" s="5" t="s">
        <v>4799</v>
      </c>
      <c r="G450" s="20" t="s">
        <v>4800</v>
      </c>
      <c r="I450" s="11" t="b">
        <f t="shared" si="5"/>
        <v>0</v>
      </c>
      <c r="J450" s="24"/>
      <c r="K450" s="11" t="b">
        <f t="shared" si="6"/>
        <v>0</v>
      </c>
    </row>
    <row r="451" ht="22.5" customHeight="1">
      <c r="A451" s="12">
        <f t="shared" si="4"/>
        <v>1449</v>
      </c>
      <c r="B451" s="26" t="s">
        <v>4801</v>
      </c>
      <c r="C451" s="7" t="str">
        <f t="shared" si="1"/>
        <v>🔊</v>
      </c>
      <c r="D451" s="8" t="s">
        <v>4802</v>
      </c>
      <c r="E451" s="6" t="s">
        <v>13</v>
      </c>
      <c r="F451" s="12" t="str">
        <f>IFERROR(__xludf.DUMMYFUNCTION("GOOGLETRANSLATE(B451,""zh_cn"",""vi"")"),"Đã quá muộn")</f>
        <v>Đã quá muộn</v>
      </c>
      <c r="G451" s="20" t="s">
        <v>4803</v>
      </c>
      <c r="I451" s="11" t="b">
        <f t="shared" si="5"/>
        <v>0</v>
      </c>
      <c r="J451" s="24"/>
      <c r="K451" s="11" t="b">
        <f t="shared" si="6"/>
        <v>0</v>
      </c>
    </row>
    <row r="452" ht="22.5" customHeight="1">
      <c r="A452" s="12">
        <f t="shared" si="4"/>
        <v>1450</v>
      </c>
      <c r="B452" s="26" t="s">
        <v>4804</v>
      </c>
      <c r="C452" s="7" t="str">
        <f t="shared" si="1"/>
        <v>🔊</v>
      </c>
      <c r="D452" s="8" t="s">
        <v>4805</v>
      </c>
      <c r="E452" s="6" t="s">
        <v>13</v>
      </c>
      <c r="F452" s="12" t="str">
        <f>IFERROR(__xludf.DUMMYFUNCTION("GOOGLETRANSLATE(B452,""zh_cn"",""vi"")"),"Vẫn chưa quá muộn")</f>
        <v>Vẫn chưa quá muộn</v>
      </c>
      <c r="G452" s="20" t="s">
        <v>4806</v>
      </c>
      <c r="I452" s="11" t="b">
        <f t="shared" si="5"/>
        <v>0</v>
      </c>
      <c r="J452" s="24"/>
      <c r="K452" s="11" t="b">
        <f t="shared" si="6"/>
        <v>0</v>
      </c>
    </row>
    <row r="453" ht="22.5" customHeight="1">
      <c r="A453" s="12">
        <f t="shared" si="4"/>
        <v>1451</v>
      </c>
      <c r="B453" s="26" t="s">
        <v>4807</v>
      </c>
      <c r="C453" s="7" t="str">
        <f t="shared" si="1"/>
        <v>🔊</v>
      </c>
      <c r="D453" s="8" t="s">
        <v>4808</v>
      </c>
      <c r="E453" s="6" t="s">
        <v>27</v>
      </c>
      <c r="F453" s="12" t="str">
        <f>IFERROR(__xludf.DUMMYFUNCTION("GOOGLETRANSLATE(B453,""zh_cn"",""vi"")"),"Rác")</f>
        <v>Rác</v>
      </c>
      <c r="G453" s="20" t="s">
        <v>4809</v>
      </c>
      <c r="I453" s="11" t="b">
        <f t="shared" si="5"/>
        <v>0</v>
      </c>
      <c r="J453" s="24"/>
      <c r="K453" s="11" t="b">
        <f t="shared" si="6"/>
        <v>0</v>
      </c>
    </row>
    <row r="454" ht="22.5" customHeight="1">
      <c r="A454" s="12">
        <f t="shared" si="4"/>
        <v>1452</v>
      </c>
      <c r="B454" s="26" t="s">
        <v>4810</v>
      </c>
      <c r="C454" s="7" t="str">
        <f t="shared" si="1"/>
        <v>🔊</v>
      </c>
      <c r="D454" s="8" t="s">
        <v>4811</v>
      </c>
      <c r="E454" s="6" t="s">
        <v>99</v>
      </c>
      <c r="F454" s="12" t="str">
        <f>IFERROR(__xludf.DUMMYFUNCTION("GOOGLETRANSLATE(B454,""zh_cn"",""vi"")"),"lười")</f>
        <v>lười</v>
      </c>
      <c r="G454" s="20" t="s">
        <v>4812</v>
      </c>
      <c r="I454" s="11" t="b">
        <f t="shared" si="5"/>
        <v>0</v>
      </c>
      <c r="J454" s="24"/>
      <c r="K454" s="11" t="b">
        <f t="shared" si="6"/>
        <v>0</v>
      </c>
    </row>
    <row r="455" ht="22.5" customHeight="1">
      <c r="A455" s="12">
        <f t="shared" si="4"/>
        <v>1453</v>
      </c>
      <c r="B455" s="26" t="s">
        <v>4813</v>
      </c>
      <c r="C455" s="7" t="str">
        <f t="shared" si="1"/>
        <v>🔊</v>
      </c>
      <c r="D455" s="8" t="s">
        <v>4814</v>
      </c>
      <c r="E455" s="6" t="s">
        <v>13</v>
      </c>
      <c r="F455" s="5" t="s">
        <v>4815</v>
      </c>
      <c r="G455" s="20" t="s">
        <v>4816</v>
      </c>
      <c r="I455" s="11" t="b">
        <f t="shared" si="5"/>
        <v>0</v>
      </c>
      <c r="J455" s="24"/>
      <c r="K455" s="11" t="b">
        <f t="shared" si="6"/>
        <v>0</v>
      </c>
    </row>
    <row r="456" ht="22.5" customHeight="1">
      <c r="A456" s="12">
        <f t="shared" si="4"/>
        <v>1454</v>
      </c>
      <c r="B456" s="26" t="s">
        <v>4817</v>
      </c>
      <c r="C456" s="7" t="str">
        <f t="shared" si="1"/>
        <v>🔊</v>
      </c>
      <c r="D456" s="8" t="s">
        <v>4818</v>
      </c>
      <c r="E456" s="6" t="s">
        <v>99</v>
      </c>
      <c r="F456" s="12" t="str">
        <f>IFERROR(__xludf.DUMMYFUNCTION("GOOGLETRANSLATE(B456,""zh_cn"",""vi"")"),"lãng mạn")</f>
        <v>lãng mạn</v>
      </c>
      <c r="G456" s="20" t="s">
        <v>4819</v>
      </c>
      <c r="I456" s="11" t="b">
        <f t="shared" si="5"/>
        <v>0</v>
      </c>
      <c r="J456" s="24"/>
      <c r="K456" s="11" t="b">
        <f t="shared" si="6"/>
        <v>0</v>
      </c>
    </row>
    <row r="457" ht="22.5" customHeight="1">
      <c r="A457" s="12">
        <f t="shared" si="4"/>
        <v>1455</v>
      </c>
      <c r="B457" s="26" t="s">
        <v>4820</v>
      </c>
      <c r="C457" s="7" t="str">
        <f t="shared" si="1"/>
        <v>🔊</v>
      </c>
      <c r="D457" s="8" t="s">
        <v>4821</v>
      </c>
      <c r="E457" s="6" t="s">
        <v>27</v>
      </c>
      <c r="F457" s="12" t="str">
        <f>IFERROR(__xludf.DUMMYFUNCTION("GOOGLETRANSLATE(B457,""zh_cn"",""vi"")"),"con hổ")</f>
        <v>con hổ</v>
      </c>
      <c r="G457" s="20" t="s">
        <v>4822</v>
      </c>
      <c r="I457" s="11" t="b">
        <f t="shared" si="5"/>
        <v>0</v>
      </c>
      <c r="J457" s="24"/>
      <c r="K457" s="11" t="b">
        <f t="shared" si="6"/>
        <v>0</v>
      </c>
    </row>
    <row r="458" ht="22.5" customHeight="1">
      <c r="A458" s="12">
        <f t="shared" si="4"/>
        <v>1456</v>
      </c>
      <c r="B458" s="26" t="s">
        <v>4823</v>
      </c>
      <c r="C458" s="7" t="str">
        <f t="shared" si="1"/>
        <v>🔊</v>
      </c>
      <c r="D458" s="8" t="s">
        <v>4824</v>
      </c>
      <c r="E458" s="6" t="s">
        <v>27</v>
      </c>
      <c r="F458" s="12" t="str">
        <f>IFERROR(__xludf.DUMMYFUNCTION("GOOGLETRANSLATE(B458,""zh_cn"",""vi"")"),"quê hương")</f>
        <v>quê hương</v>
      </c>
      <c r="G458" s="20" t="s">
        <v>4825</v>
      </c>
      <c r="I458" s="11" t="b">
        <f t="shared" si="5"/>
        <v>0</v>
      </c>
      <c r="J458" s="24"/>
      <c r="K458" s="11" t="b">
        <f t="shared" si="6"/>
        <v>0</v>
      </c>
    </row>
    <row r="459" ht="22.5" customHeight="1">
      <c r="A459" s="12">
        <f t="shared" si="4"/>
        <v>1457</v>
      </c>
      <c r="B459" s="26" t="s">
        <v>4826</v>
      </c>
      <c r="C459" s="7" t="str">
        <f t="shared" si="1"/>
        <v>🔊</v>
      </c>
      <c r="D459" s="8" t="s">
        <v>4827</v>
      </c>
      <c r="E459" s="6" t="s">
        <v>27</v>
      </c>
      <c r="F459" s="12" t="str">
        <f>IFERROR(__xludf.DUMMYFUNCTION("GOOGLETRANSLATE(B459,""zh_cn"",""vi"")"),"người già")</f>
        <v>người già</v>
      </c>
      <c r="G459" s="20" t="s">
        <v>4828</v>
      </c>
      <c r="I459" s="11" t="b">
        <f t="shared" si="5"/>
        <v>0</v>
      </c>
      <c r="J459" s="24"/>
      <c r="K459" s="11" t="b">
        <f t="shared" si="6"/>
        <v>0</v>
      </c>
    </row>
    <row r="460" ht="22.5" customHeight="1">
      <c r="A460" s="12">
        <f t="shared" si="4"/>
        <v>1458</v>
      </c>
      <c r="B460" s="26" t="s">
        <v>4829</v>
      </c>
      <c r="C460" s="7" t="str">
        <f t="shared" si="1"/>
        <v>🔊</v>
      </c>
      <c r="D460" s="8" t="s">
        <v>4830</v>
      </c>
      <c r="E460" s="6" t="s">
        <v>61</v>
      </c>
      <c r="F460" s="12" t="str">
        <f>IFERROR(__xludf.DUMMYFUNCTION("GOOGLETRANSLATE(B460,""zh_cn"",""vi"")"),"luôn luôn")</f>
        <v>luôn luôn</v>
      </c>
      <c r="G460" s="20" t="s">
        <v>4831</v>
      </c>
      <c r="I460" s="11" t="b">
        <f t="shared" si="5"/>
        <v>0</v>
      </c>
      <c r="J460" s="24"/>
      <c r="K460" s="11" t="b">
        <f t="shared" si="6"/>
        <v>0</v>
      </c>
    </row>
    <row r="461" ht="22.5" customHeight="1">
      <c r="A461" s="12">
        <f t="shared" si="4"/>
        <v>1459</v>
      </c>
      <c r="B461" s="26" t="s">
        <v>4832</v>
      </c>
      <c r="C461" s="7" t="str">
        <f t="shared" si="1"/>
        <v>🔊</v>
      </c>
      <c r="D461" s="8" t="s">
        <v>4833</v>
      </c>
      <c r="E461" s="6" t="s">
        <v>99</v>
      </c>
      <c r="F461" s="12" t="str">
        <f>IFERROR(__xludf.DUMMYFUNCTION("GOOGLETRANSLATE(B461,""zh_cn"",""vi"")"),"điềm tĩnh")</f>
        <v>điềm tĩnh</v>
      </c>
      <c r="G461" s="20" t="s">
        <v>4834</v>
      </c>
      <c r="I461" s="11" t="b">
        <f t="shared" si="5"/>
        <v>0</v>
      </c>
      <c r="J461" s="24"/>
      <c r="K461" s="11" t="b">
        <f t="shared" si="6"/>
        <v>0</v>
      </c>
    </row>
    <row r="462" ht="22.5" customHeight="1">
      <c r="A462" s="12">
        <f t="shared" si="4"/>
        <v>1460</v>
      </c>
      <c r="B462" s="26" t="s">
        <v>4835</v>
      </c>
      <c r="C462" s="7" t="str">
        <f t="shared" si="1"/>
        <v>🔊</v>
      </c>
      <c r="D462" s="8" t="s">
        <v>4836</v>
      </c>
      <c r="E462" s="6" t="s">
        <v>874</v>
      </c>
      <c r="F462" s="12" t="str">
        <f>IFERROR(__xludf.DUMMYFUNCTION("GOOGLETRANSLATE(B462,""zh_cn"",""vi"")"),"cả hai")</f>
        <v>cả hai</v>
      </c>
      <c r="G462" s="20" t="s">
        <v>4837</v>
      </c>
      <c r="I462" s="11" t="b">
        <f t="shared" si="5"/>
        <v>0</v>
      </c>
      <c r="J462" s="24"/>
      <c r="K462" s="11" t="b">
        <f t="shared" si="6"/>
        <v>0</v>
      </c>
    </row>
    <row r="463" ht="22.5" customHeight="1">
      <c r="A463" s="12">
        <f t="shared" si="4"/>
        <v>1461</v>
      </c>
      <c r="B463" s="26" t="s">
        <v>1132</v>
      </c>
      <c r="C463" s="7" t="str">
        <f t="shared" si="1"/>
        <v>🔊</v>
      </c>
      <c r="D463" s="8" t="s">
        <v>4838</v>
      </c>
      <c r="E463" s="6" t="s">
        <v>4839</v>
      </c>
      <c r="F463" s="5" t="s">
        <v>4840</v>
      </c>
      <c r="G463" s="20" t="s">
        <v>4841</v>
      </c>
      <c r="I463" s="11" t="b">
        <f t="shared" si="5"/>
        <v>0</v>
      </c>
      <c r="J463" s="24"/>
      <c r="K463" s="11" t="b">
        <f t="shared" si="6"/>
        <v>0</v>
      </c>
    </row>
    <row r="464" ht="22.5" customHeight="1">
      <c r="A464" s="12">
        <f t="shared" si="4"/>
        <v>1462</v>
      </c>
      <c r="B464" s="26" t="s">
        <v>4842</v>
      </c>
      <c r="C464" s="7" t="str">
        <f t="shared" si="1"/>
        <v>🔊</v>
      </c>
      <c r="D464" s="8" t="s">
        <v>4843</v>
      </c>
      <c r="E464" s="6" t="s">
        <v>99</v>
      </c>
      <c r="F464" s="5" t="s">
        <v>4844</v>
      </c>
      <c r="G464" s="20" t="s">
        <v>4845</v>
      </c>
      <c r="I464" s="11" t="b">
        <f t="shared" si="5"/>
        <v>0</v>
      </c>
      <c r="J464" s="24"/>
      <c r="K464" s="11" t="b">
        <f t="shared" si="6"/>
        <v>0</v>
      </c>
    </row>
    <row r="465" ht="22.5" customHeight="1">
      <c r="A465" s="12">
        <f t="shared" si="4"/>
        <v>1463</v>
      </c>
      <c r="B465" s="26" t="s">
        <v>47</v>
      </c>
      <c r="C465" s="7" t="str">
        <f t="shared" si="1"/>
        <v>🔊</v>
      </c>
      <c r="D465" s="8" t="s">
        <v>4843</v>
      </c>
      <c r="E465" s="6" t="s">
        <v>13</v>
      </c>
      <c r="F465" s="5" t="s">
        <v>4846</v>
      </c>
      <c r="G465" s="20" t="s">
        <v>4847</v>
      </c>
      <c r="I465" s="11" t="b">
        <f t="shared" si="5"/>
        <v>0</v>
      </c>
      <c r="J465" s="24"/>
      <c r="K465" s="11" t="b">
        <f t="shared" si="6"/>
        <v>0</v>
      </c>
    </row>
    <row r="466" ht="22.5" customHeight="1">
      <c r="A466" s="12">
        <f t="shared" si="4"/>
        <v>1464</v>
      </c>
      <c r="B466" s="26" t="s">
        <v>4848</v>
      </c>
      <c r="C466" s="7" t="str">
        <f t="shared" si="1"/>
        <v>🔊</v>
      </c>
      <c r="D466" s="8" t="s">
        <v>2518</v>
      </c>
      <c r="E466" s="6" t="s">
        <v>416</v>
      </c>
      <c r="F466" s="12" t="str">
        <f>IFERROR(__xludf.DUMMYFUNCTION("GOOGLETRANSLATE(B466,""zh_cn"",""vi"")"),"Sáng")</f>
        <v>Sáng</v>
      </c>
      <c r="G466" s="20" t="s">
        <v>4849</v>
      </c>
      <c r="I466" s="11" t="b">
        <f t="shared" si="5"/>
        <v>0</v>
      </c>
      <c r="J466" s="24"/>
      <c r="K466" s="11" t="b">
        <f t="shared" si="6"/>
        <v>0</v>
      </c>
    </row>
    <row r="467" ht="22.5" customHeight="1">
      <c r="A467" s="12">
        <f t="shared" si="4"/>
        <v>1465</v>
      </c>
      <c r="B467" s="26" t="s">
        <v>392</v>
      </c>
      <c r="C467" s="7" t="str">
        <f t="shared" si="1"/>
        <v>🔊</v>
      </c>
      <c r="D467" s="8" t="s">
        <v>393</v>
      </c>
      <c r="E467" s="6" t="s">
        <v>47</v>
      </c>
      <c r="F467" s="12" t="str">
        <f>IFERROR(__xludf.DUMMYFUNCTION("GOOGLETRANSLATE(B467,""zh_cn"",""vi"")"),"hai")</f>
        <v>hai</v>
      </c>
      <c r="G467" s="20" t="s">
        <v>4850</v>
      </c>
      <c r="I467" s="11" t="b">
        <f t="shared" si="5"/>
        <v>0</v>
      </c>
      <c r="J467" s="24"/>
      <c r="K467" s="11" t="b">
        <f t="shared" si="6"/>
        <v>0</v>
      </c>
    </row>
    <row r="468" ht="22.5" customHeight="1">
      <c r="A468" s="12">
        <f t="shared" si="4"/>
        <v>1466</v>
      </c>
      <c r="B468" s="26" t="s">
        <v>4851</v>
      </c>
      <c r="C468" s="7" t="str">
        <f t="shared" si="1"/>
        <v>🔊</v>
      </c>
      <c r="D468" s="8" t="s">
        <v>4852</v>
      </c>
      <c r="E468" s="6" t="s">
        <v>13</v>
      </c>
      <c r="F468" s="5" t="s">
        <v>4853</v>
      </c>
      <c r="G468" s="20" t="s">
        <v>4854</v>
      </c>
      <c r="I468" s="11" t="b">
        <f t="shared" si="5"/>
        <v>0</v>
      </c>
      <c r="J468" s="24"/>
      <c r="K468" s="11" t="b">
        <f t="shared" si="6"/>
        <v>0</v>
      </c>
    </row>
    <row r="469" ht="22.5" customHeight="1">
      <c r="A469" s="12">
        <f t="shared" si="4"/>
        <v>1467</v>
      </c>
      <c r="B469" s="26" t="s">
        <v>4855</v>
      </c>
      <c r="C469" s="7" t="str">
        <f t="shared" si="1"/>
        <v>🔊</v>
      </c>
      <c r="D469" s="8" t="s">
        <v>4856</v>
      </c>
      <c r="E469" s="6" t="s">
        <v>3215</v>
      </c>
      <c r="F469" s="5" t="s">
        <v>4857</v>
      </c>
      <c r="G469" s="20" t="s">
        <v>4858</v>
      </c>
      <c r="I469" s="11" t="b">
        <f t="shared" si="5"/>
        <v>0</v>
      </c>
      <c r="J469" s="24"/>
      <c r="K469" s="11" t="b">
        <f t="shared" si="6"/>
        <v>0</v>
      </c>
    </row>
    <row r="470" ht="22.5" customHeight="1">
      <c r="A470" s="12">
        <f t="shared" si="4"/>
        <v>1468</v>
      </c>
      <c r="B470" s="26" t="s">
        <v>4859</v>
      </c>
      <c r="C470" s="7" t="str">
        <f t="shared" si="1"/>
        <v>🔊</v>
      </c>
      <c r="D470" s="8" t="s">
        <v>4860</v>
      </c>
      <c r="E470" s="6" t="s">
        <v>13</v>
      </c>
      <c r="F470" s="12" t="str">
        <f>IFERROR(__xludf.DUMMYFUNCTION("GOOGLETRANSLATE(B470,""zh_cn"",""vi"")"),"Cắt tóc")</f>
        <v>Cắt tóc</v>
      </c>
      <c r="G470" s="20" t="s">
        <v>4861</v>
      </c>
      <c r="I470" s="11" t="b">
        <f t="shared" si="5"/>
        <v>0</v>
      </c>
      <c r="J470" s="24"/>
      <c r="K470" s="11" t="b">
        <f t="shared" si="6"/>
        <v>0</v>
      </c>
    </row>
    <row r="471" ht="22.5" customHeight="1">
      <c r="A471" s="12">
        <f t="shared" si="4"/>
        <v>1469</v>
      </c>
      <c r="B471" s="26" t="s">
        <v>4862</v>
      </c>
      <c r="C471" s="7" t="str">
        <f t="shared" si="1"/>
        <v>🔊</v>
      </c>
      <c r="D471" s="8" t="s">
        <v>4863</v>
      </c>
      <c r="E471" s="6" t="s">
        <v>99</v>
      </c>
      <c r="F471" s="5" t="s">
        <v>4864</v>
      </c>
      <c r="G471" s="20" t="s">
        <v>4865</v>
      </c>
      <c r="I471" s="11" t="b">
        <f t="shared" si="5"/>
        <v>0</v>
      </c>
      <c r="J471" s="24"/>
      <c r="K471" s="11" t="b">
        <f t="shared" si="6"/>
        <v>0</v>
      </c>
    </row>
    <row r="472" ht="22.5" customHeight="1">
      <c r="A472" s="12">
        <f t="shared" si="4"/>
        <v>1470</v>
      </c>
      <c r="B472" s="26" t="s">
        <v>4866</v>
      </c>
      <c r="C472" s="7" t="str">
        <f t="shared" si="1"/>
        <v>🔊</v>
      </c>
      <c r="D472" s="8" t="s">
        <v>4867</v>
      </c>
      <c r="E472" s="6" t="s">
        <v>13</v>
      </c>
      <c r="F472" s="12" t="str">
        <f>IFERROR(__xludf.DUMMYFUNCTION("GOOGLETRANSLATE(B472,""zh_cn"",""vi"")"),"hiểu ")</f>
        <v>hiểu </v>
      </c>
      <c r="G472" s="20" t="s">
        <v>4868</v>
      </c>
      <c r="I472" s="11" t="b">
        <f t="shared" si="5"/>
        <v>0</v>
      </c>
      <c r="J472" s="24"/>
      <c r="K472" s="11" t="b">
        <f t="shared" si="6"/>
        <v>0</v>
      </c>
    </row>
    <row r="473" ht="22.5" customHeight="1">
      <c r="A473" s="12">
        <f t="shared" si="4"/>
        <v>1471</v>
      </c>
      <c r="B473" s="26" t="s">
        <v>4869</v>
      </c>
      <c r="C473" s="7" t="str">
        <f t="shared" si="1"/>
        <v>🔊</v>
      </c>
      <c r="D473" s="8" t="s">
        <v>4870</v>
      </c>
      <c r="E473" s="6" t="s">
        <v>3430</v>
      </c>
      <c r="F473" s="12" t="str">
        <f>IFERROR(__xludf.DUMMYFUNCTION("GOOGLETRANSLATE(B473,""zh_cn"",""vi"")"),"lịch sự")</f>
        <v>lịch sự</v>
      </c>
      <c r="G473" s="20" t="s">
        <v>4871</v>
      </c>
      <c r="I473" s="11" t="b">
        <f t="shared" si="5"/>
        <v>0</v>
      </c>
      <c r="J473" s="24"/>
      <c r="K473" s="11" t="b">
        <f t="shared" si="6"/>
        <v>0</v>
      </c>
    </row>
    <row r="474" ht="22.5" customHeight="1">
      <c r="A474" s="12">
        <f t="shared" si="4"/>
        <v>1472</v>
      </c>
      <c r="B474" s="26" t="s">
        <v>4872</v>
      </c>
      <c r="C474" s="7" t="str">
        <f t="shared" si="1"/>
        <v>🔊</v>
      </c>
      <c r="D474" s="8" t="s">
        <v>4873</v>
      </c>
      <c r="E474" s="6" t="s">
        <v>906</v>
      </c>
      <c r="F474" s="12" t="str">
        <f>IFERROR(__xludf.DUMMYFUNCTION("GOOGLETRANSLATE(B474,""zh_cn"",""vi"")"),"Khác")</f>
        <v>Khác</v>
      </c>
      <c r="G474" s="20" t="s">
        <v>4874</v>
      </c>
      <c r="I474" s="11" t="b">
        <f t="shared" si="5"/>
        <v>0</v>
      </c>
      <c r="J474" s="24"/>
      <c r="K474" s="11" t="b">
        <f t="shared" si="6"/>
        <v>0</v>
      </c>
    </row>
    <row r="475" ht="22.5" customHeight="1">
      <c r="A475" s="12">
        <f t="shared" si="4"/>
        <v>1473</v>
      </c>
      <c r="B475" s="26" t="s">
        <v>4875</v>
      </c>
      <c r="C475" s="7" t="str">
        <f t="shared" si="1"/>
        <v>🔊</v>
      </c>
      <c r="D475" s="8" t="s">
        <v>4876</v>
      </c>
      <c r="E475" s="14"/>
      <c r="F475" s="12" t="str">
        <f>IFERROR(__xludf.DUMMYFUNCTION("GOOGLETRANSLATE(B475,""zh_cn"",""vi"")"),"dưới không")</f>
        <v>dưới không</v>
      </c>
      <c r="G475" s="20" t="s">
        <v>4877</v>
      </c>
      <c r="I475" s="11" t="b">
        <f t="shared" si="5"/>
        <v>0</v>
      </c>
      <c r="J475" s="24"/>
      <c r="K475" s="11" t="b">
        <f t="shared" si="6"/>
        <v>0</v>
      </c>
    </row>
    <row r="476" ht="22.5" customHeight="1">
      <c r="A476" s="12">
        <f t="shared" si="4"/>
        <v>1474</v>
      </c>
      <c r="B476" s="26" t="s">
        <v>4878</v>
      </c>
      <c r="C476" s="7" t="str">
        <f t="shared" si="1"/>
        <v>🔊</v>
      </c>
      <c r="D476" s="8" t="s">
        <v>4879</v>
      </c>
      <c r="E476" s="6" t="s">
        <v>27</v>
      </c>
      <c r="F476" s="12" t="str">
        <f>IFERROR(__xludf.DUMMYFUNCTION("GOOGLETRANSLATE(B476,""zh_cn"",""vi"")"),"Tiền tiêu vặt")</f>
        <v>Tiền tiêu vặt</v>
      </c>
      <c r="G476" s="20" t="s">
        <v>4880</v>
      </c>
      <c r="I476" s="11" t="b">
        <f t="shared" si="5"/>
        <v>0</v>
      </c>
      <c r="J476" s="24"/>
      <c r="K476" s="11" t="b">
        <f t="shared" si="6"/>
        <v>0</v>
      </c>
    </row>
    <row r="477" ht="22.5" customHeight="1">
      <c r="A477" s="12">
        <f t="shared" si="4"/>
        <v>1475</v>
      </c>
      <c r="B477" s="26" t="s">
        <v>4881</v>
      </c>
      <c r="C477" s="7" t="str">
        <f t="shared" si="1"/>
        <v>🔊</v>
      </c>
      <c r="D477" s="8" t="s">
        <v>4882</v>
      </c>
      <c r="E477" s="6" t="s">
        <v>27</v>
      </c>
      <c r="F477" s="12" t="str">
        <f>IFERROR(__xludf.DUMMYFUNCTION("GOOGLETRANSLATE(B477,""zh_cn"",""vi"")"),"tiền lẻ")</f>
        <v>tiền lẻ</v>
      </c>
      <c r="G477" s="20" t="s">
        <v>4883</v>
      </c>
      <c r="I477" s="11" t="b">
        <f t="shared" si="5"/>
        <v>0</v>
      </c>
      <c r="J477" s="24"/>
      <c r="K477" s="11" t="b">
        <f t="shared" si="6"/>
        <v>0</v>
      </c>
    </row>
    <row r="478" ht="22.5" customHeight="1">
      <c r="A478" s="12">
        <f t="shared" si="4"/>
        <v>1476</v>
      </c>
      <c r="B478" s="26" t="s">
        <v>4884</v>
      </c>
      <c r="C478" s="7" t="str">
        <f t="shared" si="1"/>
        <v>🔊</v>
      </c>
      <c r="D478" s="8" t="s">
        <v>4885</v>
      </c>
      <c r="E478" s="6" t="s">
        <v>27</v>
      </c>
      <c r="F478" s="12" t="str">
        <f>IFERROR(__xludf.DUMMYFUNCTION("GOOGLETRANSLATE(B478,""zh_cn"",""vi"")"),"đồ ăn vặt")</f>
        <v>đồ ăn vặt</v>
      </c>
      <c r="G478" s="20" t="s">
        <v>4886</v>
      </c>
      <c r="I478" s="11" t="b">
        <f t="shared" si="5"/>
        <v>0</v>
      </c>
      <c r="J478" s="24"/>
      <c r="K478" s="11" t="b">
        <f t="shared" si="6"/>
        <v>0</v>
      </c>
    </row>
    <row r="479" ht="22.5" customHeight="1">
      <c r="A479" s="12">
        <f t="shared" si="4"/>
        <v>1477</v>
      </c>
      <c r="B479" s="26" t="s">
        <v>4887</v>
      </c>
      <c r="C479" s="7" t="str">
        <f t="shared" si="1"/>
        <v>🔊</v>
      </c>
      <c r="D479" s="8" t="s">
        <v>4888</v>
      </c>
      <c r="E479" s="6" t="s">
        <v>4889</v>
      </c>
      <c r="F479" s="12" t="str">
        <f>IFERROR(__xludf.DUMMYFUNCTION("GOOGLETRANSLATE(B479,""zh_cn"",""vi"")"),"Ngoài ra")</f>
        <v>Ngoài ra</v>
      </c>
      <c r="G479" s="20" t="s">
        <v>4890</v>
      </c>
      <c r="I479" s="11" t="b">
        <f t="shared" si="5"/>
        <v>0</v>
      </c>
      <c r="J479" s="24"/>
      <c r="K479" s="11" t="b">
        <f t="shared" si="6"/>
        <v>0</v>
      </c>
    </row>
    <row r="480" ht="22.5" customHeight="1">
      <c r="A480" s="12">
        <f t="shared" si="4"/>
        <v>1478</v>
      </c>
      <c r="B480" s="26" t="s">
        <v>4891</v>
      </c>
      <c r="C480" s="7" t="str">
        <f t="shared" si="1"/>
        <v>🔊</v>
      </c>
      <c r="D480" s="8" t="s">
        <v>4892</v>
      </c>
      <c r="E480" s="6" t="s">
        <v>27</v>
      </c>
      <c r="F480" s="12" t="str">
        <f>IFERROR(__xludf.DUMMYFUNCTION("GOOGLETRANSLATE(B480,""zh_cn"",""vi"")"),"sức mạnh")</f>
        <v>sức mạnh</v>
      </c>
      <c r="G480" s="20" t="s">
        <v>4893</v>
      </c>
      <c r="I480" s="11" t="b">
        <f t="shared" si="5"/>
        <v>0</v>
      </c>
      <c r="J480" s="24"/>
      <c r="K480" s="11" t="b">
        <f t="shared" si="6"/>
        <v>0</v>
      </c>
    </row>
    <row r="481" ht="22.5" customHeight="1">
      <c r="A481" s="12">
        <f t="shared" si="4"/>
        <v>1479</v>
      </c>
      <c r="B481" s="26" t="s">
        <v>4894</v>
      </c>
      <c r="C481" s="7" t="str">
        <f t="shared" si="1"/>
        <v>🔊</v>
      </c>
      <c r="D481" s="8" t="s">
        <v>4895</v>
      </c>
      <c r="E481" s="6" t="s">
        <v>13</v>
      </c>
      <c r="F481" s="12" t="str">
        <f>IFERROR(__xludf.DUMMYFUNCTION("GOOGLETRANSLATE(B481,""zh_cn"",""vi"")"),"Ví dụ")</f>
        <v>Ví dụ</v>
      </c>
      <c r="G481" s="20" t="s">
        <v>4896</v>
      </c>
      <c r="I481" s="11" t="b">
        <f t="shared" si="5"/>
        <v>0</v>
      </c>
      <c r="J481" s="24"/>
      <c r="K481" s="11" t="b">
        <f t="shared" si="6"/>
        <v>0</v>
      </c>
    </row>
    <row r="482" ht="22.5" customHeight="1">
      <c r="A482" s="12">
        <f t="shared" si="4"/>
        <v>1480</v>
      </c>
      <c r="B482" s="26" t="s">
        <v>4897</v>
      </c>
      <c r="C482" s="7" t="str">
        <f t="shared" si="1"/>
        <v>🔊</v>
      </c>
      <c r="D482" s="8" t="s">
        <v>4898</v>
      </c>
      <c r="E482" s="6" t="s">
        <v>13</v>
      </c>
      <c r="F482" s="12" t="str">
        <f>IFERROR(__xludf.DUMMYFUNCTION("GOOGLETRANSLATE(B482,""zh_cn"",""vi"")"),"Giữ")</f>
        <v>Giữ</v>
      </c>
      <c r="G482" s="20" t="s">
        <v>4899</v>
      </c>
      <c r="I482" s="11" t="b">
        <f t="shared" si="5"/>
        <v>0</v>
      </c>
      <c r="J482" s="24"/>
      <c r="K482" s="11" t="b">
        <f t="shared" si="6"/>
        <v>0</v>
      </c>
    </row>
    <row r="483" ht="22.5" customHeight="1">
      <c r="A483" s="12">
        <f t="shared" si="4"/>
        <v>1481</v>
      </c>
      <c r="B483" s="26" t="s">
        <v>4900</v>
      </c>
      <c r="C483" s="7" t="str">
        <f t="shared" si="1"/>
        <v>🔊</v>
      </c>
      <c r="D483" s="8" t="s">
        <v>4898</v>
      </c>
      <c r="E483" s="6" t="s">
        <v>13</v>
      </c>
      <c r="F483" s="12" t="str">
        <f>IFERROR(__xludf.DUMMYFUNCTION("GOOGLETRANSLATE(B483,""zh_cn"",""vi"")"),"chảy")</f>
        <v>chảy</v>
      </c>
      <c r="G483" s="20" t="s">
        <v>4901</v>
      </c>
      <c r="I483" s="11" t="b">
        <f t="shared" si="5"/>
        <v>0</v>
      </c>
      <c r="J483" s="24"/>
      <c r="K483" s="11" t="b">
        <f t="shared" si="6"/>
        <v>0</v>
      </c>
    </row>
    <row r="484" ht="22.5" customHeight="1">
      <c r="A484" s="12">
        <f t="shared" si="4"/>
        <v>1482</v>
      </c>
      <c r="B484" s="26" t="s">
        <v>4902</v>
      </c>
      <c r="C484" s="7" t="str">
        <f t="shared" si="1"/>
        <v>🔊</v>
      </c>
      <c r="D484" s="8" t="s">
        <v>4903</v>
      </c>
      <c r="E484" s="6" t="s">
        <v>99</v>
      </c>
      <c r="F484" s="12" t="str">
        <f>IFERROR(__xludf.DUMMYFUNCTION("GOOGLETRANSLATE(B484,""zh_cn"",""vi"")"),"thông thạo")</f>
        <v>thông thạo</v>
      </c>
      <c r="G484" s="20" t="s">
        <v>4904</v>
      </c>
      <c r="I484" s="11" t="b">
        <f t="shared" si="5"/>
        <v>0</v>
      </c>
      <c r="J484" s="24"/>
      <c r="K484" s="11" t="b">
        <f t="shared" si="6"/>
        <v>0</v>
      </c>
    </row>
    <row r="485" ht="22.5" customHeight="1">
      <c r="A485" s="12">
        <f t="shared" si="4"/>
        <v>1483</v>
      </c>
      <c r="B485" s="26" t="s">
        <v>4905</v>
      </c>
      <c r="C485" s="7" t="str">
        <f t="shared" si="1"/>
        <v>🔊</v>
      </c>
      <c r="D485" s="8" t="s">
        <v>4906</v>
      </c>
      <c r="E485" s="6" t="s">
        <v>13</v>
      </c>
      <c r="F485" s="5" t="s">
        <v>4907</v>
      </c>
      <c r="G485" s="20" t="s">
        <v>4908</v>
      </c>
      <c r="I485" s="11" t="b">
        <f t="shared" si="5"/>
        <v>0</v>
      </c>
      <c r="J485" s="24"/>
      <c r="K485" s="11" t="b">
        <f t="shared" si="6"/>
        <v>0</v>
      </c>
    </row>
    <row r="486" ht="22.5" customHeight="1">
      <c r="A486" s="12">
        <f t="shared" si="4"/>
        <v>1484</v>
      </c>
      <c r="B486" s="26" t="s">
        <v>4909</v>
      </c>
      <c r="C486" s="7" t="str">
        <f t="shared" si="1"/>
        <v>🔊</v>
      </c>
      <c r="D486" s="8" t="s">
        <v>4910</v>
      </c>
      <c r="E486" s="6" t="s">
        <v>13</v>
      </c>
      <c r="F486" s="12" t="str">
        <f>IFERROR(__xludf.DUMMYFUNCTION("GOOGLETRANSLATE(B486,""zh_cn"",""vi"")"),"Sự phổ biến")</f>
        <v>Sự phổ biến</v>
      </c>
      <c r="G486" s="20" t="s">
        <v>4911</v>
      </c>
      <c r="I486" s="11" t="b">
        <f t="shared" si="5"/>
        <v>0</v>
      </c>
      <c r="J486" s="24"/>
      <c r="K486" s="11" t="b">
        <f t="shared" si="6"/>
        <v>0</v>
      </c>
    </row>
    <row r="487" ht="22.5" customHeight="1">
      <c r="A487" s="12">
        <f t="shared" si="4"/>
        <v>1485</v>
      </c>
      <c r="B487" s="26" t="s">
        <v>4912</v>
      </c>
      <c r="C487" s="7" t="str">
        <f t="shared" si="1"/>
        <v>🔊</v>
      </c>
      <c r="D487" s="8" t="s">
        <v>4913</v>
      </c>
      <c r="E487" s="6" t="s">
        <v>3430</v>
      </c>
      <c r="F487" s="12" t="str">
        <f>IFERROR(__xludf.DUMMYFUNCTION("GOOGLETRANSLATE(B487,""zh_cn"",""vi"")"),"lý tưởng")</f>
        <v>lý tưởng</v>
      </c>
      <c r="G487" s="20" t="s">
        <v>4914</v>
      </c>
      <c r="I487" s="11" t="b">
        <f t="shared" si="5"/>
        <v>0</v>
      </c>
      <c r="J487" s="24"/>
      <c r="K487" s="11" t="b">
        <f t="shared" si="6"/>
        <v>0</v>
      </c>
    </row>
    <row r="488" ht="22.5" customHeight="1">
      <c r="A488" s="12">
        <f t="shared" si="4"/>
        <v>1486</v>
      </c>
      <c r="B488" s="26" t="s">
        <v>4915</v>
      </c>
      <c r="C488" s="7" t="str">
        <f t="shared" si="1"/>
        <v>🔊</v>
      </c>
      <c r="D488" s="8" t="s">
        <v>4916</v>
      </c>
      <c r="E488" s="6" t="s">
        <v>27</v>
      </c>
      <c r="F488" s="12" t="str">
        <f>IFERROR(__xludf.DUMMYFUNCTION("GOOGLETRANSLATE(B488,""zh_cn"",""vi"")"),"ví dụ")</f>
        <v>ví dụ</v>
      </c>
      <c r="G488" s="20" t="s">
        <v>4917</v>
      </c>
      <c r="I488" s="11" t="b">
        <f t="shared" si="5"/>
        <v>0</v>
      </c>
      <c r="J488" s="24"/>
      <c r="K488" s="11" t="b">
        <f t="shared" si="6"/>
        <v>0</v>
      </c>
    </row>
    <row r="489" ht="22.5" customHeight="1">
      <c r="A489" s="12">
        <f t="shared" si="4"/>
        <v>1487</v>
      </c>
      <c r="B489" s="26" t="s">
        <v>4918</v>
      </c>
      <c r="C489" s="7" t="str">
        <f t="shared" si="1"/>
        <v>🔊</v>
      </c>
      <c r="D489" s="8" t="s">
        <v>4919</v>
      </c>
      <c r="E489" s="6" t="s">
        <v>1308</v>
      </c>
      <c r="F489" s="12" t="str">
        <f>IFERROR(__xludf.DUMMYFUNCTION("GOOGLETRANSLATE(B489,""zh_cn"",""vi"")"),"sự hỗn loạn")</f>
        <v>sự hỗn loạn</v>
      </c>
      <c r="G489" s="20" t="s">
        <v>4920</v>
      </c>
      <c r="I489" s="11" t="b">
        <f t="shared" si="5"/>
        <v>0</v>
      </c>
      <c r="J489" s="24"/>
      <c r="K489" s="11" t="b">
        <f t="shared" si="6"/>
        <v>0</v>
      </c>
    </row>
    <row r="490" ht="22.5" customHeight="1">
      <c r="A490" s="12">
        <f t="shared" si="4"/>
        <v>1488</v>
      </c>
      <c r="B490" s="26" t="s">
        <v>4921</v>
      </c>
      <c r="C490" s="7" t="str">
        <f t="shared" si="1"/>
        <v>🔊</v>
      </c>
      <c r="D490" s="8" t="s">
        <v>4922</v>
      </c>
      <c r="E490" s="6" t="s">
        <v>27</v>
      </c>
      <c r="F490" s="5" t="s">
        <v>4923</v>
      </c>
      <c r="G490" s="20" t="s">
        <v>4924</v>
      </c>
      <c r="I490" s="11" t="b">
        <f t="shared" si="5"/>
        <v>0</v>
      </c>
      <c r="J490" s="24"/>
      <c r="K490" s="11" t="b">
        <f t="shared" si="6"/>
        <v>0</v>
      </c>
    </row>
    <row r="491" ht="22.5" customHeight="1">
      <c r="A491" s="12">
        <f t="shared" si="4"/>
        <v>1489</v>
      </c>
      <c r="B491" s="26" t="s">
        <v>4925</v>
      </c>
      <c r="C491" s="7" t="str">
        <f t="shared" si="1"/>
        <v>🔊</v>
      </c>
      <c r="D491" s="8" t="s">
        <v>4926</v>
      </c>
      <c r="E491" s="6" t="s">
        <v>13</v>
      </c>
      <c r="F491" s="12" t="str">
        <f>IFERROR(__xludf.DUMMYFUNCTION("GOOGLETRANSLATE(B491,""zh_cn"",""vi"")"),"Đi ngang qua")</f>
        <v>Đi ngang qua</v>
      </c>
      <c r="G491" s="20" t="s">
        <v>4927</v>
      </c>
      <c r="I491" s="11" t="b">
        <f t="shared" si="5"/>
        <v>0</v>
      </c>
      <c r="J491" s="24"/>
      <c r="K491" s="11" t="b">
        <f t="shared" si="6"/>
        <v>0</v>
      </c>
    </row>
    <row r="492" ht="22.5" customHeight="1">
      <c r="A492" s="12">
        <f t="shared" si="4"/>
        <v>1490</v>
      </c>
      <c r="B492" s="26" t="s">
        <v>4928</v>
      </c>
      <c r="C492" s="7" t="str">
        <f t="shared" si="1"/>
        <v>🔊</v>
      </c>
      <c r="D492" s="8" t="s">
        <v>4929</v>
      </c>
      <c r="E492" s="6" t="s">
        <v>27</v>
      </c>
      <c r="F492" s="12" t="str">
        <f>IFERROR(__xludf.DUMMYFUNCTION("GOOGLETRANSLATE(B492,""zh_cn"",""vi"")"),"Hành khách")</f>
        <v>Hành khách</v>
      </c>
      <c r="G492" s="20" t="s">
        <v>4930</v>
      </c>
      <c r="I492" s="11" t="b">
        <f t="shared" si="5"/>
        <v>0</v>
      </c>
      <c r="J492" s="24"/>
      <c r="K492" s="11" t="b">
        <f t="shared" si="6"/>
        <v>0</v>
      </c>
    </row>
    <row r="493" ht="22.5" customHeight="1">
      <c r="A493" s="12">
        <f t="shared" si="4"/>
        <v>1491</v>
      </c>
      <c r="B493" s="26" t="s">
        <v>4931</v>
      </c>
      <c r="C493" s="7" t="str">
        <f t="shared" si="1"/>
        <v>🔊</v>
      </c>
      <c r="D493" s="8" t="s">
        <v>4932</v>
      </c>
      <c r="E493" s="6" t="s">
        <v>13</v>
      </c>
      <c r="F493" s="5" t="s">
        <v>4933</v>
      </c>
      <c r="G493" s="20" t="s">
        <v>4934</v>
      </c>
      <c r="I493" s="11" t="b">
        <f t="shared" si="5"/>
        <v>0</v>
      </c>
      <c r="J493" s="24"/>
      <c r="K493" s="11" t="b">
        <f t="shared" si="6"/>
        <v>0</v>
      </c>
    </row>
    <row r="494" ht="22.5" customHeight="1">
      <c r="A494" s="12">
        <f t="shared" si="4"/>
        <v>1492</v>
      </c>
      <c r="B494" s="26" t="s">
        <v>4935</v>
      </c>
      <c r="C494" s="7" t="str">
        <f t="shared" si="1"/>
        <v>🔊</v>
      </c>
      <c r="D494" s="8" t="s">
        <v>4936</v>
      </c>
      <c r="E494" s="6" t="s">
        <v>27</v>
      </c>
      <c r="F494" s="12" t="str">
        <f>IFERROR(__xludf.DUMMYFUNCTION("GOOGLETRANSLATE(B494,""zh_cn"",""vi"")"),"luật sư")</f>
        <v>luật sư</v>
      </c>
      <c r="G494" s="20" t="s">
        <v>4937</v>
      </c>
      <c r="I494" s="11" t="b">
        <f t="shared" si="5"/>
        <v>0</v>
      </c>
      <c r="J494" s="24"/>
      <c r="K494" s="11" t="b">
        <f t="shared" si="6"/>
        <v>0</v>
      </c>
    </row>
    <row r="495" ht="22.5" customHeight="1">
      <c r="A495" s="12">
        <f t="shared" si="4"/>
        <v>1493</v>
      </c>
      <c r="B495" s="26" t="s">
        <v>4938</v>
      </c>
      <c r="C495" s="7" t="str">
        <f t="shared" si="1"/>
        <v>🔊</v>
      </c>
      <c r="D495" s="8" t="s">
        <v>4939</v>
      </c>
      <c r="E495" s="6" t="s">
        <v>13</v>
      </c>
      <c r="F495" s="12" t="str">
        <f>IFERROR(__xludf.DUMMYFUNCTION("GOOGLETRANSLATE(B495,""zh_cn"",""vi"")"),"du lịch")</f>
        <v>du lịch</v>
      </c>
      <c r="G495" s="20" t="s">
        <v>4940</v>
      </c>
      <c r="I495" s="11" t="b">
        <f t="shared" si="5"/>
        <v>0</v>
      </c>
      <c r="J495" s="24"/>
      <c r="K495" s="11" t="b">
        <f t="shared" si="6"/>
        <v>0</v>
      </c>
    </row>
    <row r="496" ht="22.5" customHeight="1">
      <c r="A496" s="12">
        <f t="shared" si="4"/>
        <v>1494</v>
      </c>
      <c r="B496" s="26" t="s">
        <v>4941</v>
      </c>
      <c r="C496" s="7" t="str">
        <f t="shared" si="1"/>
        <v>🔊</v>
      </c>
      <c r="D496" s="8" t="s">
        <v>4942</v>
      </c>
      <c r="E496" s="6" t="s">
        <v>4943</v>
      </c>
      <c r="F496" s="12" t="str">
        <f>IFERROR(__xludf.DUMMYFUNCTION("GOOGLETRANSLATE(B496,""zh_cn"",""vi"")"),"rắc rối")</f>
        <v>rắc rối</v>
      </c>
      <c r="G496" s="20" t="s">
        <v>4944</v>
      </c>
      <c r="I496" s="11" t="b">
        <f t="shared" si="5"/>
        <v>0</v>
      </c>
      <c r="J496" s="24"/>
      <c r="K496" s="11" t="b">
        <f t="shared" si="6"/>
        <v>0</v>
      </c>
    </row>
    <row r="497" ht="22.5" customHeight="1">
      <c r="A497" s="12">
        <f t="shared" si="4"/>
        <v>1495</v>
      </c>
      <c r="B497" s="26" t="s">
        <v>4945</v>
      </c>
      <c r="C497" s="7" t="str">
        <f t="shared" si="1"/>
        <v>🔊</v>
      </c>
      <c r="D497" s="8" t="s">
        <v>4946</v>
      </c>
      <c r="E497" s="6" t="s">
        <v>416</v>
      </c>
      <c r="F497" s="12" t="str">
        <f>IFERROR(__xludf.DUMMYFUNCTION("GOOGLETRANSLATE(B497,""zh_cn"",""vi"")"),"Đầy")</f>
        <v>Đầy</v>
      </c>
      <c r="G497" s="20" t="s">
        <v>4947</v>
      </c>
      <c r="I497" s="11" t="b">
        <f t="shared" si="5"/>
        <v>0</v>
      </c>
      <c r="J497" s="24"/>
      <c r="K497" s="11" t="b">
        <f t="shared" si="6"/>
        <v>0</v>
      </c>
    </row>
    <row r="498" ht="22.5" customHeight="1">
      <c r="A498" s="12">
        <f t="shared" si="4"/>
        <v>1496</v>
      </c>
      <c r="B498" s="26" t="s">
        <v>4948</v>
      </c>
      <c r="C498" s="7" t="str">
        <f t="shared" si="1"/>
        <v>🔊</v>
      </c>
      <c r="D498" s="8" t="s">
        <v>4949</v>
      </c>
      <c r="E498" s="6" t="s">
        <v>27</v>
      </c>
      <c r="F498" s="5" t="s">
        <v>4950</v>
      </c>
      <c r="G498" s="20" t="s">
        <v>4951</v>
      </c>
      <c r="I498" s="11" t="b">
        <f t="shared" si="5"/>
        <v>0</v>
      </c>
      <c r="J498" s="24"/>
      <c r="K498" s="11" t="b">
        <f t="shared" si="6"/>
        <v>0</v>
      </c>
    </row>
    <row r="499" ht="22.5" customHeight="1">
      <c r="A499" s="12">
        <f t="shared" si="4"/>
        <v>1497</v>
      </c>
      <c r="B499" s="26" t="s">
        <v>4952</v>
      </c>
      <c r="C499" s="7" t="str">
        <f t="shared" si="1"/>
        <v>🔊</v>
      </c>
      <c r="D499" s="8" t="s">
        <v>4953</v>
      </c>
      <c r="E499" s="6" t="s">
        <v>27</v>
      </c>
      <c r="F499" s="5" t="s">
        <v>4954</v>
      </c>
      <c r="G499" s="20" t="s">
        <v>4955</v>
      </c>
      <c r="I499" s="11" t="b">
        <f t="shared" si="5"/>
        <v>0</v>
      </c>
      <c r="J499" s="24"/>
      <c r="K499" s="11" t="b">
        <f t="shared" si="6"/>
        <v>0</v>
      </c>
    </row>
    <row r="500" ht="22.5" customHeight="1">
      <c r="A500" s="12">
        <f t="shared" si="4"/>
        <v>1498</v>
      </c>
      <c r="B500" s="26" t="s">
        <v>4956</v>
      </c>
      <c r="C500" s="7" t="str">
        <f t="shared" si="1"/>
        <v>🔊</v>
      </c>
      <c r="D500" s="8" t="s">
        <v>4957</v>
      </c>
      <c r="E500" s="6" t="s">
        <v>27</v>
      </c>
      <c r="F500" s="12" t="str">
        <f>IFERROR(__xludf.DUMMYFUNCTION("GOOGLETRANSLATE(B500,""zh_cn"",""vi"")"),"áo len")</f>
        <v>áo len</v>
      </c>
      <c r="G500" s="20" t="s">
        <v>4958</v>
      </c>
      <c r="I500" s="11" t="b">
        <f t="shared" si="5"/>
        <v>0</v>
      </c>
      <c r="J500" s="24"/>
      <c r="K500" s="11" t="b">
        <f t="shared" si="6"/>
        <v>0</v>
      </c>
    </row>
    <row r="501" ht="22.5" customHeight="1">
      <c r="A501" s="12">
        <f t="shared" si="4"/>
        <v>1499</v>
      </c>
      <c r="B501" s="26" t="s">
        <v>4959</v>
      </c>
      <c r="C501" s="7" t="str">
        <f t="shared" si="1"/>
        <v>🔊</v>
      </c>
      <c r="D501" s="8" t="s">
        <v>4960</v>
      </c>
      <c r="E501" s="6" t="s">
        <v>27</v>
      </c>
      <c r="F501" s="12" t="str">
        <f>IFERROR(__xludf.DUMMYFUNCTION("GOOGLETRANSLATE(B501,""zh_cn"",""vi"")"),"mũ")</f>
        <v>mũ</v>
      </c>
      <c r="G501" s="20" t="s">
        <v>4961</v>
      </c>
      <c r="I501" s="11" t="b">
        <f t="shared" si="5"/>
        <v>0</v>
      </c>
      <c r="J501" s="24"/>
      <c r="K501" s="11" t="b">
        <f t="shared" si="6"/>
        <v>0</v>
      </c>
    </row>
    <row r="502" ht="22.5" customHeight="1">
      <c r="A502" s="12">
        <f t="shared" si="4"/>
        <v>1500</v>
      </c>
      <c r="B502" s="26" t="s">
        <v>4962</v>
      </c>
      <c r="C502" s="7" t="str">
        <f t="shared" si="1"/>
        <v>🔊</v>
      </c>
      <c r="D502" s="8" t="s">
        <v>1357</v>
      </c>
      <c r="E502" s="6" t="s">
        <v>99</v>
      </c>
      <c r="F502" s="5" t="s">
        <v>4963</v>
      </c>
      <c r="G502" s="20" t="s">
        <v>4964</v>
      </c>
      <c r="I502" s="11" t="b">
        <f t="shared" si="5"/>
        <v>0</v>
      </c>
      <c r="J502" s="24"/>
      <c r="K502" s="11" t="b">
        <f t="shared" si="6"/>
        <v>0</v>
      </c>
    </row>
    <row r="503" ht="22.5" customHeight="1">
      <c r="A503" s="12">
        <f t="shared" si="4"/>
        <v>1501</v>
      </c>
      <c r="B503" s="26" t="s">
        <v>4965</v>
      </c>
      <c r="C503" s="7" t="str">
        <f t="shared" si="1"/>
        <v>🔊</v>
      </c>
      <c r="D503" s="8" t="s">
        <v>4966</v>
      </c>
      <c r="E503" s="6" t="s">
        <v>99</v>
      </c>
      <c r="F503" s="5" t="s">
        <v>4967</v>
      </c>
      <c r="G503" s="20" t="s">
        <v>4968</v>
      </c>
      <c r="I503" s="11" t="b">
        <f t="shared" si="5"/>
        <v>0</v>
      </c>
      <c r="J503" s="24"/>
      <c r="K503" s="11" t="b">
        <f t="shared" si="6"/>
        <v>0</v>
      </c>
    </row>
    <row r="504" ht="22.5" customHeight="1">
      <c r="A504" s="12">
        <f t="shared" si="4"/>
        <v>1502</v>
      </c>
      <c r="B504" s="26" t="s">
        <v>4969</v>
      </c>
      <c r="C504" s="7" t="str">
        <f t="shared" si="1"/>
        <v>🔊</v>
      </c>
      <c r="D504" s="8" t="s">
        <v>4970</v>
      </c>
      <c r="E504" s="6" t="s">
        <v>27</v>
      </c>
      <c r="F504" s="12" t="str">
        <f>IFERROR(__xludf.DUMMYFUNCTION("GOOGLETRANSLATE(B504,""zh_cn"",""vi"")"),"Cảnh đẹp")</f>
        <v>Cảnh đẹp</v>
      </c>
      <c r="G504" s="20" t="s">
        <v>4971</v>
      </c>
      <c r="I504" s="11" t="b">
        <f t="shared" si="5"/>
        <v>0</v>
      </c>
      <c r="J504" s="24"/>
      <c r="K504" s="11" t="b">
        <f t="shared" si="6"/>
        <v>0</v>
      </c>
    </row>
    <row r="505" ht="22.5" customHeight="1">
      <c r="A505" s="12">
        <f t="shared" si="4"/>
        <v>1503</v>
      </c>
      <c r="B505" s="26" t="s">
        <v>4972</v>
      </c>
      <c r="C505" s="7" t="str">
        <f t="shared" si="1"/>
        <v>🔊</v>
      </c>
      <c r="D505" s="8" t="s">
        <v>4973</v>
      </c>
      <c r="E505" s="6" t="s">
        <v>99</v>
      </c>
      <c r="F505" s="5" t="s">
        <v>4974</v>
      </c>
      <c r="G505" s="20" t="s">
        <v>4975</v>
      </c>
      <c r="I505" s="11" t="b">
        <f t="shared" si="5"/>
        <v>0</v>
      </c>
      <c r="J505" s="24"/>
      <c r="K505" s="11" t="b">
        <f t="shared" si="6"/>
        <v>0</v>
      </c>
    </row>
    <row r="506" ht="22.5" customHeight="1">
      <c r="A506" s="12">
        <f t="shared" si="4"/>
        <v>1504</v>
      </c>
      <c r="B506" s="26" t="s">
        <v>4976</v>
      </c>
      <c r="C506" s="7" t="str">
        <f t="shared" si="1"/>
        <v>🔊</v>
      </c>
      <c r="D506" s="8" t="s">
        <v>4977</v>
      </c>
      <c r="E506" s="6" t="s">
        <v>27</v>
      </c>
      <c r="F506" s="12" t="str">
        <f>IFERROR(__xludf.DUMMYFUNCTION("GOOGLETRANSLATE(B506,""zh_cn"",""vi"")"),"thức ăn hảo hạng")</f>
        <v>thức ăn hảo hạng</v>
      </c>
      <c r="G506" s="20" t="s">
        <v>4978</v>
      </c>
      <c r="I506" s="11" t="b">
        <f t="shared" si="5"/>
        <v>0</v>
      </c>
      <c r="J506" s="24"/>
      <c r="K506" s="11" t="b">
        <f t="shared" si="6"/>
        <v>0</v>
      </c>
    </row>
    <row r="507" ht="22.5" customHeight="1">
      <c r="A507" s="12">
        <f t="shared" si="4"/>
        <v>1505</v>
      </c>
      <c r="B507" s="26" t="s">
        <v>4979</v>
      </c>
      <c r="C507" s="7" t="str">
        <f t="shared" si="1"/>
        <v>🔊</v>
      </c>
      <c r="D507" s="8" t="s">
        <v>4980</v>
      </c>
      <c r="E507" s="6" t="s">
        <v>57</v>
      </c>
      <c r="F507" s="12" t="str">
        <f>IFERROR(__xludf.DUMMYFUNCTION("GOOGLETRANSLATE(B507,""zh_cn"",""vi"")"),"Mơ")</f>
        <v>Mơ</v>
      </c>
      <c r="G507" s="20" t="s">
        <v>4981</v>
      </c>
      <c r="I507" s="11" t="b">
        <f t="shared" si="5"/>
        <v>0</v>
      </c>
      <c r="J507" s="24"/>
      <c r="K507" s="11" t="b">
        <f t="shared" si="6"/>
        <v>0</v>
      </c>
    </row>
    <row r="508" ht="22.5" customHeight="1">
      <c r="A508" s="12">
        <f t="shared" si="4"/>
        <v>1506</v>
      </c>
      <c r="B508" s="26" t="s">
        <v>4982</v>
      </c>
      <c r="C508" s="7" t="str">
        <f t="shared" si="1"/>
        <v>🔊</v>
      </c>
      <c r="D508" s="8" t="s">
        <v>4983</v>
      </c>
      <c r="E508" s="6" t="s">
        <v>232</v>
      </c>
      <c r="F508" s="5" t="s">
        <v>4984</v>
      </c>
      <c r="G508" s="20" t="s">
        <v>4985</v>
      </c>
      <c r="I508" s="11" t="b">
        <f t="shared" si="5"/>
        <v>0</v>
      </c>
      <c r="J508" s="24"/>
      <c r="K508" s="11" t="b">
        <f t="shared" si="6"/>
        <v>0</v>
      </c>
    </row>
    <row r="509" ht="22.5" customHeight="1">
      <c r="A509" s="12">
        <f t="shared" si="4"/>
        <v>1507</v>
      </c>
      <c r="B509" s="26" t="s">
        <v>4986</v>
      </c>
      <c r="C509" s="7" t="str">
        <f t="shared" si="1"/>
        <v>🔊</v>
      </c>
      <c r="D509" s="8" t="s">
        <v>4987</v>
      </c>
      <c r="E509" s="6" t="s">
        <v>13</v>
      </c>
      <c r="F509" s="5" t="s">
        <v>4988</v>
      </c>
      <c r="G509" s="20" t="s">
        <v>4989</v>
      </c>
      <c r="I509" s="11" t="b">
        <f t="shared" si="5"/>
        <v>0</v>
      </c>
      <c r="J509" s="24"/>
      <c r="K509" s="11" t="b">
        <f t="shared" si="6"/>
        <v>0</v>
      </c>
    </row>
    <row r="510" ht="22.5" customHeight="1">
      <c r="A510" s="12">
        <f t="shared" si="4"/>
        <v>1508</v>
      </c>
      <c r="B510" s="26" t="s">
        <v>4990</v>
      </c>
      <c r="C510" s="7" t="str">
        <f t="shared" si="1"/>
        <v>🔊</v>
      </c>
      <c r="D510" s="8" t="s">
        <v>4991</v>
      </c>
      <c r="E510" s="6" t="s">
        <v>13</v>
      </c>
      <c r="F510" s="12" t="str">
        <f>IFERROR(__xludf.DUMMYFUNCTION("GOOGLETRANSLATE(B510,""zh_cn"",""vi"")"),"miễn phí")</f>
        <v>miễn phí</v>
      </c>
      <c r="G510" s="20" t="s">
        <v>4992</v>
      </c>
      <c r="I510" s="11" t="b">
        <f t="shared" si="5"/>
        <v>0</v>
      </c>
      <c r="J510" s="24"/>
      <c r="K510" s="11" t="b">
        <f t="shared" si="6"/>
        <v>0</v>
      </c>
    </row>
    <row r="511" ht="22.5" customHeight="1">
      <c r="A511" s="12">
        <f t="shared" si="4"/>
        <v>1509</v>
      </c>
      <c r="B511" s="26" t="s">
        <v>4993</v>
      </c>
      <c r="C511" s="7" t="str">
        <f t="shared" si="1"/>
        <v>🔊</v>
      </c>
      <c r="D511" s="8" t="s">
        <v>4994</v>
      </c>
      <c r="E511" s="6" t="s">
        <v>13</v>
      </c>
      <c r="F511" s="12" t="str">
        <f>IFERROR(__xludf.DUMMYFUNCTION("GOOGLETRANSLATE(B511,""zh_cn"",""vi"")"),"phỏng vấn")</f>
        <v>phỏng vấn</v>
      </c>
      <c r="G511" s="20" t="s">
        <v>4995</v>
      </c>
      <c r="I511" s="11" t="b">
        <f t="shared" si="5"/>
        <v>0</v>
      </c>
      <c r="J511" s="24"/>
      <c r="K511" s="11" t="b">
        <f t="shared" si="6"/>
        <v>0</v>
      </c>
    </row>
    <row r="512" ht="22.5" customHeight="1">
      <c r="A512" s="12">
        <f t="shared" si="4"/>
        <v>1510</v>
      </c>
      <c r="B512" s="26" t="s">
        <v>4996</v>
      </c>
      <c r="C512" s="7" t="str">
        <f t="shared" si="1"/>
        <v>🔊</v>
      </c>
      <c r="D512" s="8" t="s">
        <v>4997</v>
      </c>
      <c r="E512" s="6" t="s">
        <v>47</v>
      </c>
      <c r="F512" s="5" t="s">
        <v>4998</v>
      </c>
      <c r="G512" s="20" t="s">
        <v>4999</v>
      </c>
      <c r="I512" s="11" t="b">
        <f t="shared" si="5"/>
        <v>0</v>
      </c>
      <c r="J512" s="24"/>
      <c r="K512" s="11" t="b">
        <f t="shared" si="6"/>
        <v>0</v>
      </c>
    </row>
    <row r="513" ht="22.5" customHeight="1">
      <c r="A513" s="12">
        <f t="shared" si="4"/>
        <v>1511</v>
      </c>
      <c r="B513" s="26" t="s">
        <v>5000</v>
      </c>
      <c r="C513" s="7" t="str">
        <f t="shared" si="1"/>
        <v>🔊</v>
      </c>
      <c r="D513" s="8" t="s">
        <v>5001</v>
      </c>
      <c r="E513" s="6" t="s">
        <v>27</v>
      </c>
      <c r="F513" s="12" t="str">
        <f>IFERROR(__xludf.DUMMYFUNCTION("GOOGLETRANSLATE(B513,""zh_cn"",""vi"")"),"mật khẩu")</f>
        <v>mật khẩu</v>
      </c>
      <c r="G513" s="20" t="s">
        <v>5002</v>
      </c>
      <c r="I513" s="11" t="b">
        <f t="shared" si="5"/>
        <v>0</v>
      </c>
      <c r="J513" s="24"/>
      <c r="K513" s="11" t="b">
        <f t="shared" si="6"/>
        <v>0</v>
      </c>
    </row>
    <row r="514" ht="22.5" customHeight="1">
      <c r="A514" s="12">
        <f t="shared" si="4"/>
        <v>1512</v>
      </c>
      <c r="B514" s="26" t="s">
        <v>5003</v>
      </c>
      <c r="C514" s="7" t="str">
        <f t="shared" si="1"/>
        <v>🔊</v>
      </c>
      <c r="D514" s="8" t="s">
        <v>5004</v>
      </c>
      <c r="E514" s="6" t="s">
        <v>27</v>
      </c>
      <c r="F514" s="5" t="s">
        <v>5005</v>
      </c>
      <c r="G514" s="20" t="s">
        <v>5006</v>
      </c>
      <c r="I514" s="11" t="b">
        <f t="shared" si="5"/>
        <v>0</v>
      </c>
      <c r="J514" s="24"/>
      <c r="K514" s="11" t="b">
        <f t="shared" si="6"/>
        <v>0</v>
      </c>
    </row>
    <row r="515" ht="22.5" customHeight="1">
      <c r="A515" s="12">
        <f t="shared" si="4"/>
        <v>1513</v>
      </c>
      <c r="B515" s="26" t="s">
        <v>5007</v>
      </c>
      <c r="C515" s="7" t="str">
        <f t="shared" si="1"/>
        <v>🔊</v>
      </c>
      <c r="D515" s="8" t="s">
        <v>5008</v>
      </c>
      <c r="E515" s="6" t="s">
        <v>27</v>
      </c>
      <c r="F515" s="5" t="s">
        <v>5009</v>
      </c>
      <c r="G515" s="20" t="s">
        <v>5010</v>
      </c>
      <c r="I515" s="11" t="b">
        <f t="shared" si="5"/>
        <v>0</v>
      </c>
      <c r="J515" s="24"/>
      <c r="K515" s="11" t="b">
        <f t="shared" si="6"/>
        <v>0</v>
      </c>
    </row>
    <row r="516" ht="22.5" customHeight="1">
      <c r="A516" s="12">
        <f t="shared" si="4"/>
        <v>1514</v>
      </c>
      <c r="B516" s="26" t="s">
        <v>5011</v>
      </c>
      <c r="C516" s="7" t="str">
        <f t="shared" si="1"/>
        <v>🔊</v>
      </c>
      <c r="D516" s="8" t="s">
        <v>5012</v>
      </c>
      <c r="E516" s="6" t="s">
        <v>27</v>
      </c>
      <c r="F516" s="12" t="str">
        <f>IFERROR(__xludf.DUMMYFUNCTION("GOOGLETRANSLATE(B516,""zh_cn"",""vi"")"),"Mục tiêu")</f>
        <v>Mục tiêu</v>
      </c>
      <c r="G516" s="20" t="s">
        <v>5013</v>
      </c>
      <c r="I516" s="11" t="b">
        <f t="shared" si="5"/>
        <v>0</v>
      </c>
      <c r="J516" s="24"/>
      <c r="K516" s="11" t="b">
        <f t="shared" si="6"/>
        <v>0</v>
      </c>
    </row>
    <row r="517" ht="22.5" customHeight="1">
      <c r="A517" s="12">
        <f t="shared" si="4"/>
        <v>1515</v>
      </c>
      <c r="B517" s="26" t="s">
        <v>5014</v>
      </c>
      <c r="C517" s="7" t="str">
        <f t="shared" si="1"/>
        <v>🔊</v>
      </c>
      <c r="D517" s="8" t="s">
        <v>5015</v>
      </c>
      <c r="E517" s="6" t="s">
        <v>27</v>
      </c>
      <c r="F517" s="12" t="str">
        <f>IFERROR(__xludf.DUMMYFUNCTION("GOOGLETRANSLATE(B517,""zh_cn"",""vi"")"),"Mục đích")</f>
        <v>Mục đích</v>
      </c>
      <c r="G517" s="20" t="s">
        <v>5016</v>
      </c>
      <c r="I517" s="11" t="b">
        <f t="shared" si="5"/>
        <v>0</v>
      </c>
      <c r="J517" s="24"/>
      <c r="K517" s="11" t="b">
        <f t="shared" si="6"/>
        <v>0</v>
      </c>
    </row>
    <row r="518" ht="22.5" customHeight="1">
      <c r="A518" s="12">
        <f t="shared" si="4"/>
        <v>1516</v>
      </c>
      <c r="B518" s="26" t="s">
        <v>5017</v>
      </c>
      <c r="C518" s="7" t="str">
        <f t="shared" si="1"/>
        <v>🔊</v>
      </c>
      <c r="D518" s="8" t="s">
        <v>5018</v>
      </c>
      <c r="E518" s="6" t="s">
        <v>27</v>
      </c>
      <c r="F518" s="12" t="str">
        <f>IFERROR(__xludf.DUMMYFUNCTION("GOOGLETRANSLATE(B518,""zh_cn"",""vi"")"),"điểm đến")</f>
        <v>điểm đến</v>
      </c>
      <c r="G518" s="20" t="s">
        <v>5019</v>
      </c>
      <c r="I518" s="11" t="b">
        <f t="shared" si="5"/>
        <v>0</v>
      </c>
      <c r="J518" s="24"/>
      <c r="K518" s="11" t="b">
        <f t="shared" si="6"/>
        <v>0</v>
      </c>
    </row>
    <row r="519" ht="22.5" customHeight="1">
      <c r="A519" s="12">
        <f t="shared" si="4"/>
        <v>1517</v>
      </c>
      <c r="B519" s="26" t="s">
        <v>5020</v>
      </c>
      <c r="C519" s="7" t="str">
        <f t="shared" si="1"/>
        <v>🔊</v>
      </c>
      <c r="D519" s="8" t="s">
        <v>5021</v>
      </c>
      <c r="E519" s="6" t="s">
        <v>27</v>
      </c>
      <c r="F519" s="12" t="str">
        <f>IFERROR(__xludf.DUMMYFUNCTION("GOOGLETRANSLATE(B519,""zh_cn"",""vi"")"),"Mẹ và con gái")</f>
        <v>Mẹ và con gái</v>
      </c>
      <c r="G519" s="20" t="s">
        <v>5022</v>
      </c>
      <c r="I519" s="11" t="b">
        <f t="shared" si="5"/>
        <v>0</v>
      </c>
      <c r="J519" s="24"/>
      <c r="K519" s="11" t="b">
        <f t="shared" si="6"/>
        <v>0</v>
      </c>
    </row>
    <row r="520" ht="22.5" customHeight="1">
      <c r="A520" s="12">
        <f t="shared" si="4"/>
        <v>1518</v>
      </c>
      <c r="B520" s="26" t="s">
        <v>5023</v>
      </c>
      <c r="C520" s="7" t="str">
        <f t="shared" si="1"/>
        <v>🔊</v>
      </c>
      <c r="D520" s="8" t="s">
        <v>5024</v>
      </c>
      <c r="E520" s="6" t="s">
        <v>27</v>
      </c>
      <c r="F520" s="5" t="s">
        <v>5025</v>
      </c>
      <c r="G520" s="20" t="s">
        <v>5026</v>
      </c>
      <c r="I520" s="11" t="b">
        <f t="shared" si="5"/>
        <v>0</v>
      </c>
      <c r="J520" s="24"/>
      <c r="K520" s="11" t="b">
        <f t="shared" si="6"/>
        <v>0</v>
      </c>
    </row>
    <row r="521" ht="22.5" customHeight="1">
      <c r="A521" s="12">
        <f t="shared" si="4"/>
        <v>1519</v>
      </c>
      <c r="B521" s="26" t="s">
        <v>5027</v>
      </c>
      <c r="C521" s="7" t="str">
        <f t="shared" si="1"/>
        <v>🔊</v>
      </c>
      <c r="D521" s="8" t="s">
        <v>5028</v>
      </c>
      <c r="E521" s="6" t="s">
        <v>27</v>
      </c>
      <c r="F521" s="12" t="str">
        <f>IFERROR(__xludf.DUMMYFUNCTION("GOOGLETRANSLATE(B521,""zh_cn"",""vi"")"),"Mẹ")</f>
        <v>Mẹ</v>
      </c>
      <c r="G521" s="20" t="s">
        <v>5029</v>
      </c>
      <c r="I521" s="11" t="b">
        <f t="shared" si="5"/>
        <v>0</v>
      </c>
      <c r="J521" s="24"/>
      <c r="K521" s="11" t="b">
        <f t="shared" si="6"/>
        <v>0</v>
      </c>
    </row>
    <row r="522" ht="22.5" customHeight="1">
      <c r="A522" s="12">
        <f t="shared" si="4"/>
        <v>1520</v>
      </c>
      <c r="B522" s="26" t="s">
        <v>5030</v>
      </c>
      <c r="C522" s="7" t="str">
        <f t="shared" si="1"/>
        <v>🔊</v>
      </c>
      <c r="D522" s="8" t="s">
        <v>5031</v>
      </c>
      <c r="E522" s="6" t="s">
        <v>27</v>
      </c>
      <c r="F522" s="12" t="str">
        <f>IFERROR(__xludf.DUMMYFUNCTION("GOOGLETRANSLATE(B522,""zh_cn"",""vi"")"),"Mẹ và con")</f>
        <v>Mẹ và con</v>
      </c>
      <c r="G522" s="20" t="s">
        <v>5032</v>
      </c>
      <c r="I522" s="11" t="b">
        <f t="shared" si="5"/>
        <v>0</v>
      </c>
      <c r="J522" s="24"/>
      <c r="K522" s="11" t="b">
        <f t="shared" si="6"/>
        <v>0</v>
      </c>
    </row>
    <row r="523" ht="22.5" customHeight="1">
      <c r="A523" s="12">
        <f t="shared" si="4"/>
        <v>1521</v>
      </c>
      <c r="B523" s="26" t="s">
        <v>5033</v>
      </c>
      <c r="C523" s="7" t="str">
        <f t="shared" si="1"/>
        <v>🔊</v>
      </c>
      <c r="D523" s="8" t="s">
        <v>5034</v>
      </c>
      <c r="E523" s="6" t="s">
        <v>1164</v>
      </c>
      <c r="F523" s="12" t="str">
        <f>IFERROR(__xludf.DUMMYFUNCTION("GOOGLETRANSLATE(B523,""zh_cn"",""vi"")"),"tính kiên nhẫn")</f>
        <v>tính kiên nhẫn</v>
      </c>
      <c r="G523" s="20" t="s">
        <v>5035</v>
      </c>
      <c r="I523" s="11" t="b">
        <f t="shared" si="5"/>
        <v>0</v>
      </c>
      <c r="J523" s="24"/>
      <c r="K523" s="11" t="b">
        <f t="shared" si="6"/>
        <v>0</v>
      </c>
    </row>
    <row r="524" ht="22.5" customHeight="1">
      <c r="A524" s="12">
        <f t="shared" si="4"/>
        <v>1522</v>
      </c>
      <c r="B524" s="26" t="s">
        <v>5036</v>
      </c>
      <c r="C524" s="7" t="str">
        <f t="shared" si="1"/>
        <v>🔊</v>
      </c>
      <c r="D524" s="8" t="s">
        <v>5037</v>
      </c>
      <c r="E524" s="6" t="s">
        <v>27</v>
      </c>
      <c r="F524" s="12" t="str">
        <f>IFERROR(__xludf.DUMMYFUNCTION("GOOGLETRANSLATE(B524,""zh_cn"",""vi"")"),"Phía nam")</f>
        <v>Phía nam</v>
      </c>
      <c r="G524" s="20" t="s">
        <v>5038</v>
      </c>
      <c r="I524" s="11" t="b">
        <f t="shared" si="5"/>
        <v>0</v>
      </c>
      <c r="J524" s="24"/>
      <c r="K524" s="11" t="b">
        <f t="shared" si="6"/>
        <v>0</v>
      </c>
    </row>
    <row r="525" ht="22.5" customHeight="1">
      <c r="A525" s="12">
        <f t="shared" si="4"/>
        <v>1523</v>
      </c>
      <c r="B525" s="26" t="s">
        <v>5039</v>
      </c>
      <c r="C525" s="7" t="str">
        <f t="shared" si="1"/>
        <v>🔊</v>
      </c>
      <c r="D525" s="8" t="s">
        <v>5040</v>
      </c>
      <c r="E525" s="6" t="s">
        <v>61</v>
      </c>
      <c r="F525" s="12" t="str">
        <f>IFERROR(__xludf.DUMMYFUNCTION("GOOGLETRANSLATE(B525,""zh_cn"",""vi"")"),"Có thể nào...?")</f>
        <v>Có thể nào...?</v>
      </c>
      <c r="G525" s="20" t="s">
        <v>5041</v>
      </c>
      <c r="I525" s="11" t="b">
        <f t="shared" si="5"/>
        <v>0</v>
      </c>
      <c r="J525" s="24"/>
      <c r="K525" s="11" t="b">
        <f t="shared" si="6"/>
        <v>0</v>
      </c>
    </row>
    <row r="526" ht="22.5" customHeight="1">
      <c r="A526" s="12">
        <f t="shared" si="4"/>
        <v>1524</v>
      </c>
      <c r="B526" s="26" t="s">
        <v>5042</v>
      </c>
      <c r="C526" s="7" t="str">
        <f t="shared" si="1"/>
        <v>🔊</v>
      </c>
      <c r="D526" s="8" t="s">
        <v>5043</v>
      </c>
      <c r="E526" s="6" t="s">
        <v>27</v>
      </c>
      <c r="F526" s="5" t="s">
        <v>5044</v>
      </c>
      <c r="G526" s="20" t="s">
        <v>5045</v>
      </c>
      <c r="I526" s="11" t="b">
        <f t="shared" si="5"/>
        <v>0</v>
      </c>
      <c r="J526" s="24"/>
      <c r="K526" s="11" t="b">
        <f t="shared" si="6"/>
        <v>0</v>
      </c>
    </row>
    <row r="527" ht="22.5" customHeight="1">
      <c r="A527" s="12">
        <f t="shared" si="4"/>
        <v>1525</v>
      </c>
      <c r="B527" s="26" t="s">
        <v>5046</v>
      </c>
      <c r="C527" s="7" t="str">
        <f t="shared" si="1"/>
        <v>🔊</v>
      </c>
      <c r="D527" s="8" t="s">
        <v>5047</v>
      </c>
      <c r="E527" s="6" t="s">
        <v>99</v>
      </c>
      <c r="F527" s="12" t="str">
        <f>IFERROR(__xludf.DUMMYFUNCTION("GOOGLETRANSLATE(B527,""zh_cn"",""vi"")"),"Thật khó chịu!")</f>
        <v>Thật khó chịu!</v>
      </c>
      <c r="G527" s="20" t="s">
        <v>5048</v>
      </c>
      <c r="I527" s="11" t="b">
        <f t="shared" si="5"/>
        <v>0</v>
      </c>
      <c r="J527" s="24"/>
      <c r="K527" s="11" t="b">
        <f t="shared" si="6"/>
        <v>0</v>
      </c>
    </row>
    <row r="528" ht="22.5" customHeight="1">
      <c r="A528" s="12">
        <f t="shared" si="4"/>
        <v>1526</v>
      </c>
      <c r="B528" s="26" t="s">
        <v>5049</v>
      </c>
      <c r="C528" s="7" t="str">
        <f t="shared" si="1"/>
        <v>🔊</v>
      </c>
      <c r="D528" s="8" t="s">
        <v>5050</v>
      </c>
      <c r="E528" s="6" t="s">
        <v>13</v>
      </c>
      <c r="F528" s="12" t="str">
        <f>IFERROR(__xludf.DUMMYFUNCTION("GOOGLETRANSLATE(B528,""zh_cn"",""vi"")"),"đáng nhớ")</f>
        <v>đáng nhớ</v>
      </c>
      <c r="G528" s="20" t="s">
        <v>5051</v>
      </c>
      <c r="I528" s="11" t="b">
        <f t="shared" si="5"/>
        <v>0</v>
      </c>
      <c r="J528" s="24"/>
      <c r="K528" s="11" t="b">
        <f t="shared" si="6"/>
        <v>0</v>
      </c>
    </row>
    <row r="529" ht="22.5" customHeight="1">
      <c r="A529" s="12">
        <f t="shared" si="4"/>
        <v>1527</v>
      </c>
      <c r="B529" s="26" t="s">
        <v>5052</v>
      </c>
      <c r="C529" s="7" t="str">
        <f t="shared" si="1"/>
        <v>🔊</v>
      </c>
      <c r="D529" s="8" t="s">
        <v>5053</v>
      </c>
      <c r="E529" s="6" t="s">
        <v>27</v>
      </c>
      <c r="F529" s="12" t="str">
        <f>IFERROR(__xludf.DUMMYFUNCTION("GOOGLETRANSLATE(B529,""zh_cn"",""vi"")"),"nam giới")</f>
        <v>nam giới</v>
      </c>
      <c r="G529" s="20" t="s">
        <v>5054</v>
      </c>
      <c r="I529" s="11" t="b">
        <f t="shared" si="5"/>
        <v>0</v>
      </c>
      <c r="J529" s="24"/>
      <c r="K529" s="11" t="b">
        <f t="shared" si="6"/>
        <v>0</v>
      </c>
    </row>
    <row r="530" ht="22.5" customHeight="1">
      <c r="A530" s="12">
        <f t="shared" si="4"/>
        <v>1528</v>
      </c>
      <c r="B530" s="26" t="s">
        <v>5055</v>
      </c>
      <c r="C530" s="7" t="str">
        <f t="shared" si="1"/>
        <v>🔊</v>
      </c>
      <c r="D530" s="8" t="s">
        <v>5056</v>
      </c>
      <c r="E530" s="6" t="s">
        <v>27</v>
      </c>
      <c r="F530" s="12" t="str">
        <f>IFERROR(__xludf.DUMMYFUNCTION("GOOGLETRANSLATE(B530,""zh_cn"",""vi"")"),"Bên trong")</f>
        <v>Bên trong</v>
      </c>
      <c r="G530" s="20" t="s">
        <v>5057</v>
      </c>
      <c r="I530" s="11" t="b">
        <f t="shared" si="5"/>
        <v>0</v>
      </c>
      <c r="J530" s="24"/>
      <c r="K530" s="11" t="b">
        <f t="shared" si="6"/>
        <v>0</v>
      </c>
    </row>
    <row r="531" ht="22.5" customHeight="1">
      <c r="A531" s="12">
        <f t="shared" si="4"/>
        <v>1529</v>
      </c>
      <c r="B531" s="26" t="s">
        <v>5058</v>
      </c>
      <c r="C531" s="7" t="str">
        <f t="shared" si="1"/>
        <v>🔊</v>
      </c>
      <c r="D531" s="8" t="s">
        <v>5059</v>
      </c>
      <c r="E531" s="6" t="s">
        <v>27</v>
      </c>
      <c r="F531" s="12" t="str">
        <f>IFERROR(__xludf.DUMMYFUNCTION("GOOGLETRANSLATE(B531,""zh_cn"",""vi"")"),"nội dung")</f>
        <v>nội dung</v>
      </c>
      <c r="G531" s="20" t="s">
        <v>5060</v>
      </c>
      <c r="I531" s="11" t="b">
        <f t="shared" si="5"/>
        <v>0</v>
      </c>
      <c r="J531" s="24"/>
      <c r="K531" s="11" t="b">
        <f t="shared" si="6"/>
        <v>0</v>
      </c>
    </row>
    <row r="532" ht="22.5" customHeight="1">
      <c r="A532" s="12">
        <f t="shared" si="4"/>
        <v>1530</v>
      </c>
      <c r="B532" s="26" t="s">
        <v>5061</v>
      </c>
      <c r="C532" s="7" t="str">
        <f t="shared" si="1"/>
        <v>🔊</v>
      </c>
      <c r="D532" s="8" t="s">
        <v>5062</v>
      </c>
      <c r="E532" s="6" t="s">
        <v>27</v>
      </c>
      <c r="F532" s="5" t="s">
        <v>5063</v>
      </c>
      <c r="G532" s="20" t="s">
        <v>5064</v>
      </c>
      <c r="I532" s="11" t="b">
        <f t="shared" si="5"/>
        <v>0</v>
      </c>
      <c r="J532" s="24"/>
      <c r="K532" s="11" t="b">
        <f t="shared" si="6"/>
        <v>0</v>
      </c>
    </row>
    <row r="533" ht="22.5" customHeight="1">
      <c r="A533" s="12">
        <f t="shared" si="4"/>
        <v>1531</v>
      </c>
      <c r="B533" s="26" t="s">
        <v>5065</v>
      </c>
      <c r="C533" s="7" t="str">
        <f t="shared" si="1"/>
        <v>🔊</v>
      </c>
      <c r="D533" s="8" t="s">
        <v>5066</v>
      </c>
      <c r="E533" s="14"/>
      <c r="F533" s="12" t="str">
        <f>IFERROR(__xludf.DUMMYFUNCTION("GOOGLETRANSLATE(B533,""zh_cn"",""vi"")"),"Có thể")</f>
        <v>Có thể</v>
      </c>
      <c r="G533" s="20" t="s">
        <v>5067</v>
      </c>
      <c r="I533" s="11" t="b">
        <f t="shared" si="5"/>
        <v>0</v>
      </c>
      <c r="J533" s="24"/>
      <c r="K533" s="11" t="b">
        <f t="shared" si="6"/>
        <v>0</v>
      </c>
    </row>
    <row r="534" ht="22.5" customHeight="1">
      <c r="A534" s="12">
        <f t="shared" si="4"/>
        <v>1532</v>
      </c>
      <c r="B534" s="26" t="s">
        <v>5068</v>
      </c>
      <c r="C534" s="7" t="str">
        <f t="shared" si="1"/>
        <v>🔊</v>
      </c>
      <c r="D534" s="8" t="s">
        <v>5069</v>
      </c>
      <c r="E534" s="6" t="s">
        <v>13</v>
      </c>
      <c r="F534" s="5" t="s">
        <v>5070</v>
      </c>
      <c r="G534" s="20" t="s">
        <v>5071</v>
      </c>
      <c r="I534" s="11" t="b">
        <f t="shared" si="5"/>
        <v>0</v>
      </c>
      <c r="J534" s="24"/>
      <c r="K534" s="11" t="b">
        <f t="shared" si="6"/>
        <v>0</v>
      </c>
    </row>
    <row r="535" ht="22.5" customHeight="1">
      <c r="A535" s="12">
        <f t="shared" si="4"/>
        <v>1533</v>
      </c>
      <c r="B535" s="26" t="s">
        <v>5072</v>
      </c>
      <c r="C535" s="7" t="str">
        <f t="shared" si="1"/>
        <v>🔊</v>
      </c>
      <c r="D535" s="8" t="s">
        <v>5073</v>
      </c>
      <c r="E535" s="6" t="s">
        <v>27</v>
      </c>
      <c r="F535" s="5" t="s">
        <v>5074</v>
      </c>
      <c r="G535" s="20" t="s">
        <v>5075</v>
      </c>
      <c r="I535" s="11" t="b">
        <f t="shared" si="5"/>
        <v>0</v>
      </c>
      <c r="J535" s="24"/>
      <c r="K535" s="11" t="b">
        <f t="shared" si="6"/>
        <v>0</v>
      </c>
    </row>
    <row r="536" ht="22.5" customHeight="1">
      <c r="A536" s="12">
        <f t="shared" si="4"/>
        <v>1534</v>
      </c>
      <c r="B536" s="26" t="s">
        <v>5076</v>
      </c>
      <c r="C536" s="7" t="str">
        <f t="shared" si="1"/>
        <v>🔊</v>
      </c>
      <c r="D536" s="8" t="s">
        <v>5077</v>
      </c>
      <c r="E536" s="6" t="s">
        <v>747</v>
      </c>
      <c r="F536" s="12" t="str">
        <f>IFERROR(__xludf.DUMMYFUNCTION("GOOGLETRANSLATE(B536,""zh_cn"",""vi"")"),"Ừm")</f>
        <v>Ừm</v>
      </c>
      <c r="G536" s="20" t="s">
        <v>5078</v>
      </c>
      <c r="I536" s="11" t="b">
        <f t="shared" si="5"/>
        <v>0</v>
      </c>
      <c r="J536" s="24"/>
      <c r="K536" s="11" t="b">
        <f t="shared" si="6"/>
        <v>0</v>
      </c>
    </row>
    <row r="537" ht="22.5" customHeight="1">
      <c r="A537" s="12">
        <f t="shared" si="4"/>
        <v>1535</v>
      </c>
      <c r="B537" s="26" t="s">
        <v>5079</v>
      </c>
      <c r="C537" s="7" t="str">
        <f t="shared" si="1"/>
        <v>🔊</v>
      </c>
      <c r="D537" s="8" t="s">
        <v>5080</v>
      </c>
      <c r="E537" s="6" t="s">
        <v>27</v>
      </c>
      <c r="F537" s="12" t="str">
        <f>IFERROR(__xludf.DUMMYFUNCTION("GOOGLETRANSLATE(B537,""zh_cn"",""vi"")"),"Cuối năm")</f>
        <v>Cuối năm</v>
      </c>
      <c r="G537" s="20" t="s">
        <v>5081</v>
      </c>
      <c r="I537" s="11" t="b">
        <f t="shared" si="5"/>
        <v>0</v>
      </c>
      <c r="J537" s="24"/>
      <c r="K537" s="11" t="b">
        <f t="shared" si="6"/>
        <v>0</v>
      </c>
    </row>
    <row r="538" ht="22.5" customHeight="1">
      <c r="A538" s="12">
        <f t="shared" si="4"/>
        <v>1536</v>
      </c>
      <c r="B538" s="26" t="s">
        <v>5082</v>
      </c>
      <c r="C538" s="7" t="str">
        <f t="shared" si="1"/>
        <v>🔊</v>
      </c>
      <c r="D538" s="8" t="s">
        <v>5083</v>
      </c>
      <c r="E538" s="6" t="s">
        <v>27</v>
      </c>
      <c r="F538" s="12" t="str">
        <f>IFERROR(__xludf.DUMMYFUNCTION("GOOGLETRANSLATE(B538,""zh_cn"",""vi"")"),"tuổi")</f>
        <v>tuổi</v>
      </c>
      <c r="G538" s="20" t="s">
        <v>5084</v>
      </c>
      <c r="I538" s="11" t="b">
        <f t="shared" si="5"/>
        <v>0</v>
      </c>
      <c r="J538" s="24"/>
      <c r="K538" s="11" t="b">
        <f t="shared" si="6"/>
        <v>0</v>
      </c>
    </row>
    <row r="539" ht="22.5" customHeight="1">
      <c r="A539" s="12">
        <f t="shared" si="4"/>
        <v>1537</v>
      </c>
      <c r="B539" s="26" t="s">
        <v>5085</v>
      </c>
      <c r="C539" s="7" t="str">
        <f t="shared" si="1"/>
        <v>🔊</v>
      </c>
      <c r="D539" s="8" t="s">
        <v>5086</v>
      </c>
      <c r="E539" s="6" t="s">
        <v>13</v>
      </c>
      <c r="F539" s="5" t="s">
        <v>5087</v>
      </c>
      <c r="G539" s="20" t="s">
        <v>5088</v>
      </c>
      <c r="I539" s="11" t="b">
        <f t="shared" si="5"/>
        <v>0</v>
      </c>
      <c r="J539" s="24"/>
      <c r="K539" s="11" t="b">
        <f t="shared" si="6"/>
        <v>0</v>
      </c>
    </row>
    <row r="540" ht="22.5" customHeight="1">
      <c r="A540" s="12">
        <f t="shared" si="4"/>
        <v>1538</v>
      </c>
      <c r="B540" s="26" t="s">
        <v>5089</v>
      </c>
      <c r="C540" s="7" t="str">
        <f t="shared" si="1"/>
        <v>🔊</v>
      </c>
      <c r="D540" s="8" t="s">
        <v>5090</v>
      </c>
      <c r="E540" s="6" t="s">
        <v>27</v>
      </c>
      <c r="F540" s="12" t="str">
        <f>IFERROR(__xludf.DUMMYFUNCTION("GOOGLETRANSLATE(B540,""zh_cn"",""vi"")"),"khu vực nông thôn")</f>
        <v>khu vực nông thôn</v>
      </c>
      <c r="G540" s="20" t="s">
        <v>5091</v>
      </c>
      <c r="I540" s="11" t="b">
        <f t="shared" si="5"/>
        <v>0</v>
      </c>
      <c r="J540" s="24"/>
      <c r="K540" s="11" t="b">
        <f t="shared" si="6"/>
        <v>0</v>
      </c>
    </row>
    <row r="541" ht="22.5" customHeight="1">
      <c r="A541" s="12">
        <f t="shared" si="4"/>
        <v>1539</v>
      </c>
      <c r="B541" s="26" t="s">
        <v>5092</v>
      </c>
      <c r="C541" s="7" t="str">
        <f t="shared" si="1"/>
        <v>🔊</v>
      </c>
      <c r="D541" s="8" t="s">
        <v>5093</v>
      </c>
      <c r="E541" s="6" t="s">
        <v>416</v>
      </c>
      <c r="F541" s="12" t="str">
        <f>IFERROR(__xludf.DUMMYFUNCTION("GOOGLETRANSLATE(B541,""zh_cn"",""vi"")"),"ấm")</f>
        <v>ấm</v>
      </c>
      <c r="G541" s="20" t="s">
        <v>5094</v>
      </c>
      <c r="I541" s="11" t="b">
        <f t="shared" si="5"/>
        <v>0</v>
      </c>
      <c r="J541" s="24"/>
      <c r="K541" s="11" t="b">
        <f t="shared" si="6"/>
        <v>0</v>
      </c>
    </row>
    <row r="542" ht="22.5" customHeight="1">
      <c r="A542" s="12">
        <f t="shared" si="4"/>
        <v>1540</v>
      </c>
      <c r="B542" s="26" t="s">
        <v>5095</v>
      </c>
      <c r="C542" s="7" t="str">
        <f t="shared" si="1"/>
        <v>🔊</v>
      </c>
      <c r="D542" s="8" t="s">
        <v>5096</v>
      </c>
      <c r="E542" s="6" t="s">
        <v>27</v>
      </c>
      <c r="F542" s="12" t="str">
        <f>IFERROR(__xludf.DUMMYFUNCTION("GOOGLETRANSLATE(B542,""zh_cn"",""vi"")"),"nữ giới")</f>
        <v>nữ giới</v>
      </c>
      <c r="G542" s="20" t="s">
        <v>5097</v>
      </c>
      <c r="I542" s="11" t="b">
        <f t="shared" si="5"/>
        <v>0</v>
      </c>
      <c r="J542" s="24"/>
      <c r="K542" s="11" t="b">
        <f t="shared" si="6"/>
        <v>0</v>
      </c>
    </row>
    <row r="543" ht="22.5" customHeight="1">
      <c r="A543" s="12">
        <f t="shared" si="4"/>
        <v>1541</v>
      </c>
      <c r="B543" s="26" t="s">
        <v>5098</v>
      </c>
      <c r="C543" s="7" t="str">
        <f t="shared" si="1"/>
        <v>🔊</v>
      </c>
      <c r="D543" s="8" t="s">
        <v>5099</v>
      </c>
      <c r="E543" s="6" t="s">
        <v>5100</v>
      </c>
      <c r="F543" s="12" t="str">
        <f>IFERROR(__xludf.DUMMYFUNCTION("GOOGLETRANSLATE(B543,""zh_cn"",""vi"")"),"Thỉnh thoảng")</f>
        <v>Thỉnh thoảng</v>
      </c>
      <c r="G543" s="20" t="s">
        <v>5101</v>
      </c>
      <c r="I543" s="11" t="b">
        <f t="shared" si="5"/>
        <v>0</v>
      </c>
      <c r="J543" s="24"/>
      <c r="K543" s="11" t="b">
        <f t="shared" si="6"/>
        <v>0</v>
      </c>
    </row>
    <row r="544" ht="22.5" customHeight="1">
      <c r="A544" s="12">
        <f t="shared" si="4"/>
        <v>1542</v>
      </c>
      <c r="B544" s="26" t="s">
        <v>5102</v>
      </c>
      <c r="C544" s="7" t="str">
        <f t="shared" si="1"/>
        <v>🔊</v>
      </c>
      <c r="D544" s="8" t="s">
        <v>5103</v>
      </c>
      <c r="E544" s="6" t="s">
        <v>1046</v>
      </c>
      <c r="F544" s="5" t="s">
        <v>5104</v>
      </c>
      <c r="G544" s="20" t="s">
        <v>5105</v>
      </c>
      <c r="I544" s="11" t="b">
        <f t="shared" si="5"/>
        <v>0</v>
      </c>
      <c r="J544" s="24"/>
      <c r="K544" s="11" t="b">
        <f t="shared" si="6"/>
        <v>0</v>
      </c>
    </row>
    <row r="545" ht="22.5" customHeight="1">
      <c r="A545" s="12">
        <f t="shared" si="4"/>
        <v>1543</v>
      </c>
      <c r="B545" s="26" t="s">
        <v>5106</v>
      </c>
      <c r="C545" s="7" t="str">
        <f t="shared" si="1"/>
        <v>🔊</v>
      </c>
      <c r="D545" s="8" t="s">
        <v>5103</v>
      </c>
      <c r="E545" s="6" t="s">
        <v>27</v>
      </c>
      <c r="F545" s="12" t="str">
        <f>IFERROR(__xludf.DUMMYFUNCTION("GOOGLETRANSLATE(B545,""zh_cn"",""vi"")"),"Thẻ")</f>
        <v>Thẻ</v>
      </c>
      <c r="G545" s="20" t="s">
        <v>5107</v>
      </c>
      <c r="I545" s="11" t="b">
        <f t="shared" si="5"/>
        <v>0</v>
      </c>
      <c r="J545" s="24"/>
      <c r="K545" s="11" t="b">
        <f t="shared" si="6"/>
        <v>0</v>
      </c>
    </row>
    <row r="546" ht="22.5" customHeight="1">
      <c r="A546" s="12">
        <f t="shared" si="4"/>
        <v>1544</v>
      </c>
      <c r="B546" s="26" t="s">
        <v>5108</v>
      </c>
      <c r="C546" s="7" t="str">
        <f t="shared" si="1"/>
        <v>🔊</v>
      </c>
      <c r="D546" s="8" t="s">
        <v>5109</v>
      </c>
      <c r="E546" s="6" t="s">
        <v>232</v>
      </c>
      <c r="F546" s="5" t="s">
        <v>5110</v>
      </c>
      <c r="G546" s="20" t="s">
        <v>5111</v>
      </c>
      <c r="I546" s="11" t="b">
        <f t="shared" si="5"/>
        <v>0</v>
      </c>
      <c r="J546" s="24"/>
      <c r="K546" s="11" t="b">
        <f t="shared" si="6"/>
        <v>0</v>
      </c>
    </row>
    <row r="547" ht="22.5" customHeight="1">
      <c r="A547" s="12">
        <f t="shared" si="4"/>
        <v>1545</v>
      </c>
      <c r="B547" s="26" t="s">
        <v>5112</v>
      </c>
      <c r="C547" s="7" t="str">
        <f t="shared" si="1"/>
        <v>🔊</v>
      </c>
      <c r="D547" s="8" t="s">
        <v>5113</v>
      </c>
      <c r="E547" s="6" t="s">
        <v>13</v>
      </c>
      <c r="F547" s="12" t="str">
        <f>IFERROR(__xludf.DUMMYFUNCTION("GOOGLETRANSLATE(B547,""zh_cn"",""vi"")"),"xếp hàng")</f>
        <v>xếp hàng</v>
      </c>
      <c r="G547" s="20" t="s">
        <v>5114</v>
      </c>
      <c r="I547" s="11" t="b">
        <f t="shared" si="5"/>
        <v>0</v>
      </c>
      <c r="J547" s="24"/>
      <c r="K547" s="11" t="b">
        <f t="shared" si="6"/>
        <v>0</v>
      </c>
    </row>
    <row r="548" ht="22.5" customHeight="1">
      <c r="A548" s="12">
        <f t="shared" si="4"/>
        <v>1546</v>
      </c>
      <c r="B548" s="26" t="s">
        <v>5115</v>
      </c>
      <c r="C548" s="7" t="str">
        <f t="shared" si="1"/>
        <v>🔊</v>
      </c>
      <c r="D548" s="8" t="s">
        <v>5116</v>
      </c>
      <c r="E548" s="6" t="s">
        <v>27</v>
      </c>
      <c r="F548" s="12" t="str">
        <f>IFERROR(__xludf.DUMMYFUNCTION("GOOGLETRANSLATE(B548,""zh_cn"",""vi"")"),"bóng chuyền")</f>
        <v>bóng chuyền</v>
      </c>
      <c r="G548" s="20" t="s">
        <v>5117</v>
      </c>
      <c r="I548" s="11" t="b">
        <f t="shared" si="5"/>
        <v>0</v>
      </c>
      <c r="J548" s="24"/>
      <c r="K548" s="11" t="b">
        <f t="shared" si="6"/>
        <v>0</v>
      </c>
    </row>
    <row r="549" ht="22.5" customHeight="1">
      <c r="A549" s="12">
        <f t="shared" si="4"/>
        <v>1547</v>
      </c>
      <c r="B549" s="26" t="s">
        <v>5118</v>
      </c>
      <c r="C549" s="7" t="str">
        <f t="shared" si="1"/>
        <v>🔊</v>
      </c>
      <c r="D549" s="8" t="s">
        <v>5119</v>
      </c>
      <c r="E549" s="6" t="s">
        <v>27</v>
      </c>
      <c r="F549" s="5" t="s">
        <v>5120</v>
      </c>
      <c r="G549" s="20" t="s">
        <v>5121</v>
      </c>
      <c r="I549" s="11" t="b">
        <f t="shared" si="5"/>
        <v>0</v>
      </c>
      <c r="J549" s="24"/>
      <c r="K549" s="11" t="b">
        <f t="shared" si="6"/>
        <v>0</v>
      </c>
    </row>
    <row r="550" ht="22.5" customHeight="1">
      <c r="A550" s="12">
        <f t="shared" si="4"/>
        <v>1548</v>
      </c>
      <c r="B550" s="26" t="s">
        <v>5122</v>
      </c>
      <c r="C550" s="7" t="str">
        <f t="shared" si="1"/>
        <v>🔊</v>
      </c>
      <c r="D550" s="8" t="s">
        <v>5123</v>
      </c>
      <c r="E550" s="6" t="s">
        <v>13</v>
      </c>
      <c r="F550" s="5" t="s">
        <v>5124</v>
      </c>
      <c r="G550" s="20" t="s">
        <v>5125</v>
      </c>
      <c r="I550" s="11" t="b">
        <f t="shared" si="5"/>
        <v>0</v>
      </c>
      <c r="J550" s="24"/>
      <c r="K550" s="11" t="b">
        <f t="shared" si="6"/>
        <v>0</v>
      </c>
    </row>
    <row r="551" ht="22.5" customHeight="1">
      <c r="A551" s="12">
        <f t="shared" si="4"/>
        <v>1549</v>
      </c>
      <c r="B551" s="26" t="s">
        <v>5126</v>
      </c>
      <c r="C551" s="7" t="str">
        <f t="shared" si="1"/>
        <v>🔊</v>
      </c>
      <c r="D551" s="8" t="s">
        <v>5127</v>
      </c>
      <c r="E551" s="6" t="s">
        <v>13</v>
      </c>
      <c r="F551" s="12" t="str">
        <f>IFERROR(__xludf.DUMMYFUNCTION("GOOGLETRANSLATE(B551,""zh_cn"",""vi"")"),"đi kèm")</f>
        <v>đi kèm</v>
      </c>
      <c r="G551" s="20" t="s">
        <v>5128</v>
      </c>
      <c r="I551" s="11" t="b">
        <f t="shared" si="5"/>
        <v>0</v>
      </c>
      <c r="J551" s="24"/>
      <c r="K551" s="11" t="b">
        <f t="shared" si="6"/>
        <v>0</v>
      </c>
    </row>
    <row r="552" ht="22.5" customHeight="1">
      <c r="A552" s="12">
        <f t="shared" si="4"/>
        <v>1550</v>
      </c>
      <c r="B552" s="26" t="s">
        <v>5129</v>
      </c>
      <c r="C552" s="7" t="str">
        <f t="shared" si="1"/>
        <v>🔊</v>
      </c>
      <c r="D552" s="8" t="s">
        <v>5130</v>
      </c>
      <c r="E552" s="6" t="s">
        <v>259</v>
      </c>
      <c r="F552" s="5" t="s">
        <v>5131</v>
      </c>
      <c r="G552" s="20" t="s">
        <v>5132</v>
      </c>
      <c r="I552" s="11" t="b">
        <f t="shared" si="5"/>
        <v>0</v>
      </c>
      <c r="J552" s="24"/>
      <c r="K552" s="11" t="b">
        <f t="shared" si="6"/>
        <v>0</v>
      </c>
    </row>
    <row r="553" ht="22.5" customHeight="1">
      <c r="A553" s="12">
        <f t="shared" si="4"/>
        <v>1551</v>
      </c>
      <c r="B553" s="26" t="s">
        <v>5133</v>
      </c>
      <c r="C553" s="7" t="str">
        <f t="shared" si="1"/>
        <v>🔊</v>
      </c>
      <c r="D553" s="8" t="s">
        <v>5134</v>
      </c>
      <c r="E553" s="6" t="s">
        <v>259</v>
      </c>
      <c r="F553" s="12" t="str">
        <f>IFERROR(__xludf.DUMMYFUNCTION("GOOGLETRANSLATE(B553,""zh_cn"",""vi"")"),"Chương")</f>
        <v>Chương</v>
      </c>
      <c r="G553" s="20" t="s">
        <v>5135</v>
      </c>
      <c r="I553" s="11" t="b">
        <f t="shared" si="5"/>
        <v>0</v>
      </c>
      <c r="J553" s="24"/>
      <c r="K553" s="11" t="b">
        <f t="shared" si="6"/>
        <v>0</v>
      </c>
    </row>
    <row r="554" ht="22.5" customHeight="1">
      <c r="A554" s="12">
        <f t="shared" si="4"/>
        <v>1552</v>
      </c>
      <c r="B554" s="26" t="s">
        <v>5136</v>
      </c>
      <c r="C554" s="7" t="str">
        <f t="shared" si="1"/>
        <v>🔊</v>
      </c>
      <c r="D554" s="8" t="s">
        <v>5137</v>
      </c>
      <c r="E554" s="6" t="s">
        <v>27</v>
      </c>
      <c r="F554" s="12" t="str">
        <f>IFERROR(__xludf.DUMMYFUNCTION("GOOGLETRANSLATE(B554,""zh_cn"",""vi"")"),"da")</f>
        <v>da</v>
      </c>
      <c r="G554" s="20" t="s">
        <v>5138</v>
      </c>
      <c r="I554" s="11" t="b">
        <f t="shared" si="5"/>
        <v>0</v>
      </c>
      <c r="J554" s="24"/>
      <c r="K554" s="11" t="b">
        <f t="shared" si="6"/>
        <v>0</v>
      </c>
    </row>
    <row r="555" ht="22.5" customHeight="1">
      <c r="A555" s="12">
        <f t="shared" si="4"/>
        <v>1553</v>
      </c>
      <c r="B555" s="26" t="s">
        <v>5139</v>
      </c>
      <c r="C555" s="7" t="str">
        <f t="shared" si="1"/>
        <v>🔊</v>
      </c>
      <c r="D555" s="8" t="s">
        <v>5140</v>
      </c>
      <c r="E555" s="6" t="s">
        <v>1164</v>
      </c>
      <c r="F555" s="5" t="s">
        <v>3071</v>
      </c>
      <c r="G555" s="20" t="s">
        <v>5141</v>
      </c>
      <c r="I555" s="11" t="b">
        <f t="shared" si="5"/>
        <v>0</v>
      </c>
      <c r="J555" s="24"/>
      <c r="K555" s="11" t="b">
        <f t="shared" si="6"/>
        <v>0</v>
      </c>
    </row>
    <row r="556" ht="22.5" customHeight="1">
      <c r="A556" s="12">
        <f t="shared" si="4"/>
        <v>1554</v>
      </c>
      <c r="B556" s="26" t="s">
        <v>5142</v>
      </c>
      <c r="C556" s="7" t="str">
        <f t="shared" si="1"/>
        <v>🔊</v>
      </c>
      <c r="D556" s="8" t="s">
        <v>5143</v>
      </c>
      <c r="E556" s="6" t="s">
        <v>27</v>
      </c>
      <c r="F556" s="12" t="str">
        <f>IFERROR(__xludf.DUMMYFUNCTION("GOOGLETRANSLATE(B556,""zh_cn"",""vi"")"),"bóng bàn")</f>
        <v>bóng bàn</v>
      </c>
      <c r="G556" s="20" t="s">
        <v>5144</v>
      </c>
      <c r="I556" s="11" t="b">
        <f t="shared" si="5"/>
        <v>0</v>
      </c>
      <c r="J556" s="24"/>
      <c r="K556" s="11" t="b">
        <f t="shared" si="6"/>
        <v>0</v>
      </c>
    </row>
    <row r="557" ht="22.5" customHeight="1">
      <c r="A557" s="12">
        <f t="shared" si="4"/>
        <v>1555</v>
      </c>
      <c r="B557" s="26" t="s">
        <v>5145</v>
      </c>
      <c r="C557" s="7" t="str">
        <f t="shared" si="1"/>
        <v>🔊</v>
      </c>
      <c r="D557" s="8" t="s">
        <v>5146</v>
      </c>
      <c r="E557" s="6" t="s">
        <v>13</v>
      </c>
      <c r="F557" s="5" t="s">
        <v>5147</v>
      </c>
      <c r="G557" s="20" t="s">
        <v>5148</v>
      </c>
      <c r="I557" s="11" t="b">
        <f t="shared" si="5"/>
        <v>0</v>
      </c>
      <c r="J557" s="24"/>
      <c r="K557" s="11" t="b">
        <f t="shared" si="6"/>
        <v>0</v>
      </c>
    </row>
    <row r="558" ht="22.5" customHeight="1">
      <c r="A558" s="12">
        <f t="shared" si="4"/>
        <v>1556</v>
      </c>
      <c r="B558" s="26" t="s">
        <v>5149</v>
      </c>
      <c r="C558" s="7" t="str">
        <f t="shared" si="1"/>
        <v>🔊</v>
      </c>
      <c r="D558" s="8" t="s">
        <v>5150</v>
      </c>
      <c r="E558" s="6" t="s">
        <v>27</v>
      </c>
      <c r="F558" s="12" t="str">
        <f>IFERROR(__xludf.DUMMYFUNCTION("GOOGLETRANSLATE(B558,""zh_cn"",""vi"")"),"tính khí")</f>
        <v>tính khí</v>
      </c>
      <c r="G558" s="20" t="s">
        <v>5151</v>
      </c>
      <c r="I558" s="11" t="b">
        <f t="shared" si="5"/>
        <v>0</v>
      </c>
      <c r="J558" s="24"/>
      <c r="K558" s="11" t="b">
        <f t="shared" si="6"/>
        <v>0</v>
      </c>
    </row>
    <row r="559" ht="22.5" customHeight="1">
      <c r="A559" s="12">
        <f t="shared" si="4"/>
        <v>1557</v>
      </c>
      <c r="B559" s="26" t="s">
        <v>5152</v>
      </c>
      <c r="C559" s="7" t="str">
        <f t="shared" si="1"/>
        <v>🔊</v>
      </c>
      <c r="D559" s="8" t="s">
        <v>5153</v>
      </c>
      <c r="E559" s="6" t="s">
        <v>27</v>
      </c>
      <c r="F559" s="12" t="str">
        <f>IFERROR(__xludf.DUMMYFUNCTION("GOOGLETRANSLATE(B559,""zh_cn"",""vi"")"),"giày da")</f>
        <v>giày da</v>
      </c>
      <c r="G559" s="20" t="s">
        <v>5154</v>
      </c>
      <c r="I559" s="11" t="b">
        <f t="shared" si="5"/>
        <v>0</v>
      </c>
      <c r="J559" s="24"/>
      <c r="K559" s="11" t="b">
        <f t="shared" si="6"/>
        <v>0</v>
      </c>
    </row>
    <row r="560" ht="22.5" customHeight="1">
      <c r="A560" s="12">
        <f t="shared" si="4"/>
        <v>1558</v>
      </c>
      <c r="B560" s="26" t="s">
        <v>5155</v>
      </c>
      <c r="C560" s="7" t="str">
        <f t="shared" si="1"/>
        <v>🔊</v>
      </c>
      <c r="D560" s="8" t="s">
        <v>5156</v>
      </c>
      <c r="E560" s="6" t="s">
        <v>368</v>
      </c>
      <c r="F560" s="12" t="str">
        <f>IFERROR(__xludf.DUMMYFUNCTION("GOOGLETRANSLATE(B560,""zh_cn"",""vi"")"),"phá vỡ")</f>
        <v>phá vỡ</v>
      </c>
      <c r="G560" s="20" t="s">
        <v>5157</v>
      </c>
      <c r="I560" s="11" t="b">
        <f t="shared" si="5"/>
        <v>0</v>
      </c>
      <c r="J560" s="24"/>
      <c r="K560" s="11" t="b">
        <f t="shared" si="6"/>
        <v>0</v>
      </c>
    </row>
    <row r="561" ht="22.5" customHeight="1">
      <c r="A561" s="12">
        <f t="shared" si="4"/>
        <v>1559</v>
      </c>
      <c r="B561" s="26" t="s">
        <v>5158</v>
      </c>
      <c r="C561" s="7" t="str">
        <f t="shared" si="1"/>
        <v>🔊</v>
      </c>
      <c r="D561" s="8" t="s">
        <v>5159</v>
      </c>
      <c r="E561" s="6" t="s">
        <v>99</v>
      </c>
      <c r="F561" s="5" t="s">
        <v>5160</v>
      </c>
      <c r="G561" s="20" t="s">
        <v>5161</v>
      </c>
      <c r="I561" s="11" t="b">
        <f t="shared" si="5"/>
        <v>0</v>
      </c>
      <c r="J561" s="24"/>
      <c r="K561" s="11" t="b">
        <f t="shared" si="6"/>
        <v>0</v>
      </c>
    </row>
    <row r="562" ht="22.5" customHeight="1">
      <c r="A562" s="12">
        <f t="shared" si="4"/>
        <v>1560</v>
      </c>
      <c r="B562" s="26" t="s">
        <v>5162</v>
      </c>
      <c r="C562" s="7" t="str">
        <f t="shared" si="1"/>
        <v>🔊</v>
      </c>
      <c r="D562" s="8" t="s">
        <v>5163</v>
      </c>
      <c r="E562" s="6" t="s">
        <v>27</v>
      </c>
      <c r="F562" s="12" t="str">
        <f>IFERROR(__xludf.DUMMYFUNCTION("GOOGLETRANSLATE(B562,""zh_cn"",""vi"")"),"Quả nho")</f>
        <v>Quả nho</v>
      </c>
      <c r="G562" s="20" t="s">
        <v>5164</v>
      </c>
      <c r="I562" s="11" t="b">
        <f t="shared" si="5"/>
        <v>0</v>
      </c>
      <c r="J562" s="24"/>
      <c r="K562" s="11" t="b">
        <f t="shared" si="6"/>
        <v>0</v>
      </c>
    </row>
    <row r="563" ht="22.5" customHeight="1">
      <c r="A563" s="12">
        <f t="shared" si="4"/>
        <v>1561</v>
      </c>
      <c r="B563" s="26" t="s">
        <v>5165</v>
      </c>
      <c r="C563" s="7" t="str">
        <f t="shared" si="1"/>
        <v>🔊</v>
      </c>
      <c r="D563" s="8" t="s">
        <v>5166</v>
      </c>
      <c r="E563" s="6" t="s">
        <v>27</v>
      </c>
      <c r="F563" s="5" t="s">
        <v>5167</v>
      </c>
      <c r="G563" s="20" t="s">
        <v>5168</v>
      </c>
      <c r="I563" s="11" t="b">
        <f t="shared" si="5"/>
        <v>0</v>
      </c>
      <c r="J563" s="24"/>
      <c r="K563" s="11" t="b">
        <f t="shared" si="6"/>
        <v>0</v>
      </c>
    </row>
    <row r="564" ht="22.5" customHeight="1">
      <c r="A564" s="12">
        <f t="shared" si="4"/>
        <v>1562</v>
      </c>
      <c r="B564" s="26" t="s">
        <v>5169</v>
      </c>
      <c r="C564" s="7" t="str">
        <f t="shared" si="1"/>
        <v>🔊</v>
      </c>
      <c r="D564" s="8" t="s">
        <v>5170</v>
      </c>
      <c r="E564" s="6" t="s">
        <v>99</v>
      </c>
      <c r="F564" s="5" t="s">
        <v>5171</v>
      </c>
      <c r="G564" s="20" t="s">
        <v>5172</v>
      </c>
      <c r="I564" s="11" t="b">
        <f t="shared" si="5"/>
        <v>0</v>
      </c>
      <c r="J564" s="24"/>
      <c r="K564" s="11" t="b">
        <f t="shared" si="6"/>
        <v>0</v>
      </c>
    </row>
    <row r="565" ht="22.5" customHeight="1">
      <c r="A565" s="12">
        <f t="shared" si="4"/>
        <v>1563</v>
      </c>
      <c r="B565" s="26" t="s">
        <v>5173</v>
      </c>
      <c r="C565" s="7" t="str">
        <f t="shared" si="1"/>
        <v>🔊</v>
      </c>
      <c r="D565" s="8" t="s">
        <v>5174</v>
      </c>
      <c r="E565" s="6" t="s">
        <v>27</v>
      </c>
      <c r="F565" s="12" t="str">
        <f>IFERROR(__xludf.DUMMYFUNCTION("GOOGLETRANSLATE(B565,""zh_cn"",""vi"")"),"tiếng Quan thoại")</f>
        <v>tiếng Quan thoại</v>
      </c>
      <c r="G565" s="20" t="s">
        <v>5175</v>
      </c>
      <c r="I565" s="11" t="b">
        <f t="shared" si="5"/>
        <v>0</v>
      </c>
      <c r="J565" s="24"/>
      <c r="K565" s="11" t="b">
        <f t="shared" si="6"/>
        <v>0</v>
      </c>
    </row>
    <row r="566" ht="22.5" customHeight="1">
      <c r="A566" s="12">
        <f t="shared" si="4"/>
        <v>1564</v>
      </c>
      <c r="B566" s="26" t="s">
        <v>5176</v>
      </c>
      <c r="C566" s="7" t="str">
        <f t="shared" si="1"/>
        <v>🔊</v>
      </c>
      <c r="D566" s="8" t="s">
        <v>5177</v>
      </c>
      <c r="E566" s="6" t="s">
        <v>57</v>
      </c>
      <c r="F566" s="12" t="str">
        <f>IFERROR(__xludf.DUMMYFUNCTION("GOOGLETRANSLATE(B566,""zh_cn"",""vi"")"),"khí")</f>
        <v>khí</v>
      </c>
      <c r="G566" s="20" t="s">
        <v>5178</v>
      </c>
      <c r="I566" s="11" t="b">
        <f t="shared" si="5"/>
        <v>0</v>
      </c>
      <c r="J566" s="24"/>
      <c r="K566" s="11" t="b">
        <f t="shared" si="6"/>
        <v>0</v>
      </c>
    </row>
    <row r="567" ht="22.5" customHeight="1">
      <c r="A567" s="12">
        <f t="shared" si="4"/>
        <v>1565</v>
      </c>
      <c r="B567" s="26" t="s">
        <v>5179</v>
      </c>
      <c r="C567" s="7" t="str">
        <f t="shared" si="1"/>
        <v>🔊</v>
      </c>
      <c r="D567" s="8" t="s">
        <v>559</v>
      </c>
      <c r="E567" s="6" t="s">
        <v>47</v>
      </c>
      <c r="F567" s="5" t="s">
        <v>5180</v>
      </c>
      <c r="G567" s="20" t="s">
        <v>5181</v>
      </c>
      <c r="I567" s="11" t="b">
        <f t="shared" si="5"/>
        <v>0</v>
      </c>
      <c r="J567" s="24"/>
      <c r="K567" s="11" t="b">
        <f t="shared" si="6"/>
        <v>0</v>
      </c>
    </row>
    <row r="568" ht="22.5" customHeight="1">
      <c r="A568" s="12">
        <f t="shared" si="4"/>
        <v>1566</v>
      </c>
      <c r="B568" s="26" t="s">
        <v>5182</v>
      </c>
      <c r="C568" s="7" t="str">
        <f t="shared" si="1"/>
        <v>🔊</v>
      </c>
      <c r="D568" s="8" t="s">
        <v>5183</v>
      </c>
      <c r="E568" s="6" t="s">
        <v>27</v>
      </c>
      <c r="F568" s="12" t="str">
        <f>IFERROR(__xludf.DUMMYFUNCTION("GOOGLETRANSLATE(B568,""zh_cn"",""vi"")"),"Phía trước")</f>
        <v>Phía trước</v>
      </c>
      <c r="G568" s="20" t="s">
        <v>5184</v>
      </c>
      <c r="I568" s="11" t="b">
        <f t="shared" si="5"/>
        <v>0</v>
      </c>
      <c r="J568" s="24"/>
      <c r="K568" s="11" t="b">
        <f t="shared" si="6"/>
        <v>0</v>
      </c>
    </row>
    <row r="569" ht="22.5" customHeight="1">
      <c r="A569" s="12">
        <f t="shared" si="4"/>
        <v>1567</v>
      </c>
      <c r="B569" s="26" t="s">
        <v>5185</v>
      </c>
      <c r="C569" s="7" t="str">
        <f t="shared" si="1"/>
        <v>🔊</v>
      </c>
      <c r="D569" s="8" t="s">
        <v>5186</v>
      </c>
      <c r="E569" s="6" t="s">
        <v>99</v>
      </c>
      <c r="F569" s="12" t="str">
        <f>IFERROR(__xludf.DUMMYFUNCTION("GOOGLETRANSLATE(B569,""zh_cn"",""vi"")"),"mạnh mẽ")</f>
        <v>mạnh mẽ</v>
      </c>
      <c r="G569" s="20" t="s">
        <v>5187</v>
      </c>
      <c r="I569" s="11" t="b">
        <f t="shared" si="5"/>
        <v>0</v>
      </c>
      <c r="J569" s="24"/>
      <c r="K569" s="11" t="b">
        <f t="shared" si="6"/>
        <v>0</v>
      </c>
    </row>
    <row r="570" ht="22.5" customHeight="1">
      <c r="A570" s="12">
        <f t="shared" si="4"/>
        <v>1568</v>
      </c>
      <c r="B570" s="26" t="s">
        <v>5188</v>
      </c>
      <c r="C570" s="7" t="str">
        <f t="shared" si="1"/>
        <v>🔊</v>
      </c>
      <c r="D570" s="8" t="s">
        <v>5189</v>
      </c>
      <c r="E570" s="6" t="s">
        <v>27</v>
      </c>
      <c r="F570" s="12" t="str">
        <f>IFERROR(__xludf.DUMMYFUNCTION("GOOGLETRANSLATE(B570,""zh_cn"",""vi"")"),"trước và sau")</f>
        <v>trước và sau</v>
      </c>
      <c r="G570" s="20" t="s">
        <v>5190</v>
      </c>
      <c r="I570" s="11" t="b">
        <f t="shared" si="5"/>
        <v>0</v>
      </c>
      <c r="J570" s="24"/>
      <c r="K570" s="11" t="b">
        <f t="shared" si="6"/>
        <v>0</v>
      </c>
    </row>
    <row r="571" ht="22.5" customHeight="1">
      <c r="A571" s="12">
        <f t="shared" si="4"/>
        <v>1569</v>
      </c>
      <c r="B571" s="26" t="s">
        <v>5191</v>
      </c>
      <c r="C571" s="7" t="str">
        <f t="shared" si="1"/>
        <v>🔊</v>
      </c>
      <c r="D571" s="8" t="s">
        <v>5192</v>
      </c>
      <c r="E571" s="6" t="s">
        <v>47</v>
      </c>
      <c r="F571" s="12" t="str">
        <f>IFERROR(__xludf.DUMMYFUNCTION("GOOGLETRANSLATE(B571,""zh_cn"",""vi"")"),"kilogam")</f>
        <v>kilogam</v>
      </c>
      <c r="G571" s="20" t="s">
        <v>5193</v>
      </c>
      <c r="I571" s="11" t="b">
        <f t="shared" si="5"/>
        <v>0</v>
      </c>
      <c r="J571" s="24"/>
      <c r="K571" s="11" t="b">
        <f t="shared" si="6"/>
        <v>0</v>
      </c>
    </row>
    <row r="572" ht="22.5" customHeight="1">
      <c r="A572" s="12">
        <f t="shared" si="4"/>
        <v>1570</v>
      </c>
      <c r="B572" s="26" t="s">
        <v>5194</v>
      </c>
      <c r="C572" s="7" t="str">
        <f t="shared" si="1"/>
        <v>🔊</v>
      </c>
      <c r="D572" s="8" t="s">
        <v>5195</v>
      </c>
      <c r="E572" s="6" t="s">
        <v>61</v>
      </c>
      <c r="F572" s="5" t="s">
        <v>5196</v>
      </c>
      <c r="G572" s="20" t="s">
        <v>5197</v>
      </c>
      <c r="I572" s="11" t="b">
        <f t="shared" si="5"/>
        <v>0</v>
      </c>
      <c r="J572" s="24"/>
      <c r="K572" s="11" t="b">
        <f t="shared" si="6"/>
        <v>0</v>
      </c>
    </row>
    <row r="573" ht="22.5" customHeight="1">
      <c r="A573" s="12">
        <f t="shared" si="4"/>
        <v>1571</v>
      </c>
      <c r="B573" s="26" t="s">
        <v>5198</v>
      </c>
      <c r="C573" s="7" t="str">
        <f t="shared" si="1"/>
        <v>🔊</v>
      </c>
      <c r="D573" s="8" t="s">
        <v>5199</v>
      </c>
      <c r="E573" s="6" t="s">
        <v>232</v>
      </c>
      <c r="F573" s="12" t="str">
        <f>IFERROR(__xludf.DUMMYFUNCTION("GOOGLETRANSLATE(B573,""zh_cn"",""vi"")"),"visa")</f>
        <v>visa</v>
      </c>
      <c r="G573" s="20" t="s">
        <v>5200</v>
      </c>
      <c r="I573" s="11" t="b">
        <f t="shared" si="5"/>
        <v>0</v>
      </c>
      <c r="J573" s="24"/>
      <c r="K573" s="11" t="b">
        <f t="shared" si="6"/>
        <v>0</v>
      </c>
    </row>
    <row r="574" ht="22.5" customHeight="1">
      <c r="A574" s="12">
        <f t="shared" si="4"/>
        <v>1572</v>
      </c>
      <c r="B574" s="26" t="s">
        <v>5201</v>
      </c>
      <c r="C574" s="7" t="str">
        <f t="shared" si="1"/>
        <v>🔊</v>
      </c>
      <c r="D574" s="8" t="s">
        <v>5202</v>
      </c>
      <c r="E574" s="6" t="s">
        <v>27</v>
      </c>
      <c r="F574" s="12" t="str">
        <f>IFERROR(__xludf.DUMMYFUNCTION("GOOGLETRANSLATE(B574,""zh_cn"",""vi"")"),"cầu")</f>
        <v>cầu</v>
      </c>
      <c r="G574" s="20" t="s">
        <v>5203</v>
      </c>
      <c r="I574" s="11" t="b">
        <f t="shared" si="5"/>
        <v>0</v>
      </c>
      <c r="J574" s="24"/>
      <c r="K574" s="11" t="b">
        <f t="shared" si="6"/>
        <v>0</v>
      </c>
    </row>
    <row r="575" ht="22.5" customHeight="1">
      <c r="A575" s="12">
        <f t="shared" si="4"/>
        <v>1573</v>
      </c>
      <c r="B575" s="26" t="s">
        <v>5204</v>
      </c>
      <c r="C575" s="7" t="str">
        <f t="shared" si="1"/>
        <v>🔊</v>
      </c>
      <c r="D575" s="8" t="s">
        <v>5205</v>
      </c>
      <c r="E575" s="6" t="s">
        <v>99</v>
      </c>
      <c r="F575" s="12" t="str">
        <f>IFERROR(__xludf.DUMMYFUNCTION("GOOGLETRANSLATE(B575,""zh_cn"",""vi"")"),"khéo léo")</f>
        <v>khéo léo</v>
      </c>
      <c r="G575" s="20" t="s">
        <v>5206</v>
      </c>
      <c r="I575" s="11" t="b">
        <f t="shared" si="5"/>
        <v>0</v>
      </c>
      <c r="J575" s="24"/>
      <c r="K575" s="11" t="b">
        <f t="shared" si="6"/>
        <v>0</v>
      </c>
    </row>
    <row r="576" ht="22.5" customHeight="1">
      <c r="A576" s="12">
        <f t="shared" si="4"/>
        <v>1574</v>
      </c>
      <c r="B576" s="26" t="s">
        <v>5207</v>
      </c>
      <c r="C576" s="7" t="str">
        <f t="shared" si="1"/>
        <v>🔊</v>
      </c>
      <c r="D576" s="8" t="s">
        <v>5208</v>
      </c>
      <c r="E576" s="6" t="s">
        <v>13</v>
      </c>
      <c r="F576" s="5" t="s">
        <v>5209</v>
      </c>
      <c r="G576" s="20" t="s">
        <v>5210</v>
      </c>
      <c r="I576" s="11" t="b">
        <f t="shared" si="5"/>
        <v>0</v>
      </c>
      <c r="J576" s="24"/>
      <c r="K576" s="11" t="b">
        <f t="shared" si="6"/>
        <v>0</v>
      </c>
    </row>
    <row r="577" ht="22.5" customHeight="1">
      <c r="A577" s="12">
        <f t="shared" si="4"/>
        <v>1575</v>
      </c>
      <c r="B577" s="26" t="s">
        <v>5211</v>
      </c>
      <c r="C577" s="7" t="str">
        <f t="shared" si="1"/>
        <v>🔊</v>
      </c>
      <c r="D577" s="8" t="s">
        <v>5212</v>
      </c>
      <c r="E577" s="6" t="s">
        <v>27</v>
      </c>
      <c r="F577" s="12" t="str">
        <f>IFERROR(__xludf.DUMMYFUNCTION("GOOGLETRANSLATE(B577,""zh_cn"",""vi"")"),"sôcôla")</f>
        <v>sôcôla</v>
      </c>
      <c r="G577" s="20" t="s">
        <v>5213</v>
      </c>
      <c r="I577" s="11" t="b">
        <f t="shared" si="5"/>
        <v>0</v>
      </c>
      <c r="J577" s="24"/>
      <c r="K577" s="11" t="b">
        <f t="shared" si="6"/>
        <v>0</v>
      </c>
    </row>
    <row r="578" ht="22.5" customHeight="1">
      <c r="A578" s="12">
        <f t="shared" si="4"/>
        <v>1576</v>
      </c>
      <c r="B578" s="26" t="s">
        <v>5214</v>
      </c>
      <c r="C578" s="7" t="str">
        <f t="shared" si="1"/>
        <v>🔊</v>
      </c>
      <c r="D578" s="8" t="s">
        <v>5215</v>
      </c>
      <c r="E578" s="6" t="s">
        <v>106</v>
      </c>
      <c r="F578" s="12" t="str">
        <f>IFERROR(__xludf.DUMMYFUNCTION("GOOGLETRANSLATE(B578,""zh_cn"",""vi"")"),"Thứ hai")</f>
        <v>Thứ hai</v>
      </c>
      <c r="G578" s="20" t="s">
        <v>5216</v>
      </c>
      <c r="I578" s="11" t="b">
        <f t="shared" si="5"/>
        <v>0</v>
      </c>
      <c r="J578" s="24"/>
      <c r="K578" s="11" t="b">
        <f t="shared" si="6"/>
        <v>0</v>
      </c>
    </row>
    <row r="579" ht="22.5" customHeight="1">
      <c r="A579" s="12">
        <f t="shared" si="4"/>
        <v>1577</v>
      </c>
      <c r="B579" s="26" t="s">
        <v>5217</v>
      </c>
      <c r="C579" s="7" t="str">
        <f t="shared" si="1"/>
        <v>🔊</v>
      </c>
      <c r="D579" s="8" t="s">
        <v>5218</v>
      </c>
      <c r="E579" s="6" t="s">
        <v>13</v>
      </c>
      <c r="F579" s="5" t="s">
        <v>5219</v>
      </c>
      <c r="G579" s="20" t="s">
        <v>5220</v>
      </c>
      <c r="I579" s="11" t="b">
        <f t="shared" si="5"/>
        <v>0</v>
      </c>
      <c r="J579" s="24"/>
      <c r="K579" s="11" t="b">
        <f t="shared" si="6"/>
        <v>0</v>
      </c>
    </row>
    <row r="580" ht="22.5" customHeight="1">
      <c r="A580" s="12">
        <f t="shared" si="4"/>
        <v>1578</v>
      </c>
      <c r="B580" s="26" t="s">
        <v>5221</v>
      </c>
      <c r="C580" s="7" t="str">
        <f t="shared" si="1"/>
        <v>🔊</v>
      </c>
      <c r="D580" s="8" t="s">
        <v>5222</v>
      </c>
      <c r="E580" s="6" t="s">
        <v>27</v>
      </c>
      <c r="F580" s="12" t="str">
        <f>IFERROR(__xludf.DUMMYFUNCTION("GOOGLETRANSLATE(B580,""zh_cn"",""vi"")"),"khí hậu")</f>
        <v>khí hậu</v>
      </c>
      <c r="G580" s="20" t="s">
        <v>5223</v>
      </c>
      <c r="I580" s="11" t="b">
        <f t="shared" si="5"/>
        <v>0</v>
      </c>
      <c r="J580" s="24"/>
      <c r="K580" s="11" t="b">
        <f t="shared" si="6"/>
        <v>0</v>
      </c>
    </row>
    <row r="581" ht="22.5" customHeight="1">
      <c r="A581" s="12">
        <f t="shared" si="4"/>
        <v>1579</v>
      </c>
      <c r="B581" s="26" t="s">
        <v>5224</v>
      </c>
      <c r="C581" s="7" t="str">
        <f t="shared" si="1"/>
        <v>🔊</v>
      </c>
      <c r="D581" s="8" t="s">
        <v>5225</v>
      </c>
      <c r="E581" s="6" t="s">
        <v>27</v>
      </c>
      <c r="F581" s="5" t="s">
        <v>5226</v>
      </c>
      <c r="G581" s="20" t="s">
        <v>5227</v>
      </c>
      <c r="I581" s="11" t="b">
        <f t="shared" si="5"/>
        <v>0</v>
      </c>
      <c r="J581" s="24"/>
      <c r="K581" s="11" t="b">
        <f t="shared" si="6"/>
        <v>0</v>
      </c>
    </row>
    <row r="582" ht="22.5" customHeight="1">
      <c r="A582" s="12">
        <f t="shared" si="4"/>
        <v>1580</v>
      </c>
      <c r="B582" s="26" t="s">
        <v>5228</v>
      </c>
      <c r="C582" s="7" t="str">
        <f t="shared" si="1"/>
        <v>🔊</v>
      </c>
      <c r="D582" s="8" t="s">
        <v>5229</v>
      </c>
      <c r="E582" s="6" t="s">
        <v>27</v>
      </c>
      <c r="F582" s="5" t="s">
        <v>5230</v>
      </c>
      <c r="G582" s="20" t="s">
        <v>5231</v>
      </c>
      <c r="I582" s="11" t="b">
        <f t="shared" si="5"/>
        <v>0</v>
      </c>
      <c r="J582" s="24"/>
      <c r="K582" s="11" t="b">
        <f t="shared" si="6"/>
        <v>0</v>
      </c>
    </row>
    <row r="583" ht="22.5" customHeight="1">
      <c r="A583" s="12">
        <f t="shared" si="4"/>
        <v>1581</v>
      </c>
      <c r="B583" s="26" t="s">
        <v>5232</v>
      </c>
      <c r="C583" s="7" t="str">
        <f t="shared" si="1"/>
        <v>🔊</v>
      </c>
      <c r="D583" s="8" t="s">
        <v>5233</v>
      </c>
      <c r="E583" s="6" t="s">
        <v>99</v>
      </c>
      <c r="F583" s="5" t="s">
        <v>5234</v>
      </c>
      <c r="G583" s="20" t="s">
        <v>5235</v>
      </c>
      <c r="I583" s="11" t="b">
        <f t="shared" si="5"/>
        <v>0</v>
      </c>
      <c r="J583" s="24"/>
      <c r="K583" s="11" t="b">
        <f t="shared" si="6"/>
        <v>0</v>
      </c>
    </row>
    <row r="584" ht="22.5" customHeight="1">
      <c r="A584" s="12">
        <f t="shared" si="4"/>
        <v>1582</v>
      </c>
      <c r="B584" s="26" t="s">
        <v>5236</v>
      </c>
      <c r="C584" s="7" t="str">
        <f t="shared" si="1"/>
        <v>🔊</v>
      </c>
      <c r="D584" s="8" t="s">
        <v>5237</v>
      </c>
      <c r="E584" s="6" t="s">
        <v>27</v>
      </c>
      <c r="F584" s="12" t="str">
        <f>IFERROR(__xludf.DUMMYFUNCTION("GOOGLETRANSLATE(B584,""zh_cn"",""vi"")"),"Tình trạng")</f>
        <v>Tình trạng</v>
      </c>
      <c r="G584" s="20" t="s">
        <v>5238</v>
      </c>
      <c r="I584" s="11" t="b">
        <f t="shared" si="5"/>
        <v>0</v>
      </c>
      <c r="J584" s="24"/>
      <c r="K584" s="11" t="b">
        <f t="shared" si="6"/>
        <v>0</v>
      </c>
    </row>
    <row r="585" ht="22.5" customHeight="1">
      <c r="A585" s="12">
        <f t="shared" si="4"/>
        <v>1583</v>
      </c>
      <c r="B585" s="26" t="s">
        <v>5239</v>
      </c>
      <c r="C585" s="7" t="str">
        <f t="shared" si="1"/>
        <v>🔊</v>
      </c>
      <c r="D585" s="8" t="s">
        <v>5240</v>
      </c>
      <c r="E585" s="6" t="s">
        <v>27</v>
      </c>
      <c r="F585" s="5" t="s">
        <v>5241</v>
      </c>
      <c r="G585" s="20" t="s">
        <v>5242</v>
      </c>
      <c r="I585" s="11" t="b">
        <f t="shared" si="5"/>
        <v>0</v>
      </c>
      <c r="J585" s="24"/>
      <c r="K585" s="11" t="b">
        <f t="shared" si="6"/>
        <v>0</v>
      </c>
    </row>
    <row r="586" ht="22.5" customHeight="1">
      <c r="A586" s="12">
        <f t="shared" si="4"/>
        <v>1584</v>
      </c>
      <c r="B586" s="26" t="s">
        <v>5243</v>
      </c>
      <c r="C586" s="7" t="str">
        <f t="shared" si="1"/>
        <v>🔊</v>
      </c>
      <c r="D586" s="8" t="s">
        <v>5244</v>
      </c>
      <c r="E586" s="6" t="s">
        <v>99</v>
      </c>
      <c r="F586" s="5" t="s">
        <v>5245</v>
      </c>
      <c r="G586" s="20" t="s">
        <v>5246</v>
      </c>
      <c r="I586" s="11" t="b">
        <f t="shared" si="5"/>
        <v>0</v>
      </c>
      <c r="J586" s="24"/>
      <c r="K586" s="11" t="b">
        <f t="shared" si="6"/>
        <v>0</v>
      </c>
    </row>
    <row r="587" ht="22.5" customHeight="1">
      <c r="A587" s="12">
        <f t="shared" si="4"/>
        <v>1585</v>
      </c>
      <c r="B587" s="26" t="s">
        <v>5247</v>
      </c>
      <c r="C587" s="7" t="str">
        <f t="shared" si="1"/>
        <v>🔊</v>
      </c>
      <c r="D587" s="8" t="s">
        <v>5248</v>
      </c>
      <c r="E587" s="6" t="s">
        <v>13</v>
      </c>
      <c r="F587" s="5" t="s">
        <v>5249</v>
      </c>
      <c r="G587" s="20" t="s">
        <v>5250</v>
      </c>
      <c r="I587" s="11" t="b">
        <f t="shared" si="5"/>
        <v>0</v>
      </c>
      <c r="J587" s="24"/>
      <c r="K587" s="11" t="b">
        <f t="shared" si="6"/>
        <v>0</v>
      </c>
    </row>
    <row r="588" ht="22.5" customHeight="1">
      <c r="A588" s="12">
        <f t="shared" si="4"/>
        <v>1586</v>
      </c>
      <c r="B588" s="26" t="s">
        <v>5251</v>
      </c>
      <c r="C588" s="7" t="str">
        <f t="shared" si="1"/>
        <v>🔊</v>
      </c>
      <c r="D588" s="8" t="s">
        <v>5252</v>
      </c>
      <c r="E588" s="6" t="s">
        <v>27</v>
      </c>
      <c r="F588" s="5" t="s">
        <v>5253</v>
      </c>
      <c r="G588" s="20" t="s">
        <v>5254</v>
      </c>
      <c r="I588" s="11" t="b">
        <f t="shared" si="5"/>
        <v>0</v>
      </c>
      <c r="J588" s="24"/>
      <c r="K588" s="11" t="b">
        <f t="shared" si="6"/>
        <v>0</v>
      </c>
    </row>
    <row r="589" ht="22.5" customHeight="1">
      <c r="A589" s="12">
        <f t="shared" si="4"/>
        <v>1587</v>
      </c>
      <c r="B589" s="26" t="s">
        <v>5255</v>
      </c>
      <c r="C589" s="7" t="str">
        <f t="shared" si="1"/>
        <v>🔊</v>
      </c>
      <c r="D589" s="8" t="s">
        <v>5256</v>
      </c>
      <c r="E589" s="6" t="s">
        <v>27</v>
      </c>
      <c r="F589" s="5" t="s">
        <v>5257</v>
      </c>
      <c r="G589" s="20" t="s">
        <v>5258</v>
      </c>
      <c r="I589" s="11" t="b">
        <f t="shared" si="5"/>
        <v>0</v>
      </c>
      <c r="J589" s="24"/>
      <c r="K589" s="11" t="b">
        <f t="shared" si="6"/>
        <v>0</v>
      </c>
    </row>
    <row r="590" ht="22.5" customHeight="1">
      <c r="A590" s="12">
        <f t="shared" si="4"/>
        <v>1588</v>
      </c>
      <c r="B590" s="26" t="s">
        <v>5259</v>
      </c>
      <c r="C590" s="7" t="str">
        <f t="shared" si="1"/>
        <v>🔊</v>
      </c>
      <c r="D590" s="8" t="s">
        <v>5260</v>
      </c>
      <c r="E590" s="6" t="s">
        <v>27</v>
      </c>
      <c r="F590" s="5" t="s">
        <v>5261</v>
      </c>
      <c r="G590" s="20" t="s">
        <v>5262</v>
      </c>
      <c r="I590" s="11" t="b">
        <f t="shared" si="5"/>
        <v>0</v>
      </c>
      <c r="J590" s="24"/>
      <c r="K590" s="11" t="b">
        <f t="shared" si="6"/>
        <v>0</v>
      </c>
    </row>
    <row r="591" ht="22.5" customHeight="1">
      <c r="A591" s="12">
        <f t="shared" si="4"/>
        <v>1589</v>
      </c>
      <c r="B591" s="26" t="s">
        <v>5263</v>
      </c>
      <c r="C591" s="7" t="str">
        <f t="shared" si="1"/>
        <v>🔊</v>
      </c>
      <c r="D591" s="8" t="s">
        <v>5264</v>
      </c>
      <c r="E591" s="6" t="s">
        <v>27</v>
      </c>
      <c r="F591" s="5" t="s">
        <v>5265</v>
      </c>
      <c r="G591" s="20" t="s">
        <v>5266</v>
      </c>
      <c r="I591" s="11" t="b">
        <f t="shared" si="5"/>
        <v>0</v>
      </c>
      <c r="J591" s="24"/>
      <c r="K591" s="11" t="b">
        <f t="shared" si="6"/>
        <v>0</v>
      </c>
    </row>
    <row r="592" ht="22.5" customHeight="1">
      <c r="A592" s="12">
        <f t="shared" si="4"/>
        <v>1590</v>
      </c>
      <c r="B592" s="26" t="s">
        <v>5267</v>
      </c>
      <c r="C592" s="7" t="str">
        <f t="shared" si="1"/>
        <v>🔊</v>
      </c>
      <c r="D592" s="8" t="s">
        <v>5268</v>
      </c>
      <c r="E592" s="6" t="s">
        <v>27</v>
      </c>
      <c r="F592" s="12" t="str">
        <f>IFERROR(__xludf.DUMMYFUNCTION("GOOGLETRANSLATE(B592,""zh_cn"",""vi"")"),"Nhiệt độ")</f>
        <v>Nhiệt độ</v>
      </c>
      <c r="G592" s="20" t="s">
        <v>5269</v>
      </c>
      <c r="I592" s="11" t="b">
        <f t="shared" si="5"/>
        <v>0</v>
      </c>
      <c r="J592" s="24"/>
      <c r="K592" s="11" t="b">
        <f t="shared" si="6"/>
        <v>0</v>
      </c>
    </row>
    <row r="593" ht="22.5" customHeight="1">
      <c r="A593" s="12">
        <f t="shared" si="4"/>
        <v>1591</v>
      </c>
      <c r="B593" s="26" t="s">
        <v>5270</v>
      </c>
      <c r="C593" s="7" t="str">
        <f t="shared" si="1"/>
        <v>🔊</v>
      </c>
      <c r="D593" s="8" t="s">
        <v>5271</v>
      </c>
      <c r="E593" s="6" t="s">
        <v>27</v>
      </c>
      <c r="F593" s="5" t="s">
        <v>5272</v>
      </c>
      <c r="G593" s="20" t="s">
        <v>5273</v>
      </c>
      <c r="I593" s="11" t="b">
        <f t="shared" si="5"/>
        <v>0</v>
      </c>
      <c r="J593" s="24"/>
      <c r="K593" s="11" t="b">
        <f t="shared" si="6"/>
        <v>0</v>
      </c>
    </row>
    <row r="594" ht="22.5" customHeight="1">
      <c r="A594" s="12">
        <f t="shared" si="4"/>
        <v>1592</v>
      </c>
      <c r="B594" s="26" t="s">
        <v>5274</v>
      </c>
      <c r="C594" s="7" t="str">
        <f t="shared" si="1"/>
        <v>🔊</v>
      </c>
      <c r="D594" s="8" t="s">
        <v>5275</v>
      </c>
      <c r="E594" s="6" t="s">
        <v>27</v>
      </c>
      <c r="F594" s="12" t="str">
        <f>IFERROR(__xludf.DUMMYFUNCTION("GOOGLETRANSLATE(B594,""zh_cn"",""vi"")"),"Giữa kỳ")</f>
        <v>Giữa kỳ</v>
      </c>
      <c r="G594" s="20" t="s">
        <v>5276</v>
      </c>
      <c r="I594" s="11" t="b">
        <f t="shared" si="5"/>
        <v>0</v>
      </c>
      <c r="J594" s="24"/>
      <c r="K594" s="11" t="b">
        <f t="shared" si="6"/>
        <v>0</v>
      </c>
    </row>
    <row r="595" ht="22.5" customHeight="1">
      <c r="A595" s="12">
        <f t="shared" si="4"/>
        <v>1593</v>
      </c>
      <c r="B595" s="26" t="s">
        <v>5277</v>
      </c>
      <c r="C595" s="7" t="str">
        <f t="shared" si="1"/>
        <v>🔊</v>
      </c>
      <c r="D595" s="8" t="s">
        <v>5278</v>
      </c>
      <c r="E595" s="6" t="s">
        <v>13</v>
      </c>
      <c r="F595" s="5" t="s">
        <v>5279</v>
      </c>
      <c r="G595" s="20" t="s">
        <v>5280</v>
      </c>
      <c r="I595" s="11" t="b">
        <f t="shared" si="5"/>
        <v>0</v>
      </c>
      <c r="J595" s="24"/>
      <c r="K595" s="11" t="b">
        <f t="shared" si="6"/>
        <v>0</v>
      </c>
    </row>
    <row r="596" ht="22.5" customHeight="1">
      <c r="A596" s="12">
        <f t="shared" si="4"/>
        <v>1594</v>
      </c>
      <c r="B596" s="26" t="s">
        <v>5281</v>
      </c>
      <c r="C596" s="7" t="str">
        <f t="shared" si="1"/>
        <v>🔊</v>
      </c>
      <c r="D596" s="8" t="s">
        <v>5282</v>
      </c>
      <c r="E596" s="6" t="s">
        <v>27</v>
      </c>
      <c r="F596" s="5" t="s">
        <v>5283</v>
      </c>
      <c r="G596" s="20" t="s">
        <v>5284</v>
      </c>
      <c r="I596" s="11" t="b">
        <f t="shared" si="5"/>
        <v>0</v>
      </c>
      <c r="J596" s="24"/>
      <c r="K596" s="11" t="b">
        <f t="shared" si="6"/>
        <v>0</v>
      </c>
    </row>
    <row r="597" ht="22.5" customHeight="1">
      <c r="A597" s="12">
        <f t="shared" si="4"/>
        <v>1595</v>
      </c>
      <c r="B597" s="26" t="s">
        <v>5285</v>
      </c>
      <c r="C597" s="7" t="str">
        <f t="shared" si="1"/>
        <v>🔊</v>
      </c>
      <c r="D597" s="8" t="s">
        <v>5286</v>
      </c>
      <c r="E597" s="6" t="s">
        <v>1308</v>
      </c>
      <c r="F597" s="5" t="s">
        <v>5287</v>
      </c>
      <c r="G597" s="20" t="s">
        <v>5288</v>
      </c>
      <c r="I597" s="11" t="b">
        <f t="shared" si="5"/>
        <v>0</v>
      </c>
      <c r="J597" s="24"/>
      <c r="K597" s="11" t="b">
        <f t="shared" si="6"/>
        <v>0</v>
      </c>
    </row>
    <row r="598" ht="22.5" customHeight="1">
      <c r="A598" s="12">
        <f t="shared" si="4"/>
        <v>1596</v>
      </c>
      <c r="B598" s="26" t="s">
        <v>5289</v>
      </c>
      <c r="C598" s="7" t="str">
        <f t="shared" si="1"/>
        <v>🔊</v>
      </c>
      <c r="D598" s="8" t="s">
        <v>5290</v>
      </c>
      <c r="E598" s="6" t="s">
        <v>27</v>
      </c>
      <c r="F598" s="5" t="s">
        <v>5291</v>
      </c>
      <c r="G598" s="20" t="s">
        <v>5292</v>
      </c>
      <c r="I598" s="11" t="b">
        <f t="shared" si="5"/>
        <v>0</v>
      </c>
      <c r="J598" s="24"/>
      <c r="K598" s="11" t="b">
        <f t="shared" si="6"/>
        <v>0</v>
      </c>
    </row>
    <row r="599" ht="22.5" customHeight="1">
      <c r="A599" s="12">
        <f t="shared" si="4"/>
        <v>1597</v>
      </c>
      <c r="B599" s="26" t="s">
        <v>5293</v>
      </c>
      <c r="C599" s="7" t="str">
        <f t="shared" si="1"/>
        <v>🔊</v>
      </c>
      <c r="D599" s="8" t="s">
        <v>5294</v>
      </c>
      <c r="E599" s="6" t="s">
        <v>61</v>
      </c>
      <c r="F599" s="12" t="str">
        <f>IFERROR(__xludf.DUMMYFUNCTION("GOOGLETRANSLATE(B599,""zh_cn"",""vi"")"),"tất cả")</f>
        <v>tất cả</v>
      </c>
      <c r="G599" s="20" t="s">
        <v>5295</v>
      </c>
      <c r="I599" s="11" t="b">
        <f t="shared" si="5"/>
        <v>0</v>
      </c>
      <c r="J599" s="24"/>
      <c r="K599" s="11" t="b">
        <f t="shared" si="6"/>
        <v>0</v>
      </c>
    </row>
    <row r="600" ht="22.5" customHeight="1">
      <c r="A600" s="12">
        <f t="shared" si="4"/>
        <v>1598</v>
      </c>
      <c r="B600" s="26" t="s">
        <v>5296</v>
      </c>
      <c r="C600" s="7" t="str">
        <f t="shared" si="1"/>
        <v>🔊</v>
      </c>
      <c r="D600" s="8" t="s">
        <v>5297</v>
      </c>
      <c r="E600" s="6" t="s">
        <v>27</v>
      </c>
      <c r="F600" s="5" t="s">
        <v>5298</v>
      </c>
      <c r="G600" s="20" t="s">
        <v>5299</v>
      </c>
      <c r="I600" s="11" t="b">
        <f t="shared" si="5"/>
        <v>0</v>
      </c>
      <c r="J600" s="24"/>
      <c r="K600" s="11" t="b">
        <f t="shared" si="6"/>
        <v>0</v>
      </c>
    </row>
    <row r="601" ht="22.5" customHeight="1">
      <c r="A601" s="12">
        <f t="shared" si="4"/>
        <v>1599</v>
      </c>
      <c r="B601" s="26" t="s">
        <v>5300</v>
      </c>
      <c r="C601" s="7" t="str">
        <f t="shared" si="1"/>
        <v>🔊</v>
      </c>
      <c r="D601" s="8" t="s">
        <v>5301</v>
      </c>
      <c r="E601" s="6" t="s">
        <v>27</v>
      </c>
      <c r="F601" s="12" t="str">
        <f>IFERROR(__xludf.DUMMYFUNCTION("GOOGLETRANSLATE(B601,""zh_cn"",""vi"")"),"toàn thân")</f>
        <v>toàn thân</v>
      </c>
      <c r="G601" s="20" t="s">
        <v>5302</v>
      </c>
      <c r="I601" s="11" t="b">
        <f t="shared" si="5"/>
        <v>0</v>
      </c>
      <c r="J601" s="24"/>
      <c r="K601" s="11" t="b">
        <f t="shared" si="6"/>
        <v>0</v>
      </c>
    </row>
    <row r="602" ht="22.5" customHeight="1">
      <c r="A602" s="12">
        <f t="shared" si="4"/>
        <v>1600</v>
      </c>
      <c r="B602" s="26" t="s">
        <v>5303</v>
      </c>
      <c r="C602" s="7" t="str">
        <f t="shared" si="1"/>
        <v>🔊</v>
      </c>
      <c r="D602" s="8" t="s">
        <v>5304</v>
      </c>
      <c r="E602" s="6" t="s">
        <v>232</v>
      </c>
      <c r="F602" s="12" t="str">
        <f>IFERROR(__xludf.DUMMYFUNCTION("GOOGLETRANSLATE(B602,""zh_cn"",""vi"")"),"sự khác biệt")</f>
        <v>sự khác biệt</v>
      </c>
      <c r="G602" s="20" t="s">
        <v>5305</v>
      </c>
      <c r="I602" s="11" t="b">
        <f t="shared" si="5"/>
        <v>0</v>
      </c>
      <c r="J602" s="24"/>
      <c r="K602" s="11" t="b">
        <f t="shared" si="6"/>
        <v>0</v>
      </c>
    </row>
    <row r="603" ht="22.5" customHeight="1">
      <c r="A603" s="12">
        <f t="shared" si="4"/>
        <v>1601</v>
      </c>
      <c r="B603" s="26" t="s">
        <v>5306</v>
      </c>
      <c r="C603" s="7" t="str">
        <f t="shared" si="1"/>
        <v>🔊</v>
      </c>
      <c r="D603" s="8" t="s">
        <v>5307</v>
      </c>
      <c r="E603" s="6" t="s">
        <v>13</v>
      </c>
      <c r="F603" s="12" t="str">
        <f>IFERROR(__xludf.DUMMYFUNCTION("GOOGLETRANSLATE(B603,""zh_cn"",""vi"")"),"Đạt được")</f>
        <v>Đạt được</v>
      </c>
      <c r="G603" s="20" t="s">
        <v>5308</v>
      </c>
      <c r="I603" s="11" t="b">
        <f t="shared" si="5"/>
        <v>0</v>
      </c>
      <c r="J603" s="24"/>
      <c r="K603" s="11" t="b">
        <f t="shared" si="6"/>
        <v>0</v>
      </c>
    </row>
    <row r="604" ht="22.5" customHeight="1">
      <c r="A604" s="12">
        <f t="shared" si="4"/>
        <v>1602</v>
      </c>
      <c r="B604" s="26" t="s">
        <v>5309</v>
      </c>
      <c r="C604" s="7" t="str">
        <f t="shared" si="1"/>
        <v>🔊</v>
      </c>
      <c r="D604" s="8" t="s">
        <v>5310</v>
      </c>
      <c r="E604" s="6" t="s">
        <v>61</v>
      </c>
      <c r="F604" s="12" t="str">
        <f>IFERROR(__xludf.DUMMYFUNCTION("GOOGLETRANSLATE(B604,""zh_cn"",""vi"")"),"Nhưng")</f>
        <v>Nhưng</v>
      </c>
      <c r="G604" s="20" t="s">
        <v>5311</v>
      </c>
      <c r="I604" s="11" t="b">
        <f t="shared" si="5"/>
        <v>0</v>
      </c>
      <c r="J604" s="24"/>
      <c r="K604" s="11" t="b">
        <f t="shared" si="6"/>
        <v>0</v>
      </c>
    </row>
    <row r="605" ht="22.5" customHeight="1">
      <c r="A605" s="12">
        <f t="shared" si="4"/>
        <v>1603</v>
      </c>
      <c r="B605" s="26" t="s">
        <v>5312</v>
      </c>
      <c r="C605" s="7" t="str">
        <f t="shared" si="1"/>
        <v>🔊</v>
      </c>
      <c r="D605" s="8" t="s">
        <v>5313</v>
      </c>
      <c r="E605" s="6" t="s">
        <v>13</v>
      </c>
      <c r="F605" s="12" t="str">
        <f>IFERROR(__xludf.DUMMYFUNCTION("GOOGLETRANSLATE(B605,""zh_cn"",""vi"")"),"thiếu")</f>
        <v>thiếu</v>
      </c>
      <c r="G605" s="20" t="s">
        <v>5314</v>
      </c>
      <c r="I605" s="11" t="b">
        <f t="shared" si="5"/>
        <v>0</v>
      </c>
      <c r="J605" s="24"/>
      <c r="K605" s="11" t="b">
        <f t="shared" si="6"/>
        <v>0</v>
      </c>
    </row>
    <row r="606" ht="22.5" customHeight="1">
      <c r="A606" s="12">
        <f t="shared" si="4"/>
        <v>1604</v>
      </c>
      <c r="B606" s="26" t="s">
        <v>5315</v>
      </c>
      <c r="C606" s="7" t="str">
        <f t="shared" si="1"/>
        <v>🔊</v>
      </c>
      <c r="D606" s="8" t="s">
        <v>5316</v>
      </c>
      <c r="E606" s="6" t="s">
        <v>27</v>
      </c>
      <c r="F606" s="5" t="s">
        <v>5317</v>
      </c>
      <c r="G606" s="20" t="s">
        <v>5318</v>
      </c>
      <c r="I606" s="11" t="b">
        <f t="shared" si="5"/>
        <v>0</v>
      </c>
      <c r="J606" s="24"/>
      <c r="K606" s="11" t="b">
        <f t="shared" si="6"/>
        <v>0</v>
      </c>
    </row>
    <row r="607" ht="22.5" customHeight="1">
      <c r="A607" s="12">
        <f t="shared" si="4"/>
        <v>1605</v>
      </c>
      <c r="B607" s="26" t="s">
        <v>5319</v>
      </c>
      <c r="C607" s="7" t="str">
        <f t="shared" si="1"/>
        <v>🔊</v>
      </c>
      <c r="D607" s="8" t="s">
        <v>5320</v>
      </c>
      <c r="E607" s="6" t="s">
        <v>13</v>
      </c>
      <c r="F607" s="5" t="s">
        <v>5321</v>
      </c>
      <c r="G607" s="20" t="s">
        <v>5322</v>
      </c>
      <c r="I607" s="11" t="b">
        <f t="shared" si="5"/>
        <v>0</v>
      </c>
      <c r="J607" s="24"/>
      <c r="K607" s="11" t="b">
        <f t="shared" si="6"/>
        <v>0</v>
      </c>
    </row>
    <row r="608" ht="22.5" customHeight="1">
      <c r="A608" s="12">
        <f t="shared" si="4"/>
        <v>1606</v>
      </c>
      <c r="B608" s="26" t="s">
        <v>5323</v>
      </c>
      <c r="C608" s="7" t="str">
        <f t="shared" si="1"/>
        <v>🔊</v>
      </c>
      <c r="D608" s="8" t="s">
        <v>5324</v>
      </c>
      <c r="E608" s="6" t="s">
        <v>61</v>
      </c>
      <c r="F608" s="5" t="s">
        <v>5325</v>
      </c>
      <c r="G608" s="20" t="s">
        <v>5326</v>
      </c>
      <c r="I608" s="11" t="b">
        <f t="shared" si="5"/>
        <v>0</v>
      </c>
      <c r="J608" s="24"/>
      <c r="K608" s="11" t="b">
        <f t="shared" si="6"/>
        <v>0</v>
      </c>
    </row>
    <row r="609" ht="22.5" customHeight="1">
      <c r="A609" s="12">
        <f t="shared" si="4"/>
        <v>1607</v>
      </c>
      <c r="B609" s="26" t="s">
        <v>5327</v>
      </c>
      <c r="C609" s="7" t="str">
        <f t="shared" si="1"/>
        <v>🔊</v>
      </c>
      <c r="D609" s="8" t="s">
        <v>5328</v>
      </c>
      <c r="E609" s="6" t="s">
        <v>13</v>
      </c>
      <c r="F609" s="12" t="str">
        <f>IFERROR(__xludf.DUMMYFUNCTION("GOOGLETRANSLATE(B609,""zh_cn"",""vi"")"),"Hủy bỏ")</f>
        <v>Hủy bỏ</v>
      </c>
      <c r="G609" s="20" t="s">
        <v>5329</v>
      </c>
      <c r="I609" s="11" t="b">
        <f t="shared" si="5"/>
        <v>0</v>
      </c>
      <c r="J609" s="24"/>
      <c r="K609" s="11" t="b">
        <f t="shared" si="6"/>
        <v>0</v>
      </c>
    </row>
    <row r="610" ht="22.5" customHeight="1">
      <c r="A610" s="12">
        <f t="shared" si="4"/>
        <v>1608</v>
      </c>
      <c r="B610" s="26" t="s">
        <v>5330</v>
      </c>
      <c r="C610" s="7" t="str">
        <f t="shared" si="1"/>
        <v>🔊</v>
      </c>
      <c r="D610" s="8" t="s">
        <v>5331</v>
      </c>
      <c r="E610" s="6" t="s">
        <v>1132</v>
      </c>
      <c r="F610" s="12" t="str">
        <f>IFERROR(__xludf.DUMMYFUNCTION("GOOGLETRANSLATE(B610,""zh_cn"",""vi"")"),"Tuy nhiên")</f>
        <v>Tuy nhiên</v>
      </c>
      <c r="G610" s="20" t="s">
        <v>5332</v>
      </c>
      <c r="I610" s="11" t="b">
        <f t="shared" si="5"/>
        <v>0</v>
      </c>
      <c r="J610" s="24"/>
      <c r="K610" s="11" t="b">
        <f t="shared" si="6"/>
        <v>0</v>
      </c>
    </row>
    <row r="611" ht="22.5" customHeight="1">
      <c r="A611" s="12">
        <f t="shared" si="4"/>
        <v>1609</v>
      </c>
      <c r="B611" s="26" t="s">
        <v>5333</v>
      </c>
      <c r="C611" s="7" t="str">
        <f t="shared" si="1"/>
        <v>🔊</v>
      </c>
      <c r="D611" s="8" t="s">
        <v>5334</v>
      </c>
      <c r="E611" s="6" t="s">
        <v>4943</v>
      </c>
      <c r="F611" s="5" t="s">
        <v>5335</v>
      </c>
      <c r="G611" s="20" t="s">
        <v>5336</v>
      </c>
      <c r="I611" s="11" t="b">
        <f t="shared" si="5"/>
        <v>0</v>
      </c>
      <c r="J611" s="24"/>
      <c r="K611" s="11" t="b">
        <f t="shared" si="6"/>
        <v>0</v>
      </c>
    </row>
    <row r="612" ht="22.5" customHeight="1">
      <c r="A612" s="12">
        <f t="shared" si="4"/>
        <v>1610</v>
      </c>
      <c r="B612" s="26" t="s">
        <v>5337</v>
      </c>
      <c r="C612" s="7" t="str">
        <f t="shared" si="1"/>
        <v>🔊</v>
      </c>
      <c r="D612" s="8" t="s">
        <v>5338</v>
      </c>
      <c r="E612" s="6" t="s">
        <v>61</v>
      </c>
      <c r="F612" s="12" t="str">
        <f>IFERROR(__xludf.DUMMYFUNCTION("GOOGLETRANSLATE(B612,""zh_cn"",""vi"")"),"vẫn")</f>
        <v>vẫn</v>
      </c>
      <c r="G612" s="20" t="s">
        <v>5339</v>
      </c>
      <c r="I612" s="11" t="b">
        <f t="shared" si="5"/>
        <v>0</v>
      </c>
      <c r="J612" s="24"/>
      <c r="K612" s="11" t="b">
        <f t="shared" si="6"/>
        <v>0</v>
      </c>
    </row>
    <row r="613" ht="22.5" customHeight="1">
      <c r="A613" s="12">
        <f t="shared" si="4"/>
        <v>1611</v>
      </c>
      <c r="B613" s="26" t="s">
        <v>5340</v>
      </c>
      <c r="C613" s="7" t="str">
        <f t="shared" si="1"/>
        <v>🔊</v>
      </c>
      <c r="D613" s="8" t="s">
        <v>5341</v>
      </c>
      <c r="E613" s="6" t="s">
        <v>13</v>
      </c>
      <c r="F613" s="12" t="str">
        <f>IFERROR(__xludf.DUMMYFUNCTION("GOOGLETRANSLATE(B613,""zh_cn"",""vi"")"),"Ném")</f>
        <v>Ném</v>
      </c>
      <c r="G613" s="20" t="s">
        <v>5342</v>
      </c>
      <c r="I613" s="11" t="b">
        <f t="shared" si="5"/>
        <v>0</v>
      </c>
      <c r="J613" s="24"/>
      <c r="K613" s="11" t="b">
        <f t="shared" si="6"/>
        <v>0</v>
      </c>
    </row>
    <row r="614" ht="22.5" customHeight="1">
      <c r="A614" s="12">
        <f t="shared" si="4"/>
        <v>1612</v>
      </c>
      <c r="B614" s="26" t="s">
        <v>5343</v>
      </c>
      <c r="C614" s="7" t="str">
        <f t="shared" si="1"/>
        <v>🔊</v>
      </c>
      <c r="D614" s="8" t="s">
        <v>5344</v>
      </c>
      <c r="E614" s="6" t="s">
        <v>61</v>
      </c>
      <c r="F614" s="5" t="s">
        <v>5345</v>
      </c>
      <c r="G614" s="20" t="s">
        <v>5346</v>
      </c>
      <c r="I614" s="11" t="b">
        <f t="shared" si="5"/>
        <v>0</v>
      </c>
      <c r="J614" s="24"/>
      <c r="K614" s="11" t="b">
        <f t="shared" si="6"/>
        <v>0</v>
      </c>
    </row>
    <row r="615" ht="22.5" customHeight="1">
      <c r="A615" s="12">
        <f t="shared" si="4"/>
        <v>1613</v>
      </c>
      <c r="B615" s="26" t="s">
        <v>5347</v>
      </c>
      <c r="C615" s="7" t="str">
        <f t="shared" si="1"/>
        <v>🔊</v>
      </c>
      <c r="D615" s="8" t="s">
        <v>5348</v>
      </c>
      <c r="E615" s="6" t="s">
        <v>106</v>
      </c>
      <c r="F615" s="12" t="str">
        <f>IFERROR(__xludf.DUMMYFUNCTION("GOOGLETRANSLATE(B615,""zh_cn"",""vi"")"),"bất kì")</f>
        <v>bất kì</v>
      </c>
      <c r="G615" s="20" t="s">
        <v>5349</v>
      </c>
      <c r="I615" s="11" t="b">
        <f t="shared" si="5"/>
        <v>0</v>
      </c>
      <c r="J615" s="24"/>
      <c r="K615" s="11" t="b">
        <f t="shared" si="6"/>
        <v>0</v>
      </c>
    </row>
    <row r="616" ht="22.5" customHeight="1">
      <c r="A616" s="12">
        <f t="shared" si="4"/>
        <v>1614</v>
      </c>
      <c r="B616" s="26" t="s">
        <v>5350</v>
      </c>
      <c r="C616" s="7" t="str">
        <f t="shared" si="1"/>
        <v>🔊</v>
      </c>
      <c r="D616" s="8" t="s">
        <v>5351</v>
      </c>
      <c r="E616" s="6" t="s">
        <v>27</v>
      </c>
      <c r="F616" s="12" t="str">
        <f>IFERROR(__xludf.DUMMYFUNCTION("GOOGLETRANSLATE(B616,""zh_cn"",""vi"")"),"Mạng sống")</f>
        <v>Mạng sống</v>
      </c>
      <c r="G616" s="20" t="s">
        <v>5352</v>
      </c>
      <c r="I616" s="11" t="b">
        <f t="shared" si="5"/>
        <v>0</v>
      </c>
      <c r="J616" s="24"/>
      <c r="K616" s="11" t="b">
        <f t="shared" si="6"/>
        <v>0</v>
      </c>
    </row>
    <row r="617" ht="22.5" customHeight="1">
      <c r="A617" s="12">
        <f t="shared" si="4"/>
        <v>1615</v>
      </c>
      <c r="B617" s="26" t="s">
        <v>5353</v>
      </c>
      <c r="C617" s="7" t="str">
        <f t="shared" si="1"/>
        <v>🔊</v>
      </c>
      <c r="D617" s="8" t="s">
        <v>5354</v>
      </c>
      <c r="E617" s="6" t="s">
        <v>27</v>
      </c>
      <c r="F617" s="5" t="s">
        <v>5355</v>
      </c>
      <c r="G617" s="20" t="s">
        <v>5356</v>
      </c>
      <c r="I617" s="11" t="b">
        <f t="shared" si="5"/>
        <v>0</v>
      </c>
      <c r="J617" s="24"/>
      <c r="K617" s="11" t="b">
        <f t="shared" si="6"/>
        <v>0</v>
      </c>
    </row>
    <row r="618" ht="22.5" customHeight="1">
      <c r="A618" s="12">
        <f t="shared" si="4"/>
        <v>1616</v>
      </c>
      <c r="B618" s="26" t="s">
        <v>5357</v>
      </c>
      <c r="C618" s="7" t="str">
        <f t="shared" si="1"/>
        <v>🔊</v>
      </c>
      <c r="D618" s="8" t="s">
        <v>5358</v>
      </c>
      <c r="E618" s="6" t="s">
        <v>27</v>
      </c>
      <c r="F618" s="12" t="str">
        <f>IFERROR(__xludf.DUMMYFUNCTION("GOOGLETRANSLATE(B618,""zh_cn"",""vi"")"),"Nhiệm vụ")</f>
        <v>Nhiệm vụ</v>
      </c>
      <c r="G618" s="20" t="s">
        <v>5359</v>
      </c>
      <c r="I618" s="11" t="b">
        <f t="shared" si="5"/>
        <v>0</v>
      </c>
      <c r="J618" s="24"/>
      <c r="K618" s="11" t="b">
        <f t="shared" si="6"/>
        <v>0</v>
      </c>
    </row>
    <row r="619" ht="22.5" customHeight="1">
      <c r="A619" s="12">
        <f t="shared" si="4"/>
        <v>1617</v>
      </c>
      <c r="B619" s="26" t="s">
        <v>5360</v>
      </c>
      <c r="C619" s="7" t="str">
        <f t="shared" si="1"/>
        <v>🔊</v>
      </c>
      <c r="D619" s="8" t="s">
        <v>5361</v>
      </c>
      <c r="E619" s="6" t="s">
        <v>27</v>
      </c>
      <c r="F619" s="12" t="str">
        <f>IFERROR(__xludf.DUMMYFUNCTION("GOOGLETRANSLATE(B619,""zh_cn"",""vi"")"),"nhân viên")</f>
        <v>nhân viên</v>
      </c>
      <c r="G619" s="20" t="s">
        <v>5362</v>
      </c>
      <c r="I619" s="11" t="b">
        <f t="shared" si="5"/>
        <v>0</v>
      </c>
      <c r="J619" s="24"/>
      <c r="K619" s="11" t="b">
        <f t="shared" si="6"/>
        <v>0</v>
      </c>
    </row>
    <row r="620" ht="22.5" customHeight="1">
      <c r="A620" s="12">
        <f t="shared" si="4"/>
        <v>1618</v>
      </c>
      <c r="B620" s="26" t="s">
        <v>5363</v>
      </c>
      <c r="C620" s="7" t="str">
        <f t="shared" si="1"/>
        <v>🔊</v>
      </c>
      <c r="D620" s="8" t="s">
        <v>5364</v>
      </c>
      <c r="E620" s="6" t="s">
        <v>99</v>
      </c>
      <c r="F620" s="12" t="str">
        <f>IFERROR(__xludf.DUMMYFUNCTION("GOOGLETRANSLATE(B620,""zh_cn"",""vi"")"),"hằng ngày")</f>
        <v>hằng ngày</v>
      </c>
      <c r="G620" s="20" t="s">
        <v>5365</v>
      </c>
      <c r="I620" s="11" t="b">
        <f t="shared" si="5"/>
        <v>0</v>
      </c>
      <c r="J620" s="24"/>
      <c r="K620" s="11" t="b">
        <f t="shared" si="6"/>
        <v>0</v>
      </c>
    </row>
    <row r="621" ht="22.5" customHeight="1">
      <c r="A621" s="12">
        <f t="shared" si="4"/>
        <v>1619</v>
      </c>
      <c r="B621" s="26" t="s">
        <v>5366</v>
      </c>
      <c r="C621" s="7" t="str">
        <f t="shared" si="1"/>
        <v>🔊</v>
      </c>
      <c r="D621" s="8" t="s">
        <v>5367</v>
      </c>
      <c r="E621" s="6" t="s">
        <v>27</v>
      </c>
      <c r="F621" s="5" t="s">
        <v>5368</v>
      </c>
      <c r="G621" s="20" t="s">
        <v>5369</v>
      </c>
      <c r="I621" s="11" t="b">
        <f t="shared" si="5"/>
        <v>0</v>
      </c>
      <c r="J621" s="24"/>
      <c r="K621" s="11" t="b">
        <f t="shared" si="6"/>
        <v>0</v>
      </c>
    </row>
    <row r="622" ht="22.5" customHeight="1">
      <c r="A622" s="12">
        <f t="shared" si="4"/>
        <v>1620</v>
      </c>
      <c r="B622" s="26" t="s">
        <v>5370</v>
      </c>
      <c r="C622" s="7" t="str">
        <f t="shared" si="1"/>
        <v>🔊</v>
      </c>
      <c r="D622" s="8" t="s">
        <v>5371</v>
      </c>
      <c r="E622" s="6" t="s">
        <v>27</v>
      </c>
      <c r="F622" s="5" t="s">
        <v>5372</v>
      </c>
      <c r="G622" s="20" t="s">
        <v>5373</v>
      </c>
      <c r="I622" s="11" t="b">
        <f t="shared" si="5"/>
        <v>0</v>
      </c>
      <c r="J622" s="24"/>
      <c r="K622" s="11" t="b">
        <f t="shared" si="6"/>
        <v>0</v>
      </c>
    </row>
    <row r="623" ht="22.5" customHeight="1">
      <c r="A623" s="12">
        <f t="shared" si="4"/>
        <v>1621</v>
      </c>
      <c r="B623" s="26" t="s">
        <v>5374</v>
      </c>
      <c r="C623" s="7" t="str">
        <f t="shared" si="1"/>
        <v>🔊</v>
      </c>
      <c r="D623" s="8" t="s">
        <v>5375</v>
      </c>
      <c r="E623" s="6" t="s">
        <v>27</v>
      </c>
      <c r="F623" s="12" t="str">
        <f>IFERROR(__xludf.DUMMYFUNCTION("GOOGLETRANSLATE(B623,""zh_cn"",""vi"")"),"ngày")</f>
        <v>ngày</v>
      </c>
      <c r="G623" s="20" t="s">
        <v>5376</v>
      </c>
      <c r="I623" s="11" t="b">
        <f t="shared" si="5"/>
        <v>0</v>
      </c>
      <c r="J623" s="24"/>
      <c r="K623" s="11" t="b">
        <f t="shared" si="6"/>
        <v>0</v>
      </c>
    </row>
    <row r="624" ht="22.5" customHeight="1">
      <c r="A624" s="12">
        <f t="shared" si="4"/>
        <v>1622</v>
      </c>
      <c r="B624" s="26" t="s">
        <v>5377</v>
      </c>
      <c r="C624" s="7" t="str">
        <f t="shared" si="1"/>
        <v>🔊</v>
      </c>
      <c r="D624" s="8" t="s">
        <v>5378</v>
      </c>
      <c r="E624" s="6" t="s">
        <v>13</v>
      </c>
      <c r="F624" s="12" t="str">
        <f>IFERROR(__xludf.DUMMYFUNCTION("GOOGLETRANSLATE(B624,""zh_cn"",""vi"")"),"đi vào")</f>
        <v>đi vào</v>
      </c>
      <c r="G624" s="20" t="s">
        <v>5379</v>
      </c>
      <c r="I624" s="11" t="b">
        <f t="shared" si="5"/>
        <v>0</v>
      </c>
      <c r="J624" s="24"/>
      <c r="K624" s="11" t="b">
        <f t="shared" si="6"/>
        <v>0</v>
      </c>
    </row>
    <row r="625" ht="22.5" customHeight="1">
      <c r="A625" s="12">
        <f t="shared" si="4"/>
        <v>1623</v>
      </c>
      <c r="B625" s="26" t="s">
        <v>5380</v>
      </c>
      <c r="C625" s="7" t="str">
        <f t="shared" si="1"/>
        <v>🔊</v>
      </c>
      <c r="D625" s="8" t="s">
        <v>5381</v>
      </c>
      <c r="E625" s="6" t="s">
        <v>27</v>
      </c>
      <c r="F625" s="12" t="str">
        <f>IFERROR(__xludf.DUMMYFUNCTION("GOOGLETRANSLATE(B625,""zh_cn"",""vi"")"),"Cổng vào")</f>
        <v>Cổng vào</v>
      </c>
      <c r="G625" s="20" t="s">
        <v>5382</v>
      </c>
      <c r="I625" s="11" t="b">
        <f t="shared" si="5"/>
        <v>0</v>
      </c>
      <c r="J625" s="24"/>
      <c r="K625" s="11" t="b">
        <f t="shared" si="6"/>
        <v>0</v>
      </c>
    </row>
    <row r="626" ht="22.5" customHeight="1">
      <c r="A626" s="12">
        <f t="shared" si="4"/>
        <v>1624</v>
      </c>
      <c r="B626" s="26" t="s">
        <v>5383</v>
      </c>
      <c r="C626" s="7" t="str">
        <f t="shared" si="1"/>
        <v>🔊</v>
      </c>
      <c r="D626" s="8" t="s">
        <v>5384</v>
      </c>
      <c r="E626" s="6" t="s">
        <v>13</v>
      </c>
      <c r="F626" s="12" t="str">
        <f>IFERROR(__xludf.DUMMYFUNCTION("GOOGLETRANSLATE(B626,""zh_cn"",""vi"")"),"Nhập học")</f>
        <v>Nhập học</v>
      </c>
      <c r="G626" s="20" t="s">
        <v>5385</v>
      </c>
      <c r="I626" s="11" t="b">
        <f t="shared" si="5"/>
        <v>0</v>
      </c>
      <c r="J626" s="24"/>
      <c r="K626" s="11" t="b">
        <f t="shared" si="6"/>
        <v>0</v>
      </c>
    </row>
    <row r="627" ht="22.5" customHeight="1">
      <c r="A627" s="12">
        <f t="shared" si="4"/>
        <v>1625</v>
      </c>
      <c r="B627" s="26" t="s">
        <v>5386</v>
      </c>
      <c r="C627" s="7" t="str">
        <f t="shared" si="1"/>
        <v>🔊</v>
      </c>
      <c r="D627" s="8" t="s">
        <v>5387</v>
      </c>
      <c r="E627" s="6" t="s">
        <v>13</v>
      </c>
      <c r="F627" s="5" t="s">
        <v>5388</v>
      </c>
      <c r="G627" s="20" t="s">
        <v>5389</v>
      </c>
      <c r="I627" s="11" t="b">
        <f t="shared" si="5"/>
        <v>0</v>
      </c>
      <c r="J627" s="24"/>
      <c r="K627" s="11" t="b">
        <f t="shared" si="6"/>
        <v>0</v>
      </c>
    </row>
    <row r="628" ht="22.5" customHeight="1">
      <c r="A628" s="12">
        <f t="shared" si="4"/>
        <v>1626</v>
      </c>
      <c r="B628" s="26" t="s">
        <v>5390</v>
      </c>
      <c r="C628" s="7" t="str">
        <f t="shared" si="1"/>
        <v>🔊</v>
      </c>
      <c r="D628" s="8" t="s">
        <v>5391</v>
      </c>
      <c r="E628" s="6" t="s">
        <v>13</v>
      </c>
      <c r="F628" s="12" t="str">
        <f>IFERROR(__xludf.DUMMYFUNCTION("GOOGLETRANSLATE(B628,""zh_cn"",""vi"")"),"đi bộ")</f>
        <v>đi bộ</v>
      </c>
      <c r="G628" s="20" t="s">
        <v>5392</v>
      </c>
      <c r="I628" s="11" t="b">
        <f t="shared" si="5"/>
        <v>0</v>
      </c>
      <c r="J628" s="24"/>
      <c r="K628" s="11" t="b">
        <f t="shared" si="6"/>
        <v>0</v>
      </c>
    </row>
    <row r="629" ht="22.5" customHeight="1">
      <c r="A629" s="12">
        <f t="shared" si="4"/>
        <v>1627</v>
      </c>
      <c r="B629" s="26" t="s">
        <v>5393</v>
      </c>
      <c r="C629" s="7" t="str">
        <f t="shared" si="1"/>
        <v>🔊</v>
      </c>
      <c r="D629" s="8" t="s">
        <v>5394</v>
      </c>
      <c r="E629" s="6" t="s">
        <v>13</v>
      </c>
      <c r="F629" s="12" t="str">
        <f>IFERROR(__xludf.DUMMYFUNCTION("GOOGLETRANSLATE(B629,""zh_cn"",""vi"")"),"Quét mã")</f>
        <v>Quét mã</v>
      </c>
      <c r="G629" s="20" t="s">
        <v>5395</v>
      </c>
      <c r="I629" s="11" t="b">
        <f t="shared" si="5"/>
        <v>0</v>
      </c>
      <c r="J629" s="24"/>
      <c r="K629" s="11" t="b">
        <f t="shared" si="6"/>
        <v>0</v>
      </c>
    </row>
    <row r="630" ht="22.5" customHeight="1">
      <c r="A630" s="12">
        <f t="shared" si="4"/>
        <v>1628</v>
      </c>
      <c r="B630" s="26" t="s">
        <v>5396</v>
      </c>
      <c r="C630" s="7" t="str">
        <f t="shared" si="1"/>
        <v>🔊</v>
      </c>
      <c r="D630" s="8" t="s">
        <v>5397</v>
      </c>
      <c r="E630" s="6" t="s">
        <v>27</v>
      </c>
      <c r="F630" s="12" t="str">
        <f>IFERROR(__xludf.DUMMYFUNCTION("GOOGLETRANSLATE(B630,""zh_cn"",""vi"")"),"rừng")</f>
        <v>rừng</v>
      </c>
      <c r="G630" s="20" t="s">
        <v>5398</v>
      </c>
      <c r="I630" s="11" t="b">
        <f t="shared" si="5"/>
        <v>0</v>
      </c>
      <c r="J630" s="24"/>
      <c r="K630" s="11" t="b">
        <f t="shared" si="6"/>
        <v>0</v>
      </c>
    </row>
    <row r="631" ht="22.5" customHeight="1">
      <c r="A631" s="12">
        <f t="shared" si="4"/>
        <v>1629</v>
      </c>
      <c r="B631" s="26" t="s">
        <v>5399</v>
      </c>
      <c r="C631" s="7" t="str">
        <f t="shared" si="1"/>
        <v>🔊</v>
      </c>
      <c r="D631" s="8" t="s">
        <v>5400</v>
      </c>
      <c r="E631" s="6" t="s">
        <v>13</v>
      </c>
      <c r="F631" s="5" t="s">
        <v>5401</v>
      </c>
      <c r="G631" s="20" t="s">
        <v>5402</v>
      </c>
      <c r="I631" s="11" t="b">
        <f t="shared" si="5"/>
        <v>0</v>
      </c>
      <c r="J631" s="24"/>
      <c r="K631" s="11" t="b">
        <f t="shared" si="6"/>
        <v>0</v>
      </c>
    </row>
    <row r="632" ht="22.5" customHeight="1">
      <c r="A632" s="12">
        <f t="shared" si="4"/>
        <v>1630</v>
      </c>
      <c r="B632" s="26" t="s">
        <v>5403</v>
      </c>
      <c r="C632" s="7" t="str">
        <f t="shared" si="1"/>
        <v>🔊</v>
      </c>
      <c r="D632" s="8" t="s">
        <v>5404</v>
      </c>
      <c r="E632" s="6" t="s">
        <v>13</v>
      </c>
      <c r="F632" s="12" t="str">
        <f>IFERROR(__xludf.DUMMYFUNCTION("GOOGLETRANSLATE(B632,""zh_cn"",""vi"")"),"Dịch vụ tận nhà")</f>
        <v>Dịch vụ tận nhà</v>
      </c>
      <c r="G632" s="20" t="s">
        <v>5405</v>
      </c>
      <c r="I632" s="11" t="b">
        <f t="shared" si="5"/>
        <v>0</v>
      </c>
      <c r="J632" s="24"/>
      <c r="K632" s="11" t="b">
        <f t="shared" si="6"/>
        <v>0</v>
      </c>
    </row>
    <row r="633" ht="22.5" customHeight="1">
      <c r="A633" s="12">
        <f t="shared" si="4"/>
        <v>1631</v>
      </c>
      <c r="B633" s="26" t="s">
        <v>5406</v>
      </c>
      <c r="C633" s="7" t="str">
        <f t="shared" si="1"/>
        <v>🔊</v>
      </c>
      <c r="D633" s="8" t="s">
        <v>5407</v>
      </c>
      <c r="E633" s="6" t="s">
        <v>27</v>
      </c>
      <c r="F633" s="12" t="str">
        <f>IFERROR(__xludf.DUMMYFUNCTION("GOOGLETRANSLATE(B633,""zh_cn"",""vi"")"),"hàng hóa")</f>
        <v>hàng hóa</v>
      </c>
      <c r="G633" s="20" t="s">
        <v>5408</v>
      </c>
      <c r="I633" s="11" t="b">
        <f t="shared" si="5"/>
        <v>0</v>
      </c>
      <c r="J633" s="24"/>
      <c r="K633" s="11" t="b">
        <f t="shared" si="6"/>
        <v>0</v>
      </c>
    </row>
    <row r="634" ht="22.5" customHeight="1">
      <c r="A634" s="12">
        <f t="shared" si="4"/>
        <v>1632</v>
      </c>
      <c r="B634" s="26" t="s">
        <v>5409</v>
      </c>
      <c r="C634" s="7" t="str">
        <f t="shared" si="1"/>
        <v>🔊</v>
      </c>
      <c r="D634" s="8" t="s">
        <v>5410</v>
      </c>
      <c r="E634" s="6" t="s">
        <v>99</v>
      </c>
      <c r="F634" s="5" t="s">
        <v>5411</v>
      </c>
      <c r="G634" s="20" t="s">
        <v>5412</v>
      </c>
      <c r="I634" s="11" t="b">
        <f t="shared" si="5"/>
        <v>0</v>
      </c>
      <c r="J634" s="24"/>
      <c r="K634" s="11" t="b">
        <f t="shared" si="6"/>
        <v>0</v>
      </c>
    </row>
    <row r="635" ht="22.5" customHeight="1">
      <c r="A635" s="12">
        <f t="shared" si="4"/>
        <v>1633</v>
      </c>
      <c r="B635" s="26" t="s">
        <v>5413</v>
      </c>
      <c r="C635" s="7" t="str">
        <f t="shared" si="1"/>
        <v>🔊</v>
      </c>
      <c r="D635" s="8" t="s">
        <v>5414</v>
      </c>
      <c r="E635" s="6" t="s">
        <v>61</v>
      </c>
      <c r="F635" s="12" t="str">
        <f>IFERROR(__xludf.DUMMYFUNCTION("GOOGLETRANSLATE(B635,""zh_cn"",""vi"")"),"một chút")</f>
        <v>một chút</v>
      </c>
      <c r="G635" s="20" t="s">
        <v>5415</v>
      </c>
      <c r="I635" s="11" t="b">
        <f t="shared" si="5"/>
        <v>0</v>
      </c>
      <c r="J635" s="24"/>
      <c r="K635" s="11" t="b">
        <f t="shared" si="6"/>
        <v>0</v>
      </c>
    </row>
    <row r="636" ht="22.5" customHeight="1">
      <c r="A636" s="12">
        <f t="shared" si="4"/>
        <v>1634</v>
      </c>
      <c r="B636" s="26" t="s">
        <v>5416</v>
      </c>
      <c r="C636" s="7" t="str">
        <f t="shared" si="1"/>
        <v>🔊</v>
      </c>
      <c r="D636" s="8" t="s">
        <v>5417</v>
      </c>
      <c r="E636" s="6" t="s">
        <v>99</v>
      </c>
      <c r="F636" s="12" t="str">
        <f>IFERROR(__xludf.DUMMYFUNCTION("GOOGLETRANSLATE(B636,""zh_cn"",""vi"")"),"Hiếm")</f>
        <v>Hiếm</v>
      </c>
      <c r="G636" s="20" t="s">
        <v>5418</v>
      </c>
      <c r="I636" s="11" t="b">
        <f t="shared" si="5"/>
        <v>0</v>
      </c>
      <c r="J636" s="24"/>
      <c r="K636" s="11" t="b">
        <f t="shared" si="6"/>
        <v>0</v>
      </c>
    </row>
    <row r="637" ht="22.5" customHeight="1">
      <c r="A637" s="12">
        <f t="shared" si="4"/>
        <v>1635</v>
      </c>
      <c r="B637" s="26" t="s">
        <v>5419</v>
      </c>
      <c r="C637" s="7" t="str">
        <f t="shared" si="1"/>
        <v>🔊</v>
      </c>
      <c r="D637" s="8" t="s">
        <v>5420</v>
      </c>
      <c r="E637" s="6" t="s">
        <v>99</v>
      </c>
      <c r="F637" s="12" t="str">
        <f>IFERROR(__xludf.DUMMYFUNCTION("GOOGLETRANSLATE(B637,""zh_cn"",""vi"")"),"số lượng nhỏ")</f>
        <v>số lượng nhỏ</v>
      </c>
      <c r="G637" s="20" t="s">
        <v>5421</v>
      </c>
      <c r="I637" s="11" t="b">
        <f t="shared" si="5"/>
        <v>0</v>
      </c>
      <c r="J637" s="24"/>
      <c r="K637" s="11" t="b">
        <f t="shared" si="6"/>
        <v>0</v>
      </c>
    </row>
    <row r="638" ht="22.5" customHeight="1">
      <c r="A638" s="12">
        <f t="shared" si="4"/>
        <v>1636</v>
      </c>
      <c r="B638" s="26" t="s">
        <v>5422</v>
      </c>
      <c r="C638" s="7" t="str">
        <f t="shared" si="1"/>
        <v>🔊</v>
      </c>
      <c r="D638" s="8" t="s">
        <v>5423</v>
      </c>
      <c r="E638" s="6" t="s">
        <v>27</v>
      </c>
      <c r="F638" s="12" t="str">
        <f>IFERROR(__xludf.DUMMYFUNCTION("GOOGLETRANSLATE(B638,""zh_cn"",""vi"")"),"thiếu niên")</f>
        <v>thiếu niên</v>
      </c>
      <c r="G638" s="20" t="s">
        <v>5424</v>
      </c>
      <c r="I638" s="11" t="b">
        <f t="shared" si="5"/>
        <v>0</v>
      </c>
      <c r="J638" s="24"/>
      <c r="K638" s="11" t="b">
        <f t="shared" si="6"/>
        <v>0</v>
      </c>
    </row>
    <row r="639" ht="22.5" customHeight="1">
      <c r="A639" s="12">
        <f t="shared" si="4"/>
        <v>1637</v>
      </c>
      <c r="B639" s="26" t="s">
        <v>5425</v>
      </c>
      <c r="C639" s="7" t="str">
        <f t="shared" si="1"/>
        <v>🔊</v>
      </c>
      <c r="D639" s="8" t="s">
        <v>5426</v>
      </c>
      <c r="E639" s="6" t="s">
        <v>27</v>
      </c>
      <c r="F639" s="5" t="s">
        <v>5427</v>
      </c>
      <c r="G639" s="20" t="s">
        <v>5428</v>
      </c>
      <c r="I639" s="11" t="b">
        <f t="shared" si="5"/>
        <v>0</v>
      </c>
      <c r="J639" s="24"/>
      <c r="K639" s="11" t="b">
        <f t="shared" si="6"/>
        <v>0</v>
      </c>
    </row>
    <row r="640" ht="22.5" customHeight="1">
      <c r="A640" s="12">
        <f t="shared" si="4"/>
        <v>1638</v>
      </c>
      <c r="B640" s="26" t="s">
        <v>5429</v>
      </c>
      <c r="C640" s="7" t="str">
        <f t="shared" si="1"/>
        <v>🔊</v>
      </c>
      <c r="D640" s="8" t="s">
        <v>5430</v>
      </c>
      <c r="E640" s="6" t="s">
        <v>61</v>
      </c>
      <c r="F640" s="5" t="s">
        <v>5431</v>
      </c>
      <c r="G640" s="20" t="s">
        <v>5432</v>
      </c>
      <c r="I640" s="11" t="b">
        <f t="shared" si="5"/>
        <v>0</v>
      </c>
      <c r="J640" s="24"/>
      <c r="K640" s="11" t="b">
        <f t="shared" si="6"/>
        <v>0</v>
      </c>
    </row>
    <row r="641" ht="22.5" customHeight="1">
      <c r="A641" s="12">
        <f t="shared" si="4"/>
        <v>1639</v>
      </c>
      <c r="B641" s="26" t="s">
        <v>5433</v>
      </c>
      <c r="C641" s="7" t="str">
        <f t="shared" si="1"/>
        <v>🔊</v>
      </c>
      <c r="D641" s="8" t="s">
        <v>5434</v>
      </c>
      <c r="E641" s="6" t="s">
        <v>27</v>
      </c>
      <c r="F641" s="12" t="str">
        <f>IFERROR(__xludf.DUMMYFUNCTION("GOOGLETRANSLATE(B641,""zh_cn"",""vi"")"),"xã hội")</f>
        <v>xã hội</v>
      </c>
      <c r="G641" s="20" t="s">
        <v>5435</v>
      </c>
      <c r="I641" s="11" t="b">
        <f t="shared" si="5"/>
        <v>0</v>
      </c>
      <c r="J641" s="24"/>
      <c r="K641" s="11" t="b">
        <f t="shared" si="6"/>
        <v>0</v>
      </c>
    </row>
    <row r="642" ht="22.5" customHeight="1">
      <c r="A642" s="12">
        <f t="shared" si="4"/>
        <v>1640</v>
      </c>
      <c r="B642" s="26" t="s">
        <v>5436</v>
      </c>
      <c r="C642" s="7" t="str">
        <f t="shared" si="1"/>
        <v>🔊</v>
      </c>
      <c r="D642" s="8" t="s">
        <v>5437</v>
      </c>
      <c r="E642" s="6" t="s">
        <v>259</v>
      </c>
      <c r="F642" s="12" t="str">
        <f>IFERROR(__xludf.DUMMYFUNCTION("GOOGLETRANSLATE(B642,""zh_cn"",""vi"")"),"thân hình")</f>
        <v>thân hình</v>
      </c>
      <c r="G642" s="20" t="s">
        <v>5438</v>
      </c>
      <c r="I642" s="11" t="b">
        <f t="shared" si="5"/>
        <v>0</v>
      </c>
      <c r="J642" s="24"/>
      <c r="K642" s="11" t="b">
        <f t="shared" si="6"/>
        <v>0</v>
      </c>
    </row>
    <row r="643" ht="22.5" customHeight="1">
      <c r="A643" s="12">
        <f t="shared" si="4"/>
        <v>1641</v>
      </c>
      <c r="B643" s="26" t="s">
        <v>5439</v>
      </c>
      <c r="C643" s="7" t="str">
        <f t="shared" si="1"/>
        <v>🔊</v>
      </c>
      <c r="D643" s="8" t="s">
        <v>5437</v>
      </c>
      <c r="E643" s="6" t="s">
        <v>4761</v>
      </c>
      <c r="F643" s="12" t="str">
        <f>IFERROR(__xludf.DUMMYFUNCTION("GOOGLETRANSLATE(B643,""zh_cn"",""vi"")"),"sâu")</f>
        <v>sâu</v>
      </c>
      <c r="G643" s="20" t="s">
        <v>5440</v>
      </c>
      <c r="I643" s="11" t="b">
        <f t="shared" si="5"/>
        <v>0</v>
      </c>
      <c r="J643" s="24"/>
      <c r="K643" s="11" t="b">
        <f t="shared" si="6"/>
        <v>0</v>
      </c>
    </row>
    <row r="644" ht="22.5" customHeight="1">
      <c r="A644" s="12">
        <f t="shared" si="4"/>
        <v>1642</v>
      </c>
      <c r="B644" s="26" t="s">
        <v>5441</v>
      </c>
      <c r="C644" s="7" t="str">
        <f t="shared" si="1"/>
        <v>🔊</v>
      </c>
      <c r="D644" s="8" t="s">
        <v>5442</v>
      </c>
      <c r="E644" s="6" t="s">
        <v>27</v>
      </c>
      <c r="F644" s="12" t="str">
        <f>IFERROR(__xludf.DUMMYFUNCTION("GOOGLETRANSLATE(B644,""zh_cn"",""vi"")"),"Thẻ căn cước")</f>
        <v>Thẻ căn cước</v>
      </c>
      <c r="G644" s="20" t="s">
        <v>5443</v>
      </c>
      <c r="I644" s="11" t="b">
        <f t="shared" si="5"/>
        <v>0</v>
      </c>
      <c r="J644" s="24"/>
      <c r="K644" s="11" t="b">
        <f t="shared" si="6"/>
        <v>0</v>
      </c>
    </row>
    <row r="645" ht="22.5" customHeight="1">
      <c r="A645" s="12">
        <f t="shared" si="4"/>
        <v>1643</v>
      </c>
      <c r="B645" s="26" t="s">
        <v>5444</v>
      </c>
      <c r="C645" s="7" t="str">
        <f t="shared" si="1"/>
        <v>🔊</v>
      </c>
      <c r="D645" s="8" t="s">
        <v>5445</v>
      </c>
      <c r="E645" s="6" t="s">
        <v>13</v>
      </c>
      <c r="F645" s="12" t="str">
        <f>IFERROR(__xludf.DUMMYFUNCTION("GOOGLETRANSLATE(B645,""zh_cn"",""vi"")"),"Còn lại")</f>
        <v>Còn lại</v>
      </c>
      <c r="G645" s="20" t="s">
        <v>5446</v>
      </c>
      <c r="I645" s="11" t="b">
        <f t="shared" si="5"/>
        <v>0</v>
      </c>
      <c r="J645" s="24"/>
      <c r="K645" s="11" t="b">
        <f t="shared" si="6"/>
        <v>0</v>
      </c>
    </row>
    <row r="646" ht="22.5" customHeight="1">
      <c r="A646" s="12">
        <f t="shared" si="4"/>
        <v>1644</v>
      </c>
      <c r="B646" s="26" t="s">
        <v>5447</v>
      </c>
      <c r="C646" s="7" t="str">
        <f t="shared" si="1"/>
        <v>🔊</v>
      </c>
      <c r="D646" s="8" t="s">
        <v>5448</v>
      </c>
      <c r="E646" s="6" t="s">
        <v>27</v>
      </c>
      <c r="F646" s="5" t="s">
        <v>4557</v>
      </c>
      <c r="G646" s="20" t="s">
        <v>5449</v>
      </c>
      <c r="I646" s="11" t="b">
        <f t="shared" si="5"/>
        <v>0</v>
      </c>
      <c r="J646" s="24"/>
      <c r="K646" s="11" t="b">
        <f t="shared" si="6"/>
        <v>0</v>
      </c>
    </row>
    <row r="647" ht="22.5" customHeight="1">
      <c r="A647" s="12">
        <f t="shared" si="4"/>
        <v>1645</v>
      </c>
      <c r="B647" s="26" t="s">
        <v>5450</v>
      </c>
      <c r="C647" s="7" t="str">
        <f t="shared" si="1"/>
        <v>🔊</v>
      </c>
      <c r="D647" s="8" t="s">
        <v>2776</v>
      </c>
      <c r="E647" s="6" t="s">
        <v>13</v>
      </c>
      <c r="F647" s="12" t="str">
        <f>IFERROR(__xludf.DUMMYFUNCTION("GOOGLETRANSLATE(B647,""zh_cn"",""vi"")"),"sinh")</f>
        <v>sinh</v>
      </c>
      <c r="G647" s="20" t="s">
        <v>5451</v>
      </c>
      <c r="I647" s="11" t="b">
        <f t="shared" si="5"/>
        <v>0</v>
      </c>
      <c r="J647" s="24"/>
      <c r="K647" s="11" t="b">
        <f t="shared" si="6"/>
        <v>0</v>
      </c>
    </row>
    <row r="648" ht="22.5" customHeight="1">
      <c r="A648" s="12">
        <f t="shared" si="4"/>
        <v>1646</v>
      </c>
      <c r="B648" s="26" t="s">
        <v>5450</v>
      </c>
      <c r="C648" s="7" t="str">
        <f t="shared" si="1"/>
        <v>🔊</v>
      </c>
      <c r="D648" s="8" t="s">
        <v>2776</v>
      </c>
      <c r="E648" s="6" t="s">
        <v>4761</v>
      </c>
      <c r="F648" s="5" t="s">
        <v>5452</v>
      </c>
      <c r="I648" s="11" t="b">
        <f t="shared" si="5"/>
        <v>0</v>
      </c>
      <c r="J648" s="24"/>
      <c r="K648" s="11" t="b">
        <f t="shared" si="6"/>
        <v>0</v>
      </c>
    </row>
    <row r="649" ht="22.5" customHeight="1">
      <c r="A649" s="12">
        <f t="shared" si="4"/>
        <v>1647</v>
      </c>
      <c r="B649" s="26" t="s">
        <v>5453</v>
      </c>
      <c r="C649" s="7" t="str">
        <f t="shared" si="1"/>
        <v>🔊</v>
      </c>
      <c r="D649" s="8" t="s">
        <v>5454</v>
      </c>
      <c r="E649" s="6" t="s">
        <v>27</v>
      </c>
      <c r="F649" s="12" t="str">
        <f>IFERROR(__xludf.DUMMYFUNCTION("GOOGLETRANSLATE(B649,""zh_cn"",""vi"")"),"mạng sống")</f>
        <v>mạng sống</v>
      </c>
      <c r="G649" s="20" t="s">
        <v>5455</v>
      </c>
      <c r="I649" s="11" t="b">
        <f t="shared" si="5"/>
        <v>0</v>
      </c>
      <c r="J649" s="24"/>
      <c r="K649" s="11" t="b">
        <f t="shared" si="6"/>
        <v>0</v>
      </c>
    </row>
    <row r="650" ht="22.5" customHeight="1">
      <c r="A650" s="12">
        <f t="shared" si="4"/>
        <v>1648</v>
      </c>
      <c r="B650" s="26" t="s">
        <v>5456</v>
      </c>
      <c r="C650" s="7" t="str">
        <f t="shared" si="1"/>
        <v>🔊</v>
      </c>
      <c r="D650" s="8" t="s">
        <v>5457</v>
      </c>
      <c r="E650" s="6" t="s">
        <v>27</v>
      </c>
      <c r="F650" s="12" t="str">
        <f>IFERROR(__xludf.DUMMYFUNCTION("GOOGLETRANSLATE(B650,""zh_cn"",""vi"")"),"Việc kinh doanh")</f>
        <v>Việc kinh doanh</v>
      </c>
      <c r="G650" s="20" t="s">
        <v>5458</v>
      </c>
      <c r="I650" s="11" t="b">
        <f t="shared" si="5"/>
        <v>0</v>
      </c>
      <c r="J650" s="24"/>
      <c r="K650" s="11" t="b">
        <f t="shared" si="6"/>
        <v>0</v>
      </c>
    </row>
    <row r="651" ht="22.5" customHeight="1">
      <c r="A651" s="12">
        <f t="shared" si="4"/>
        <v>1649</v>
      </c>
      <c r="B651" s="26" t="s">
        <v>5459</v>
      </c>
      <c r="C651" s="7" t="str">
        <f t="shared" si="1"/>
        <v>🔊</v>
      </c>
      <c r="D651" s="8" t="s">
        <v>5460</v>
      </c>
      <c r="E651" s="6" t="s">
        <v>13</v>
      </c>
      <c r="F651" s="5" t="s">
        <v>5461</v>
      </c>
      <c r="G651" s="20" t="s">
        <v>5462</v>
      </c>
      <c r="I651" s="11" t="b">
        <f t="shared" si="5"/>
        <v>0</v>
      </c>
      <c r="J651" s="24"/>
      <c r="K651" s="11" t="b">
        <f t="shared" si="6"/>
        <v>0</v>
      </c>
    </row>
    <row r="652" ht="22.5" customHeight="1">
      <c r="A652" s="12">
        <f t="shared" si="4"/>
        <v>1650</v>
      </c>
      <c r="B652" s="26" t="s">
        <v>5463</v>
      </c>
      <c r="C652" s="7" t="str">
        <f t="shared" si="1"/>
        <v>🔊</v>
      </c>
      <c r="D652" s="8" t="s">
        <v>5464</v>
      </c>
      <c r="E652" s="6" t="s">
        <v>1132</v>
      </c>
      <c r="F652" s="12" t="str">
        <f>IFERROR(__xludf.DUMMYFUNCTION("GOOGLETRANSLATE(B652,""zh_cn"",""vi"")"),"thậm chí")</f>
        <v>thậm chí</v>
      </c>
      <c r="G652" s="20" t="s">
        <v>5465</v>
      </c>
      <c r="I652" s="11" t="b">
        <f t="shared" si="5"/>
        <v>0</v>
      </c>
      <c r="J652" s="24"/>
      <c r="K652" s="11" t="b">
        <f t="shared" si="6"/>
        <v>0</v>
      </c>
    </row>
    <row r="653" ht="22.5" customHeight="1">
      <c r="A653" s="12">
        <f t="shared" si="4"/>
        <v>1651</v>
      </c>
      <c r="B653" s="26" t="s">
        <v>5466</v>
      </c>
      <c r="C653" s="7" t="str">
        <f t="shared" si="1"/>
        <v>🔊</v>
      </c>
      <c r="D653" s="8" t="s">
        <v>5467</v>
      </c>
      <c r="E653" s="6" t="s">
        <v>47</v>
      </c>
      <c r="F653" s="12" t="str">
        <f>IFERROR(__xludf.DUMMYFUNCTION("GOOGLETRANSLATE(B653,""zh_cn"",""vi"")"),"Độ C")</f>
        <v>Độ C</v>
      </c>
      <c r="G653" s="20" t="s">
        <v>5468</v>
      </c>
      <c r="I653" s="11" t="b">
        <f t="shared" si="5"/>
        <v>0</v>
      </c>
      <c r="J653" s="24"/>
      <c r="K653" s="11" t="b">
        <f t="shared" si="6"/>
        <v>0</v>
      </c>
    </row>
    <row r="654" ht="22.5" customHeight="1">
      <c r="A654" s="12">
        <f t="shared" si="4"/>
        <v>1652</v>
      </c>
      <c r="B654" s="26" t="s">
        <v>5469</v>
      </c>
      <c r="C654" s="7" t="str">
        <f t="shared" si="1"/>
        <v>🔊</v>
      </c>
      <c r="D654" s="8" t="s">
        <v>5470</v>
      </c>
      <c r="E654" s="6" t="s">
        <v>13</v>
      </c>
      <c r="F654" s="5" t="s">
        <v>5471</v>
      </c>
      <c r="G654" s="20" t="s">
        <v>5472</v>
      </c>
      <c r="I654" s="11" t="b">
        <f t="shared" si="5"/>
        <v>0</v>
      </c>
      <c r="J654" s="24"/>
      <c r="K654" s="11" t="b">
        <f t="shared" si="6"/>
        <v>0</v>
      </c>
    </row>
    <row r="655" ht="22.5" customHeight="1">
      <c r="A655" s="12">
        <f t="shared" si="4"/>
        <v>1653</v>
      </c>
      <c r="B655" s="26" t="s">
        <v>5473</v>
      </c>
      <c r="C655" s="7" t="str">
        <f t="shared" si="1"/>
        <v>🔊</v>
      </c>
      <c r="D655" s="8" t="s">
        <v>5474</v>
      </c>
      <c r="E655" s="6" t="s">
        <v>368</v>
      </c>
      <c r="F655" s="12" t="str">
        <f>IFERROR(__xludf.DUMMYFUNCTION("GOOGLETRANSLATE(B655,""zh_cn"",""vi"")"),"thất bại")</f>
        <v>thất bại</v>
      </c>
      <c r="G655" s="20" t="s">
        <v>5475</v>
      </c>
      <c r="I655" s="11" t="b">
        <f t="shared" si="5"/>
        <v>0</v>
      </c>
      <c r="J655" s="24"/>
      <c r="K655" s="11" t="b">
        <f t="shared" si="6"/>
        <v>0</v>
      </c>
    </row>
    <row r="656" ht="22.5" customHeight="1">
      <c r="A656" s="12">
        <f t="shared" si="4"/>
        <v>1654</v>
      </c>
      <c r="B656" s="26" t="s">
        <v>5476</v>
      </c>
      <c r="C656" s="7" t="str">
        <f t="shared" si="1"/>
        <v>🔊</v>
      </c>
      <c r="D656" s="8" t="s">
        <v>5477</v>
      </c>
      <c r="E656" s="6" t="s">
        <v>27</v>
      </c>
      <c r="F656" s="12" t="str">
        <f>IFERROR(__xludf.DUMMYFUNCTION("GOOGLETRANSLATE(B656,""zh_cn"",""vi"")"),"chợ")</f>
        <v>chợ</v>
      </c>
      <c r="G656" s="20" t="s">
        <v>5478</v>
      </c>
      <c r="I656" s="11" t="b">
        <f t="shared" si="5"/>
        <v>0</v>
      </c>
      <c r="J656" s="24"/>
      <c r="K656" s="11" t="b">
        <f t="shared" si="6"/>
        <v>0</v>
      </c>
    </row>
    <row r="657" ht="22.5" customHeight="1">
      <c r="A657" s="12">
        <f t="shared" si="4"/>
        <v>1655</v>
      </c>
      <c r="B657" s="26" t="s">
        <v>5479</v>
      </c>
      <c r="C657" s="7" t="str">
        <f t="shared" si="1"/>
        <v>🔊</v>
      </c>
      <c r="D657" s="8" t="s">
        <v>5480</v>
      </c>
      <c r="E657" s="6" t="s">
        <v>61</v>
      </c>
      <c r="F657" s="12" t="str">
        <f>IFERROR(__xludf.DUMMYFUNCTION("GOOGLETRANSLATE(B657,""zh_cn"",""vi"")"),"rất")</f>
        <v>rất</v>
      </c>
      <c r="G657" s="20" t="s">
        <v>5481</v>
      </c>
      <c r="I657" s="11" t="b">
        <f t="shared" si="5"/>
        <v>0</v>
      </c>
      <c r="J657" s="24"/>
      <c r="K657" s="11" t="b">
        <f t="shared" si="6"/>
        <v>0</v>
      </c>
    </row>
    <row r="658" ht="22.5" customHeight="1">
      <c r="A658" s="12">
        <f t="shared" si="4"/>
        <v>1656</v>
      </c>
      <c r="B658" s="26" t="s">
        <v>5482</v>
      </c>
      <c r="C658" s="7" t="str">
        <f t="shared" si="1"/>
        <v>🔊</v>
      </c>
      <c r="D658" s="8" t="s">
        <v>5483</v>
      </c>
      <c r="E658" s="6" t="s">
        <v>61</v>
      </c>
      <c r="F658" s="12" t="str">
        <f>IFERROR(__xludf.DUMMYFUNCTION("GOOGLETRANSLATE(B658,""zh_cn"",""vi"")"),"liệu")</f>
        <v>liệu</v>
      </c>
      <c r="G658" s="20" t="s">
        <v>5484</v>
      </c>
      <c r="I658" s="11" t="b">
        <f t="shared" si="5"/>
        <v>0</v>
      </c>
      <c r="J658" s="24"/>
      <c r="K658" s="11" t="b">
        <f t="shared" si="6"/>
        <v>0</v>
      </c>
    </row>
    <row r="659" ht="22.5" customHeight="1">
      <c r="A659" s="12">
        <f t="shared" si="4"/>
        <v>1657</v>
      </c>
      <c r="B659" s="26" t="s">
        <v>5485</v>
      </c>
      <c r="C659" s="7" t="str">
        <f t="shared" si="1"/>
        <v>🔊</v>
      </c>
      <c r="D659" s="8" t="s">
        <v>5486</v>
      </c>
      <c r="E659" s="6" t="s">
        <v>27</v>
      </c>
      <c r="F659" s="5" t="s">
        <v>5487</v>
      </c>
      <c r="G659" s="20" t="s">
        <v>5488</v>
      </c>
      <c r="I659" s="11" t="b">
        <f t="shared" si="5"/>
        <v>0</v>
      </c>
      <c r="J659" s="24"/>
      <c r="K659" s="11" t="b">
        <f t="shared" si="6"/>
        <v>0</v>
      </c>
    </row>
    <row r="660" ht="22.5" customHeight="1">
      <c r="A660" s="12">
        <f t="shared" si="4"/>
        <v>1658</v>
      </c>
      <c r="B660" s="26" t="s">
        <v>5489</v>
      </c>
      <c r="C660" s="7" t="str">
        <f t="shared" si="1"/>
        <v>🔊</v>
      </c>
      <c r="D660" s="8" t="s">
        <v>5490</v>
      </c>
      <c r="E660" s="6" t="s">
        <v>27</v>
      </c>
      <c r="F660" s="12" t="str">
        <f>IFERROR(__xludf.DUMMYFUNCTION("GOOGLETRANSLATE(B660,""zh_cn"",""vi"")"),"đại sứ quán")</f>
        <v>đại sứ quán</v>
      </c>
      <c r="G660" s="20" t="s">
        <v>5491</v>
      </c>
      <c r="I660" s="11" t="b">
        <f t="shared" si="5"/>
        <v>0</v>
      </c>
      <c r="J660" s="24"/>
      <c r="K660" s="11" t="b">
        <f t="shared" si="6"/>
        <v>0</v>
      </c>
    </row>
    <row r="661" ht="22.5" customHeight="1">
      <c r="A661" s="12">
        <f t="shared" si="4"/>
        <v>1659</v>
      </c>
      <c r="B661" s="26" t="s">
        <v>5492</v>
      </c>
      <c r="C661" s="7" t="str">
        <f t="shared" si="1"/>
        <v>🔊</v>
      </c>
      <c r="D661" s="8" t="s">
        <v>5493</v>
      </c>
      <c r="E661" s="6" t="s">
        <v>13</v>
      </c>
      <c r="F661" s="12" t="str">
        <f>IFERROR(__xludf.DUMMYFUNCTION("GOOGLETRANSLATE(B661,""zh_cn"",""vi"")"),"Thích hợp")</f>
        <v>Thích hợp</v>
      </c>
      <c r="G661" s="20" t="s">
        <v>5494</v>
      </c>
      <c r="I661" s="11" t="b">
        <f t="shared" si="5"/>
        <v>0</v>
      </c>
      <c r="J661" s="24"/>
      <c r="K661" s="11" t="b">
        <f t="shared" si="6"/>
        <v>0</v>
      </c>
    </row>
    <row r="662" ht="22.5" customHeight="1">
      <c r="A662" s="12">
        <f t="shared" si="4"/>
        <v>1660</v>
      </c>
      <c r="B662" s="26" t="s">
        <v>5495</v>
      </c>
      <c r="C662" s="7" t="str">
        <f t="shared" si="1"/>
        <v>🔊</v>
      </c>
      <c r="D662" s="8" t="s">
        <v>5496</v>
      </c>
      <c r="E662" s="6" t="s">
        <v>3430</v>
      </c>
      <c r="F662" s="5" t="s">
        <v>5497</v>
      </c>
      <c r="G662" s="20" t="s">
        <v>5498</v>
      </c>
      <c r="I662" s="11" t="b">
        <f t="shared" si="5"/>
        <v>0</v>
      </c>
      <c r="J662" s="24"/>
      <c r="K662" s="11" t="b">
        <f t="shared" si="6"/>
        <v>0</v>
      </c>
    </row>
    <row r="663" ht="22.5" customHeight="1">
      <c r="A663" s="12">
        <f t="shared" si="4"/>
        <v>1661</v>
      </c>
      <c r="B663" s="26" t="s">
        <v>5499</v>
      </c>
      <c r="C663" s="7" t="str">
        <f t="shared" si="1"/>
        <v>🔊</v>
      </c>
      <c r="D663" s="8" t="s">
        <v>5500</v>
      </c>
      <c r="E663" s="6" t="s">
        <v>27</v>
      </c>
      <c r="F663" s="12" t="str">
        <f>IFERROR(__xludf.DUMMYFUNCTION("GOOGLETRANSLATE(B663,""zh_cn"",""vi"")"),"thế kỷ")</f>
        <v>thế kỷ</v>
      </c>
      <c r="G663" s="20" t="s">
        <v>5501</v>
      </c>
      <c r="I663" s="11" t="b">
        <f t="shared" si="5"/>
        <v>0</v>
      </c>
      <c r="J663" s="24"/>
      <c r="K663" s="11" t="b">
        <f t="shared" si="6"/>
        <v>0</v>
      </c>
    </row>
    <row r="664" ht="22.5" customHeight="1">
      <c r="A664" s="12">
        <f t="shared" si="4"/>
        <v>1662</v>
      </c>
      <c r="B664" s="26" t="s">
        <v>5502</v>
      </c>
      <c r="C664" s="7" t="str">
        <f t="shared" si="1"/>
        <v>🔊</v>
      </c>
      <c r="D664" s="8" t="s">
        <v>5503</v>
      </c>
      <c r="E664" s="6" t="s">
        <v>27</v>
      </c>
      <c r="F664" s="5" t="s">
        <v>5504</v>
      </c>
      <c r="G664" s="20" t="s">
        <v>5505</v>
      </c>
      <c r="I664" s="11" t="b">
        <f t="shared" si="5"/>
        <v>0</v>
      </c>
      <c r="J664" s="24"/>
      <c r="K664" s="11" t="b">
        <f t="shared" si="6"/>
        <v>0</v>
      </c>
    </row>
    <row r="665" ht="22.5" customHeight="1">
      <c r="A665" s="12">
        <f t="shared" si="4"/>
        <v>1663</v>
      </c>
      <c r="B665" s="26" t="s">
        <v>5506</v>
      </c>
      <c r="C665" s="7" t="str">
        <f t="shared" si="1"/>
        <v>🔊</v>
      </c>
      <c r="D665" s="8" t="s">
        <v>5507</v>
      </c>
      <c r="E665" s="6" t="s">
        <v>61</v>
      </c>
      <c r="F665" s="12" t="str">
        <f>IFERROR(__xludf.DUMMYFUNCTION("GOOGLETRANSLATE(B665,""zh_cn"",""vi"")"),"Trong thực tế")</f>
        <v>Trong thực tế</v>
      </c>
      <c r="G665" s="20" t="s">
        <v>5508</v>
      </c>
      <c r="I665" s="11" t="b">
        <f t="shared" si="5"/>
        <v>0</v>
      </c>
      <c r="J665" s="24"/>
      <c r="K665" s="11" t="b">
        <f t="shared" si="6"/>
        <v>0</v>
      </c>
    </row>
    <row r="666" ht="22.5" customHeight="1">
      <c r="A666" s="12">
        <f t="shared" si="4"/>
        <v>1664</v>
      </c>
      <c r="B666" s="26" t="s">
        <v>5509</v>
      </c>
      <c r="C666" s="7" t="str">
        <f t="shared" si="1"/>
        <v>🔊</v>
      </c>
      <c r="D666" s="8" t="s">
        <v>5510</v>
      </c>
      <c r="E666" s="6" t="s">
        <v>27</v>
      </c>
      <c r="F666" s="12" t="str">
        <f>IFERROR(__xludf.DUMMYFUNCTION("GOOGLETRANSLATE(B666,""zh_cn"",""vi"")"),"đồ ăn")</f>
        <v>đồ ăn</v>
      </c>
      <c r="G666" s="20" t="s">
        <v>5511</v>
      </c>
      <c r="I666" s="11" t="b">
        <f t="shared" si="5"/>
        <v>0</v>
      </c>
      <c r="J666" s="24"/>
      <c r="K666" s="11" t="b">
        <f t="shared" si="6"/>
        <v>0</v>
      </c>
    </row>
    <row r="667" ht="22.5" customHeight="1">
      <c r="A667" s="12">
        <f t="shared" si="4"/>
        <v>1665</v>
      </c>
      <c r="B667" s="26" t="s">
        <v>5512</v>
      </c>
      <c r="C667" s="7" t="str">
        <f t="shared" si="1"/>
        <v>🔊</v>
      </c>
      <c r="D667" s="8" t="s">
        <v>5513</v>
      </c>
      <c r="E667" s="6" t="s">
        <v>27</v>
      </c>
      <c r="F667" s="5" t="s">
        <v>5514</v>
      </c>
      <c r="G667" s="20" t="s">
        <v>5515</v>
      </c>
      <c r="I667" s="11" t="b">
        <f t="shared" si="5"/>
        <v>0</v>
      </c>
      <c r="J667" s="24"/>
      <c r="K667" s="11" t="b">
        <f t="shared" si="6"/>
        <v>0</v>
      </c>
    </row>
    <row r="668" ht="22.5" customHeight="1">
      <c r="A668" s="12">
        <f t="shared" si="4"/>
        <v>1666</v>
      </c>
      <c r="B668" s="26" t="s">
        <v>5516</v>
      </c>
      <c r="C668" s="7" t="str">
        <f t="shared" si="1"/>
        <v>🔊</v>
      </c>
      <c r="D668" s="8" t="s">
        <v>5517</v>
      </c>
      <c r="E668" s="6" t="s">
        <v>27</v>
      </c>
      <c r="F668" s="5" t="s">
        <v>5518</v>
      </c>
      <c r="G668" s="20" t="s">
        <v>5519</v>
      </c>
      <c r="I668" s="11" t="b">
        <f t="shared" si="5"/>
        <v>0</v>
      </c>
      <c r="J668" s="24"/>
      <c r="K668" s="11" t="b">
        <f t="shared" si="6"/>
        <v>0</v>
      </c>
    </row>
    <row r="669" ht="22.5" customHeight="1">
      <c r="A669" s="12">
        <f t="shared" si="4"/>
        <v>1667</v>
      </c>
      <c r="B669" s="26" t="s">
        <v>5520</v>
      </c>
      <c r="C669" s="7" t="str">
        <f t="shared" si="1"/>
        <v>🔊</v>
      </c>
      <c r="D669" s="8" t="s">
        <v>5521</v>
      </c>
      <c r="E669" s="6" t="s">
        <v>13</v>
      </c>
      <c r="F669" s="5" t="s">
        <v>5522</v>
      </c>
      <c r="G669" s="20" t="s">
        <v>5523</v>
      </c>
      <c r="I669" s="11" t="b">
        <f t="shared" si="5"/>
        <v>0</v>
      </c>
      <c r="J669" s="24"/>
      <c r="K669" s="11" t="b">
        <f t="shared" si="6"/>
        <v>0</v>
      </c>
    </row>
    <row r="670" ht="22.5" customHeight="1">
      <c r="A670" s="12">
        <f t="shared" si="4"/>
        <v>1668</v>
      </c>
      <c r="B670" s="26" t="s">
        <v>5524</v>
      </c>
      <c r="C670" s="7" t="str">
        <f t="shared" si="1"/>
        <v>🔊</v>
      </c>
      <c r="D670" s="8" t="s">
        <v>5525</v>
      </c>
      <c r="E670" s="6" t="s">
        <v>27</v>
      </c>
      <c r="F670" s="12" t="str">
        <f>IFERROR(__xludf.DUMMYFUNCTION("GOOGLETRANSLATE(B670,""zh_cn"",""vi"")"),"Giáo viên và học sinh")</f>
        <v>Giáo viên và học sinh</v>
      </c>
      <c r="G670" s="20" t="s">
        <v>5526</v>
      </c>
      <c r="I670" s="11" t="b">
        <f t="shared" si="5"/>
        <v>0</v>
      </c>
      <c r="J670" s="24"/>
      <c r="K670" s="11" t="b">
        <f t="shared" si="6"/>
        <v>0</v>
      </c>
    </row>
    <row r="671" ht="22.5" customHeight="1">
      <c r="A671" s="12">
        <f t="shared" si="4"/>
        <v>1669</v>
      </c>
      <c r="B671" s="26" t="s">
        <v>5527</v>
      </c>
      <c r="C671" s="7" t="str">
        <f t="shared" si="1"/>
        <v>🔊</v>
      </c>
      <c r="D671" s="8" t="s">
        <v>5528</v>
      </c>
      <c r="E671" s="6" t="s">
        <v>27</v>
      </c>
      <c r="F671" s="12" t="str">
        <f>IFERROR(__xludf.DUMMYFUNCTION("GOOGLETRANSLATE(B671,""zh_cn"",""vi"")"),"căng tin")</f>
        <v>căng tin</v>
      </c>
      <c r="G671" s="20" t="s">
        <v>5529</v>
      </c>
      <c r="I671" s="11" t="b">
        <f t="shared" si="5"/>
        <v>0</v>
      </c>
      <c r="J671" s="24"/>
      <c r="K671" s="11" t="b">
        <f t="shared" si="6"/>
        <v>0</v>
      </c>
    </row>
    <row r="672" ht="22.5" customHeight="1">
      <c r="A672" s="12">
        <f t="shared" si="4"/>
        <v>1670</v>
      </c>
      <c r="B672" s="26" t="s">
        <v>5530</v>
      </c>
      <c r="C672" s="7" t="str">
        <f t="shared" si="1"/>
        <v>🔊</v>
      </c>
      <c r="D672" s="8" t="s">
        <v>5531</v>
      </c>
      <c r="E672" s="6" t="s">
        <v>27</v>
      </c>
      <c r="F672" s="5" t="s">
        <v>5532</v>
      </c>
      <c r="G672" s="20" t="s">
        <v>5533</v>
      </c>
      <c r="I672" s="11" t="b">
        <f t="shared" si="5"/>
        <v>0</v>
      </c>
      <c r="J672" s="24"/>
      <c r="K672" s="11" t="b">
        <f t="shared" si="6"/>
        <v>0</v>
      </c>
    </row>
    <row r="673" ht="22.5" customHeight="1">
      <c r="A673" s="12">
        <f t="shared" si="4"/>
        <v>1671</v>
      </c>
      <c r="B673" s="26" t="s">
        <v>5534</v>
      </c>
      <c r="C673" s="7" t="str">
        <f t="shared" si="1"/>
        <v>🔊</v>
      </c>
      <c r="D673" s="8" t="s">
        <v>5535</v>
      </c>
      <c r="E673" s="6" t="s">
        <v>368</v>
      </c>
      <c r="F673" s="5" t="s">
        <v>5536</v>
      </c>
      <c r="G673" s="20" t="s">
        <v>5537</v>
      </c>
      <c r="I673" s="11" t="b">
        <f t="shared" si="5"/>
        <v>0</v>
      </c>
      <c r="J673" s="24"/>
      <c r="K673" s="11" t="b">
        <f t="shared" si="6"/>
        <v>0</v>
      </c>
    </row>
    <row r="674" ht="22.5" customHeight="1">
      <c r="A674" s="12">
        <f t="shared" si="4"/>
        <v>1672</v>
      </c>
      <c r="B674" s="26" t="s">
        <v>5538</v>
      </c>
      <c r="C674" s="7" t="str">
        <f t="shared" si="1"/>
        <v>🔊</v>
      </c>
      <c r="D674" s="8" t="s">
        <v>5539</v>
      </c>
      <c r="E674" s="6" t="s">
        <v>27</v>
      </c>
      <c r="F674" s="12" t="str">
        <f>IFERROR(__xludf.DUMMYFUNCTION("GOOGLETRANSLATE(B674,""zh_cn"",""vi"")"),"đồ ăn")</f>
        <v>đồ ăn</v>
      </c>
      <c r="G674" s="20" t="s">
        <v>5540</v>
      </c>
      <c r="I674" s="11" t="b">
        <f t="shared" si="5"/>
        <v>0</v>
      </c>
      <c r="J674" s="24"/>
      <c r="K674" s="11" t="b">
        <f t="shared" si="6"/>
        <v>0</v>
      </c>
    </row>
    <row r="675" ht="22.5" customHeight="1">
      <c r="A675" s="12">
        <f t="shared" si="4"/>
        <v>1673</v>
      </c>
      <c r="B675" s="26" t="s">
        <v>5541</v>
      </c>
      <c r="C675" s="7" t="str">
        <f t="shared" si="1"/>
        <v>🔊</v>
      </c>
      <c r="D675" s="8" t="s">
        <v>5542</v>
      </c>
      <c r="E675" s="6" t="s">
        <v>13</v>
      </c>
      <c r="F675" s="12" t="str">
        <f>IFERROR(__xludf.DUMMYFUNCTION("GOOGLETRANSLATE(B675,""zh_cn"",""vi"")"),"thích nghi")</f>
        <v>thích nghi</v>
      </c>
      <c r="G675" s="20" t="s">
        <v>5543</v>
      </c>
      <c r="I675" s="11" t="b">
        <f t="shared" si="5"/>
        <v>0</v>
      </c>
      <c r="J675" s="24"/>
      <c r="K675" s="11" t="b">
        <f t="shared" si="6"/>
        <v>0</v>
      </c>
    </row>
    <row r="676" ht="22.5" customHeight="1">
      <c r="A676" s="12">
        <f t="shared" si="4"/>
        <v>1674</v>
      </c>
      <c r="B676" s="26" t="s">
        <v>5544</v>
      </c>
      <c r="C676" s="7" t="str">
        <f t="shared" si="1"/>
        <v>🔊</v>
      </c>
      <c r="D676" s="8" t="s">
        <v>5545</v>
      </c>
      <c r="E676" s="6" t="s">
        <v>13</v>
      </c>
      <c r="F676" s="12" t="str">
        <f>IFERROR(__xludf.DUMMYFUNCTION("GOOGLETRANSLATE(B676,""zh_cn"",""vi"")"),"sử dụng")</f>
        <v>sử dụng</v>
      </c>
      <c r="G676" s="20" t="s">
        <v>5546</v>
      </c>
      <c r="I676" s="11" t="b">
        <f t="shared" si="5"/>
        <v>0</v>
      </c>
      <c r="J676" s="24"/>
      <c r="K676" s="11" t="b">
        <f t="shared" si="6"/>
        <v>0</v>
      </c>
    </row>
    <row r="677" ht="22.5" customHeight="1">
      <c r="A677" s="12">
        <f t="shared" si="4"/>
        <v>1675</v>
      </c>
      <c r="B677" s="26" t="s">
        <v>5547</v>
      </c>
      <c r="C677" s="7" t="str">
        <f t="shared" si="1"/>
        <v>🔊</v>
      </c>
      <c r="D677" s="8" t="s">
        <v>5548</v>
      </c>
      <c r="E677" s="6" t="s">
        <v>1308</v>
      </c>
      <c r="F677" s="12" t="str">
        <f>IFERROR(__xludf.DUMMYFUNCTION("GOOGLETRANSLATE(B677,""zh_cn"",""vi"")"),"Thực ra")</f>
        <v>Thực ra</v>
      </c>
      <c r="G677" s="20" t="s">
        <v>5549</v>
      </c>
      <c r="I677" s="11" t="b">
        <f t="shared" si="5"/>
        <v>0</v>
      </c>
      <c r="J677" s="24"/>
      <c r="K677" s="11" t="b">
        <f t="shared" si="6"/>
        <v>0</v>
      </c>
    </row>
    <row r="678" ht="22.5" customHeight="1">
      <c r="A678" s="12">
        <f t="shared" si="4"/>
        <v>1676</v>
      </c>
      <c r="B678" s="26" t="s">
        <v>5550</v>
      </c>
      <c r="C678" s="7" t="str">
        <f t="shared" si="1"/>
        <v>🔊</v>
      </c>
      <c r="D678" s="8" t="s">
        <v>5551</v>
      </c>
      <c r="E678" s="14"/>
      <c r="F678" s="12" t="str">
        <f>IFERROR(__xludf.DUMMYFUNCTION("GOOGLETRANSLATE(B678,""zh_cn"",""vi"")"),"ngã tư")</f>
        <v>ngã tư</v>
      </c>
      <c r="G678" s="20" t="s">
        <v>5552</v>
      </c>
      <c r="I678" s="11" t="b">
        <f t="shared" si="5"/>
        <v>0</v>
      </c>
      <c r="J678" s="24"/>
      <c r="K678" s="11" t="b">
        <f t="shared" si="6"/>
        <v>0</v>
      </c>
    </row>
    <row r="679" ht="22.5" customHeight="1">
      <c r="A679" s="12">
        <f t="shared" si="4"/>
        <v>1677</v>
      </c>
      <c r="B679" s="26" t="s">
        <v>5553</v>
      </c>
      <c r="C679" s="7" t="str">
        <f t="shared" si="1"/>
        <v>🔊</v>
      </c>
      <c r="D679" s="8" t="s">
        <v>1478</v>
      </c>
      <c r="E679" s="6" t="s">
        <v>47</v>
      </c>
      <c r="F679" s="5" t="s">
        <v>5554</v>
      </c>
      <c r="G679" s="20" t="s">
        <v>5555</v>
      </c>
      <c r="I679" s="11" t="b">
        <f t="shared" si="5"/>
        <v>0</v>
      </c>
      <c r="J679" s="24"/>
      <c r="K679" s="11" t="b">
        <f t="shared" si="6"/>
        <v>0</v>
      </c>
    </row>
    <row r="680" ht="22.5" customHeight="1">
      <c r="A680" s="12">
        <f t="shared" si="4"/>
        <v>1678</v>
      </c>
      <c r="B680" s="26" t="s">
        <v>5556</v>
      </c>
      <c r="C680" s="7" t="str">
        <f t="shared" si="1"/>
        <v>🔊</v>
      </c>
      <c r="D680" s="8" t="s">
        <v>5557</v>
      </c>
      <c r="E680" s="6" t="s">
        <v>13</v>
      </c>
      <c r="F680" s="5" t="s">
        <v>5558</v>
      </c>
      <c r="G680" s="20" t="s">
        <v>5559</v>
      </c>
      <c r="I680" s="11" t="b">
        <f t="shared" si="5"/>
        <v>0</v>
      </c>
      <c r="J680" s="24"/>
      <c r="K680" s="11" t="b">
        <f t="shared" si="6"/>
        <v>0</v>
      </c>
    </row>
    <row r="681" ht="22.5" customHeight="1">
      <c r="A681" s="12">
        <f t="shared" si="4"/>
        <v>1679</v>
      </c>
      <c r="B681" s="26" t="s">
        <v>5560</v>
      </c>
      <c r="C681" s="7" t="str">
        <f t="shared" si="1"/>
        <v>🔊</v>
      </c>
      <c r="D681" s="8" t="s">
        <v>5561</v>
      </c>
      <c r="E681" s="6" t="s">
        <v>27</v>
      </c>
      <c r="F681" s="12" t="str">
        <f>IFERROR(__xludf.DUMMYFUNCTION("GOOGLETRANSLATE(B681,""zh_cn"",""vi"")"),"thủ đô")</f>
        <v>thủ đô</v>
      </c>
      <c r="G681" s="20" t="s">
        <v>5562</v>
      </c>
      <c r="I681" s="11" t="b">
        <f t="shared" si="5"/>
        <v>0</v>
      </c>
      <c r="J681" s="24"/>
      <c r="K681" s="11" t="b">
        <f t="shared" si="6"/>
        <v>0</v>
      </c>
    </row>
    <row r="682" ht="22.5" customHeight="1">
      <c r="A682" s="12">
        <f t="shared" si="4"/>
        <v>1680</v>
      </c>
      <c r="B682" s="26" t="s">
        <v>5563</v>
      </c>
      <c r="C682" s="7" t="str">
        <f t="shared" si="1"/>
        <v>🔊</v>
      </c>
      <c r="D682" s="8" t="s">
        <v>5564</v>
      </c>
      <c r="E682" s="6" t="s">
        <v>13</v>
      </c>
      <c r="F682" s="5" t="s">
        <v>5565</v>
      </c>
      <c r="G682" s="20" t="s">
        <v>5566</v>
      </c>
      <c r="I682" s="11" t="b">
        <f t="shared" si="5"/>
        <v>0</v>
      </c>
      <c r="J682" s="24"/>
      <c r="K682" s="11" t="b">
        <f t="shared" si="6"/>
        <v>0</v>
      </c>
    </row>
    <row r="683" ht="22.5" customHeight="1">
      <c r="A683" s="12">
        <f t="shared" si="4"/>
        <v>1681</v>
      </c>
      <c r="B683" s="26" t="s">
        <v>5567</v>
      </c>
      <c r="C683" s="7" t="str">
        <f t="shared" si="1"/>
        <v>🔊</v>
      </c>
      <c r="D683" s="8" t="s">
        <v>5568</v>
      </c>
      <c r="E683" s="6" t="s">
        <v>27</v>
      </c>
      <c r="F683" s="5" t="s">
        <v>5569</v>
      </c>
      <c r="G683" s="20" t="s">
        <v>5570</v>
      </c>
      <c r="I683" s="11" t="b">
        <f t="shared" si="5"/>
        <v>0</v>
      </c>
      <c r="J683" s="24"/>
      <c r="K683" s="11" t="b">
        <f t="shared" si="6"/>
        <v>0</v>
      </c>
    </row>
    <row r="684" ht="22.5" customHeight="1">
      <c r="A684" s="12">
        <f t="shared" si="4"/>
        <v>1682</v>
      </c>
      <c r="B684" s="26" t="s">
        <v>5571</v>
      </c>
      <c r="C684" s="7" t="str">
        <f t="shared" si="1"/>
        <v>🔊</v>
      </c>
      <c r="D684" s="8" t="s">
        <v>5572</v>
      </c>
      <c r="E684" s="6" t="s">
        <v>232</v>
      </c>
      <c r="F684" s="12" t="str">
        <f>IFERROR(__xludf.DUMMYFUNCTION("GOOGLETRANSLATE(B684,""zh_cn"",""vi"")"),"thu nhập")</f>
        <v>thu nhập</v>
      </c>
      <c r="G684" s="20" t="s">
        <v>5573</v>
      </c>
      <c r="I684" s="11" t="b">
        <f t="shared" si="5"/>
        <v>0</v>
      </c>
      <c r="J684" s="24"/>
      <c r="K684" s="11" t="b">
        <f t="shared" si="6"/>
        <v>0</v>
      </c>
    </row>
    <row r="685" ht="22.5" customHeight="1">
      <c r="A685" s="12">
        <f t="shared" si="4"/>
        <v>1683</v>
      </c>
      <c r="B685" s="26" t="s">
        <v>5574</v>
      </c>
      <c r="C685" s="7" t="str">
        <f t="shared" si="1"/>
        <v>🔊</v>
      </c>
      <c r="D685" s="8" t="s">
        <v>5575</v>
      </c>
      <c r="E685" s="6" t="s">
        <v>13</v>
      </c>
      <c r="F685" s="12" t="str">
        <f>IFERROR(__xludf.DUMMYFUNCTION("GOOGLETRANSLATE(B685,""zh_cn"",""vi"")"),"Bị thương")</f>
        <v>Bị thương</v>
      </c>
      <c r="G685" s="20" t="s">
        <v>5576</v>
      </c>
      <c r="I685" s="11" t="b">
        <f t="shared" si="5"/>
        <v>0</v>
      </c>
      <c r="J685" s="24"/>
      <c r="K685" s="11" t="b">
        <f t="shared" si="6"/>
        <v>0</v>
      </c>
    </row>
    <row r="686" ht="22.5" customHeight="1">
      <c r="A686" s="12">
        <f t="shared" si="4"/>
        <v>1684</v>
      </c>
      <c r="B686" s="26" t="s">
        <v>5577</v>
      </c>
      <c r="C686" s="7" t="str">
        <f t="shared" si="1"/>
        <v>🔊</v>
      </c>
      <c r="D686" s="8" t="s">
        <v>5578</v>
      </c>
      <c r="E686" s="6" t="s">
        <v>13</v>
      </c>
      <c r="F686" s="5" t="s">
        <v>5579</v>
      </c>
      <c r="G686" s="20" t="s">
        <v>5580</v>
      </c>
      <c r="I686" s="11" t="b">
        <f t="shared" si="5"/>
        <v>0</v>
      </c>
      <c r="J686" s="24"/>
      <c r="K686" s="11" t="b">
        <f t="shared" si="6"/>
        <v>0</v>
      </c>
    </row>
    <row r="687" ht="22.5" customHeight="1">
      <c r="A687" s="12">
        <f t="shared" si="4"/>
        <v>1685</v>
      </c>
      <c r="B687" s="26" t="s">
        <v>5581</v>
      </c>
      <c r="C687" s="7" t="str">
        <f t="shared" si="1"/>
        <v>🔊</v>
      </c>
      <c r="D687" s="8" t="s">
        <v>5582</v>
      </c>
      <c r="E687" s="6" t="s">
        <v>13</v>
      </c>
      <c r="F687" s="12" t="str">
        <f>IFERROR(__xludf.DUMMYFUNCTION("GOOGLETRANSLATE(B687,""zh_cn"",""vi"")"),"Nghe")</f>
        <v>Nghe</v>
      </c>
      <c r="G687" s="20" t="s">
        <v>5583</v>
      </c>
      <c r="I687" s="11" t="b">
        <f t="shared" si="5"/>
        <v>0</v>
      </c>
      <c r="J687" s="24"/>
      <c r="K687" s="11" t="b">
        <f t="shared" si="6"/>
        <v>0</v>
      </c>
    </row>
    <row r="688" ht="22.5" customHeight="1">
      <c r="A688" s="12">
        <f t="shared" si="4"/>
        <v>1686</v>
      </c>
      <c r="B688" s="26" t="s">
        <v>5584</v>
      </c>
      <c r="C688" s="7" t="str">
        <f t="shared" si="1"/>
        <v>🔊</v>
      </c>
      <c r="D688" s="8" t="s">
        <v>5585</v>
      </c>
      <c r="E688" s="6" t="s">
        <v>5586</v>
      </c>
      <c r="F688" s="12" t="str">
        <f>IFERROR(__xludf.DUMMYFUNCTION("GOOGLETRANSLATE(B688,""zh_cn"",""vi"")"),"Đầu tiên")</f>
        <v>Đầu tiên</v>
      </c>
      <c r="G688" s="20" t="s">
        <v>5587</v>
      </c>
      <c r="I688" s="11" t="b">
        <f t="shared" si="5"/>
        <v>0</v>
      </c>
      <c r="J688" s="24"/>
      <c r="K688" s="11" t="b">
        <f t="shared" si="6"/>
        <v>0</v>
      </c>
    </row>
    <row r="689" ht="22.5" customHeight="1">
      <c r="A689" s="12">
        <f t="shared" si="4"/>
        <v>1687</v>
      </c>
      <c r="B689" s="26" t="s">
        <v>23</v>
      </c>
      <c r="C689" s="7" t="str">
        <f t="shared" si="1"/>
        <v>🔊</v>
      </c>
      <c r="D689" s="8" t="s">
        <v>2819</v>
      </c>
      <c r="E689" s="6" t="s">
        <v>5588</v>
      </c>
      <c r="F689" s="12" t="str">
        <f>IFERROR(__xludf.DUMMYFUNCTION("GOOGLETRANSLATE(B689,""zh_cn"",""vi"")"),"con số")</f>
        <v>con số</v>
      </c>
      <c r="G689" s="20" t="s">
        <v>5589</v>
      </c>
      <c r="I689" s="11" t="b">
        <f t="shared" si="5"/>
        <v>0</v>
      </c>
      <c r="J689" s="24"/>
      <c r="K689" s="11" t="b">
        <f t="shared" si="6"/>
        <v>0</v>
      </c>
    </row>
    <row r="690" ht="22.5" customHeight="1">
      <c r="A690" s="12">
        <f t="shared" si="4"/>
        <v>1688</v>
      </c>
      <c r="B690" s="26" t="s">
        <v>5590</v>
      </c>
      <c r="C690" s="7" t="str">
        <f t="shared" si="1"/>
        <v>🔊</v>
      </c>
      <c r="D690" s="8" t="s">
        <v>656</v>
      </c>
      <c r="E690" s="6" t="s">
        <v>13</v>
      </c>
      <c r="F690" s="12" t="str">
        <f>IFERROR(__xludf.DUMMYFUNCTION("GOOGLETRANSLATE(B690,""zh_cn"",""vi"")"),"thua")</f>
        <v>thua</v>
      </c>
      <c r="G690" s="20" t="s">
        <v>5591</v>
      </c>
      <c r="I690" s="11" t="b">
        <f t="shared" si="5"/>
        <v>0</v>
      </c>
      <c r="J690" s="24"/>
      <c r="K690" s="11" t="b">
        <f t="shared" si="6"/>
        <v>0</v>
      </c>
    </row>
    <row r="691" ht="22.5" customHeight="1">
      <c r="A691" s="12">
        <f t="shared" si="4"/>
        <v>1689</v>
      </c>
      <c r="B691" s="26" t="s">
        <v>5592</v>
      </c>
      <c r="C691" s="7" t="str">
        <f t="shared" si="1"/>
        <v>🔊</v>
      </c>
      <c r="D691" s="8" t="s">
        <v>5593</v>
      </c>
      <c r="E691" s="6" t="s">
        <v>99</v>
      </c>
      <c r="F691" s="12" t="str">
        <f>IFERROR(__xludf.DUMMYFUNCTION("GOOGLETRANSLATE(B691,""zh_cn"",""vi"")"),"Đã nấu chín")</f>
        <v>Đã nấu chín</v>
      </c>
      <c r="G691" s="20" t="s">
        <v>5594</v>
      </c>
      <c r="I691" s="11" t="b">
        <f t="shared" si="5"/>
        <v>0</v>
      </c>
      <c r="J691" s="24"/>
      <c r="K691" s="11" t="b">
        <f t="shared" si="6"/>
        <v>0</v>
      </c>
    </row>
    <row r="692" ht="22.5" customHeight="1">
      <c r="A692" s="12">
        <f t="shared" si="4"/>
        <v>1690</v>
      </c>
      <c r="B692" s="26" t="s">
        <v>5595</v>
      </c>
      <c r="C692" s="7" t="str">
        <f t="shared" si="1"/>
        <v>🔊</v>
      </c>
      <c r="D692" s="8" t="s">
        <v>5596</v>
      </c>
      <c r="E692" s="6" t="s">
        <v>99</v>
      </c>
      <c r="F692" s="12" t="str">
        <f>IFERROR(__xludf.DUMMYFUNCTION("GOOGLETRANSLATE(B692,""zh_cn"",""vi"")"),"đẹp trai")</f>
        <v>đẹp trai</v>
      </c>
      <c r="G692" s="20" t="s">
        <v>5597</v>
      </c>
      <c r="I692" s="11" t="b">
        <f t="shared" si="5"/>
        <v>0</v>
      </c>
      <c r="J692" s="24"/>
      <c r="K692" s="11" t="b">
        <f t="shared" si="6"/>
        <v>0</v>
      </c>
    </row>
    <row r="693" ht="22.5" customHeight="1">
      <c r="A693" s="12">
        <f t="shared" si="4"/>
        <v>1691</v>
      </c>
      <c r="B693" s="26" t="s">
        <v>5598</v>
      </c>
      <c r="C693" s="7" t="str">
        <f t="shared" si="1"/>
        <v>🔊</v>
      </c>
      <c r="D693" s="8" t="s">
        <v>5599</v>
      </c>
      <c r="E693" s="6" t="s">
        <v>27</v>
      </c>
      <c r="F693" s="12" t="str">
        <f>IFERROR(__xludf.DUMMYFUNCTION("GOOGLETRANSLATE(B693,""zh_cn"",""vi"")"),"kỳ nghỉ hè")</f>
        <v>kỳ nghỉ hè</v>
      </c>
      <c r="G693" s="20" t="s">
        <v>5600</v>
      </c>
      <c r="I693" s="11" t="b">
        <f t="shared" si="5"/>
        <v>0</v>
      </c>
      <c r="J693" s="24"/>
      <c r="K693" s="11" t="b">
        <f t="shared" si="6"/>
        <v>0</v>
      </c>
    </row>
    <row r="694" ht="22.5" customHeight="1">
      <c r="A694" s="12">
        <f t="shared" si="4"/>
        <v>1692</v>
      </c>
      <c r="B694" s="26" t="s">
        <v>874</v>
      </c>
      <c r="C694" s="7" t="str">
        <f t="shared" si="1"/>
        <v>🔊</v>
      </c>
      <c r="D694" s="8" t="s">
        <v>5601</v>
      </c>
      <c r="E694" s="6" t="s">
        <v>27</v>
      </c>
      <c r="F694" s="12" t="str">
        <f>IFERROR(__xludf.DUMMYFUNCTION("GOOGLETRANSLATE(B694,""zh_cn"",""vi"")"),"Số lượng")</f>
        <v>Số lượng</v>
      </c>
      <c r="G694" s="20" t="s">
        <v>5602</v>
      </c>
      <c r="I694" s="11" t="b">
        <f t="shared" si="5"/>
        <v>0</v>
      </c>
      <c r="J694" s="24"/>
      <c r="K694" s="11" t="b">
        <f t="shared" si="6"/>
        <v>0</v>
      </c>
    </row>
    <row r="695" ht="22.5" customHeight="1">
      <c r="A695" s="12">
        <f t="shared" si="4"/>
        <v>1693</v>
      </c>
      <c r="B695" s="26" t="s">
        <v>5603</v>
      </c>
      <c r="C695" s="7" t="str">
        <f t="shared" si="1"/>
        <v>🔊</v>
      </c>
      <c r="D695" s="8" t="s">
        <v>5604</v>
      </c>
      <c r="E695" s="6" t="s">
        <v>27</v>
      </c>
      <c r="F695" s="5" t="s">
        <v>5605</v>
      </c>
      <c r="G695" s="20" t="s">
        <v>5606</v>
      </c>
      <c r="I695" s="11" t="b">
        <f t="shared" si="5"/>
        <v>0</v>
      </c>
      <c r="J695" s="24"/>
      <c r="K695" s="11" t="b">
        <f t="shared" si="6"/>
        <v>0</v>
      </c>
    </row>
    <row r="696" ht="22.5" customHeight="1">
      <c r="A696" s="12">
        <f t="shared" si="4"/>
        <v>1694</v>
      </c>
      <c r="B696" s="26" t="s">
        <v>5607</v>
      </c>
      <c r="C696" s="7" t="str">
        <f t="shared" si="1"/>
        <v>🔊</v>
      </c>
      <c r="D696" s="8" t="s">
        <v>5608</v>
      </c>
      <c r="E696" s="6" t="s">
        <v>61</v>
      </c>
      <c r="F696" s="5" t="s">
        <v>5609</v>
      </c>
      <c r="G696" s="20" t="s">
        <v>5610</v>
      </c>
      <c r="I696" s="11" t="b">
        <f t="shared" si="5"/>
        <v>0</v>
      </c>
      <c r="J696" s="24"/>
      <c r="K696" s="11" t="b">
        <f t="shared" si="6"/>
        <v>0</v>
      </c>
    </row>
    <row r="697" ht="22.5" customHeight="1">
      <c r="A697" s="12">
        <f t="shared" si="4"/>
        <v>1695</v>
      </c>
      <c r="B697" s="26" t="s">
        <v>5611</v>
      </c>
      <c r="C697" s="7" t="str">
        <f t="shared" si="1"/>
        <v>🔊</v>
      </c>
      <c r="D697" s="8" t="s">
        <v>5612</v>
      </c>
      <c r="E697" s="6" t="s">
        <v>99</v>
      </c>
      <c r="F697" s="5" t="s">
        <v>5613</v>
      </c>
      <c r="G697" s="20" t="s">
        <v>5614</v>
      </c>
      <c r="I697" s="11" t="b">
        <f t="shared" si="5"/>
        <v>0</v>
      </c>
      <c r="J697" s="24"/>
      <c r="K697" s="11" t="b">
        <f t="shared" si="6"/>
        <v>0</v>
      </c>
    </row>
    <row r="698" ht="22.5" customHeight="1">
      <c r="A698" s="12">
        <f t="shared" si="4"/>
        <v>1696</v>
      </c>
      <c r="B698" s="26" t="s">
        <v>5615</v>
      </c>
      <c r="C698" s="7" t="str">
        <f t="shared" si="1"/>
        <v>🔊</v>
      </c>
      <c r="D698" s="8" t="s">
        <v>5616</v>
      </c>
      <c r="E698" s="6" t="s">
        <v>27</v>
      </c>
      <c r="F698" s="5" t="s">
        <v>5617</v>
      </c>
      <c r="G698" s="20" t="s">
        <v>5618</v>
      </c>
      <c r="I698" s="11" t="b">
        <f t="shared" si="5"/>
        <v>0</v>
      </c>
      <c r="J698" s="24"/>
      <c r="K698" s="11" t="b">
        <f t="shared" si="6"/>
        <v>0</v>
      </c>
    </row>
    <row r="699" ht="22.5" customHeight="1">
      <c r="A699" s="12">
        <f t="shared" si="4"/>
        <v>1697</v>
      </c>
      <c r="B699" s="26" t="s">
        <v>5619</v>
      </c>
      <c r="C699" s="7" t="str">
        <f t="shared" si="1"/>
        <v>🔊</v>
      </c>
      <c r="D699" s="8" t="s">
        <v>5620</v>
      </c>
      <c r="E699" s="6" t="s">
        <v>27</v>
      </c>
      <c r="F699" s="5" t="s">
        <v>5621</v>
      </c>
      <c r="G699" s="20" t="s">
        <v>5622</v>
      </c>
      <c r="I699" s="11" t="b">
        <f t="shared" si="5"/>
        <v>0</v>
      </c>
      <c r="J699" s="24"/>
      <c r="K699" s="11" t="b">
        <f t="shared" si="6"/>
        <v>0</v>
      </c>
    </row>
    <row r="700" ht="22.5" customHeight="1">
      <c r="A700" s="12">
        <f t="shared" si="4"/>
        <v>1698</v>
      </c>
      <c r="B700" s="26" t="s">
        <v>5623</v>
      </c>
      <c r="C700" s="7" t="str">
        <f t="shared" si="1"/>
        <v>🔊</v>
      </c>
      <c r="D700" s="8" t="s">
        <v>5624</v>
      </c>
      <c r="E700" s="6" t="s">
        <v>232</v>
      </c>
      <c r="F700" s="5" t="s">
        <v>5625</v>
      </c>
      <c r="G700" s="20" t="s">
        <v>5626</v>
      </c>
      <c r="I700" s="11" t="b">
        <f t="shared" si="5"/>
        <v>0</v>
      </c>
      <c r="J700" s="24"/>
      <c r="K700" s="11" t="b">
        <f t="shared" si="6"/>
        <v>0</v>
      </c>
    </row>
    <row r="701" ht="22.5" customHeight="1">
      <c r="A701" s="12">
        <f t="shared" si="4"/>
        <v>1699</v>
      </c>
      <c r="B701" s="26" t="s">
        <v>5627</v>
      </c>
      <c r="C701" s="7" t="str">
        <f t="shared" si="1"/>
        <v>🔊</v>
      </c>
      <c r="D701" s="8" t="s">
        <v>5628</v>
      </c>
      <c r="E701" s="6" t="s">
        <v>27</v>
      </c>
      <c r="F701" s="5" t="s">
        <v>5629</v>
      </c>
      <c r="G701" s="20" t="s">
        <v>5630</v>
      </c>
      <c r="I701" s="11" t="b">
        <f t="shared" si="5"/>
        <v>0</v>
      </c>
      <c r="J701" s="24"/>
      <c r="K701" s="11" t="b">
        <f t="shared" si="6"/>
        <v>0</v>
      </c>
    </row>
    <row r="702" ht="22.5" customHeight="1">
      <c r="A702" s="12">
        <f t="shared" si="4"/>
        <v>1700</v>
      </c>
      <c r="B702" s="26" t="s">
        <v>5631</v>
      </c>
      <c r="C702" s="7" t="str">
        <f t="shared" si="1"/>
        <v>🔊</v>
      </c>
      <c r="D702" s="8" t="s">
        <v>5632</v>
      </c>
      <c r="E702" s="6" t="s">
        <v>27</v>
      </c>
      <c r="F702" s="5" t="s">
        <v>5633</v>
      </c>
      <c r="G702" s="20" t="s">
        <v>5634</v>
      </c>
      <c r="I702" s="11" t="b">
        <f t="shared" si="5"/>
        <v>0</v>
      </c>
      <c r="J702" s="24"/>
      <c r="K702" s="11" t="b">
        <f t="shared" si="6"/>
        <v>0</v>
      </c>
    </row>
    <row r="703" ht="22.5" customHeight="1">
      <c r="A703" s="12">
        <f t="shared" si="4"/>
        <v>1701</v>
      </c>
      <c r="B703" s="26" t="s">
        <v>5635</v>
      </c>
      <c r="C703" s="7" t="str">
        <f t="shared" si="1"/>
        <v>🔊</v>
      </c>
      <c r="D703" s="8" t="s">
        <v>5636</v>
      </c>
      <c r="E703" s="6" t="s">
        <v>13</v>
      </c>
      <c r="F703" s="12" t="str">
        <f>IFERROR(__xludf.DUMMYFUNCTION("GOOGLETRANSLATE(B703,""zh_cn"",""vi"")"),"thân thuộc")</f>
        <v>thân thuộc</v>
      </c>
      <c r="G703" s="20" t="s">
        <v>5637</v>
      </c>
      <c r="I703" s="11" t="b">
        <f t="shared" si="5"/>
        <v>0</v>
      </c>
      <c r="J703" s="24"/>
      <c r="K703" s="11" t="b">
        <f t="shared" si="6"/>
        <v>0</v>
      </c>
    </row>
    <row r="704" ht="22.5" customHeight="1">
      <c r="A704" s="12">
        <f t="shared" si="4"/>
        <v>1702</v>
      </c>
      <c r="B704" s="26" t="s">
        <v>5638</v>
      </c>
      <c r="C704" s="7" t="str">
        <f t="shared" si="1"/>
        <v>🔊</v>
      </c>
      <c r="D704" s="8" t="s">
        <v>5639</v>
      </c>
      <c r="E704" s="6" t="s">
        <v>27</v>
      </c>
      <c r="F704" s="12" t="str">
        <f>IFERROR(__xludf.DUMMYFUNCTION("GOOGLETRANSLATE(B704,""zh_cn"",""vi"")"),"con số")</f>
        <v>con số</v>
      </c>
      <c r="G704" s="20" t="s">
        <v>5640</v>
      </c>
      <c r="I704" s="11" t="b">
        <f t="shared" si="5"/>
        <v>0</v>
      </c>
      <c r="J704" s="24"/>
      <c r="K704" s="11" t="b">
        <f t="shared" si="6"/>
        <v>0</v>
      </c>
    </row>
    <row r="705" ht="22.5" customHeight="1">
      <c r="A705" s="12">
        <f t="shared" si="4"/>
        <v>1703</v>
      </c>
      <c r="B705" s="26" t="s">
        <v>5641</v>
      </c>
      <c r="C705" s="7" t="str">
        <f t="shared" si="1"/>
        <v>🔊</v>
      </c>
      <c r="D705" s="8" t="s">
        <v>5642</v>
      </c>
      <c r="E705" s="6" t="s">
        <v>5643</v>
      </c>
      <c r="F705" s="12" t="str">
        <f>IFERROR(__xludf.DUMMYFUNCTION("GOOGLETRANSLATE(B705,""zh_cn"",""vi"")"),"chết")</f>
        <v>chết</v>
      </c>
      <c r="G705" s="20" t="s">
        <v>5644</v>
      </c>
      <c r="I705" s="11" t="b">
        <f t="shared" si="5"/>
        <v>0</v>
      </c>
      <c r="J705" s="24"/>
      <c r="K705" s="11" t="b">
        <f t="shared" si="6"/>
        <v>0</v>
      </c>
    </row>
    <row r="706" ht="22.5" customHeight="1">
      <c r="A706" s="12">
        <f t="shared" si="4"/>
        <v>1704</v>
      </c>
      <c r="B706" s="26" t="s">
        <v>5645</v>
      </c>
      <c r="C706" s="7" t="str">
        <f t="shared" si="1"/>
        <v>🔊</v>
      </c>
      <c r="D706" s="8" t="s">
        <v>5646</v>
      </c>
      <c r="E706" s="6" t="s">
        <v>433</v>
      </c>
      <c r="F706" s="12" t="str">
        <f>IFERROR(__xludf.DUMMYFUNCTION("GOOGLETRANSLATE(B706,""zh_cn"",""vi"")"),"Tính toán")</f>
        <v>Tính toán</v>
      </c>
      <c r="G706" s="20" t="s">
        <v>5647</v>
      </c>
      <c r="I706" s="11" t="b">
        <f t="shared" si="5"/>
        <v>0</v>
      </c>
      <c r="J706" s="24"/>
      <c r="K706" s="11" t="b">
        <f t="shared" si="6"/>
        <v>0</v>
      </c>
    </row>
    <row r="707" ht="22.5" customHeight="1">
      <c r="A707" s="12">
        <f t="shared" si="4"/>
        <v>1705</v>
      </c>
      <c r="B707" s="26" t="s">
        <v>5648</v>
      </c>
      <c r="C707" s="7" t="str">
        <f t="shared" si="1"/>
        <v>🔊</v>
      </c>
      <c r="D707" s="8" t="s">
        <v>5649</v>
      </c>
      <c r="E707" s="6" t="s">
        <v>99</v>
      </c>
      <c r="F707" s="5" t="s">
        <v>5650</v>
      </c>
      <c r="G707" s="20" t="s">
        <v>5651</v>
      </c>
      <c r="I707" s="11" t="b">
        <f t="shared" si="5"/>
        <v>0</v>
      </c>
      <c r="J707" s="24"/>
      <c r="K707" s="11" t="b">
        <f t="shared" si="6"/>
        <v>0</v>
      </c>
    </row>
    <row r="708" ht="22.5" customHeight="1">
      <c r="A708" s="12">
        <f t="shared" si="4"/>
        <v>1706</v>
      </c>
      <c r="B708" s="26" t="s">
        <v>5652</v>
      </c>
      <c r="C708" s="7" t="str">
        <f t="shared" si="1"/>
        <v>🔊</v>
      </c>
      <c r="D708" s="8" t="s">
        <v>5653</v>
      </c>
      <c r="E708" s="6" t="s">
        <v>27</v>
      </c>
      <c r="F708" s="5" t="s">
        <v>5654</v>
      </c>
      <c r="G708" s="20" t="s">
        <v>5655</v>
      </c>
      <c r="I708" s="11" t="b">
        <f t="shared" si="5"/>
        <v>0</v>
      </c>
      <c r="J708" s="24"/>
      <c r="K708" s="11" t="b">
        <f t="shared" si="6"/>
        <v>0</v>
      </c>
    </row>
    <row r="709" ht="22.5" customHeight="1">
      <c r="A709" s="12">
        <f t="shared" si="4"/>
        <v>1707</v>
      </c>
      <c r="B709" s="26" t="s">
        <v>5656</v>
      </c>
      <c r="C709" s="7" t="str">
        <f t="shared" si="1"/>
        <v>🔊</v>
      </c>
      <c r="D709" s="8" t="s">
        <v>5657</v>
      </c>
      <c r="E709" s="6" t="s">
        <v>27</v>
      </c>
      <c r="F709" s="12" t="str">
        <f>IFERROR(__xludf.DUMMYFUNCTION("GOOGLETRANSLATE(B709,""zh_cn"",""vi"")"),"tốc độ")</f>
        <v>tốc độ</v>
      </c>
      <c r="G709" s="20" t="s">
        <v>5658</v>
      </c>
      <c r="I709" s="11" t="b">
        <f t="shared" si="5"/>
        <v>0</v>
      </c>
      <c r="J709" s="24"/>
      <c r="K709" s="11" t="b">
        <f t="shared" si="6"/>
        <v>0</v>
      </c>
    </row>
    <row r="710" ht="22.5" customHeight="1">
      <c r="A710" s="12">
        <f t="shared" si="4"/>
        <v>1708</v>
      </c>
      <c r="B710" s="26" t="s">
        <v>5659</v>
      </c>
      <c r="C710" s="7" t="str">
        <f t="shared" si="1"/>
        <v>🔊</v>
      </c>
      <c r="D710" s="8" t="s">
        <v>5660</v>
      </c>
      <c r="E710" s="6" t="s">
        <v>5661</v>
      </c>
      <c r="F710" s="5" t="s">
        <v>5662</v>
      </c>
      <c r="G710" s="20" t="s">
        <v>5663</v>
      </c>
      <c r="I710" s="11" t="b">
        <f t="shared" si="5"/>
        <v>0</v>
      </c>
      <c r="J710" s="24"/>
      <c r="K710" s="11" t="b">
        <f t="shared" si="6"/>
        <v>0</v>
      </c>
    </row>
    <row r="711" ht="22.5" customHeight="1">
      <c r="A711" s="12">
        <f t="shared" si="4"/>
        <v>1709</v>
      </c>
      <c r="B711" s="26" t="s">
        <v>5664</v>
      </c>
      <c r="C711" s="7" t="str">
        <f t="shared" si="1"/>
        <v>🔊</v>
      </c>
      <c r="D711" s="8" t="s">
        <v>5665</v>
      </c>
      <c r="E711" s="6" t="s">
        <v>1766</v>
      </c>
      <c r="F711" s="12" t="str">
        <f>IFERROR(__xludf.DUMMYFUNCTION("GOOGLETRANSLATE(B711,""zh_cn"",""vi"")"),"cùng với")</f>
        <v>cùng với</v>
      </c>
      <c r="G711" s="20" t="s">
        <v>5666</v>
      </c>
      <c r="I711" s="11" t="b">
        <f t="shared" si="5"/>
        <v>0</v>
      </c>
      <c r="J711" s="24"/>
      <c r="K711" s="11" t="b">
        <f t="shared" si="6"/>
        <v>0</v>
      </c>
    </row>
    <row r="712" ht="22.5" customHeight="1">
      <c r="A712" s="12">
        <f t="shared" si="4"/>
        <v>1710</v>
      </c>
      <c r="B712" s="26" t="s">
        <v>5667</v>
      </c>
      <c r="C712" s="7" t="str">
        <f t="shared" si="1"/>
        <v>🔊</v>
      </c>
      <c r="D712" s="8" t="s">
        <v>5668</v>
      </c>
      <c r="E712" s="6" t="s">
        <v>27</v>
      </c>
      <c r="F712" s="12" t="str">
        <f>IFERROR(__xludf.DUMMYFUNCTION("GOOGLETRANSLATE(B712,""zh_cn"",""vi"")"),"nhựa")</f>
        <v>nhựa</v>
      </c>
      <c r="G712" s="20" t="s">
        <v>5669</v>
      </c>
      <c r="I712" s="11" t="b">
        <f t="shared" si="5"/>
        <v>0</v>
      </c>
      <c r="J712" s="24"/>
      <c r="K712" s="11" t="b">
        <f t="shared" si="6"/>
        <v>0</v>
      </c>
    </row>
    <row r="713" ht="22.5" customHeight="1">
      <c r="A713" s="12">
        <f t="shared" si="4"/>
        <v>1711</v>
      </c>
      <c r="B713" s="26" t="s">
        <v>5670</v>
      </c>
      <c r="C713" s="7" t="str">
        <f t="shared" si="1"/>
        <v>🔊</v>
      </c>
      <c r="D713" s="8" t="s">
        <v>5671</v>
      </c>
      <c r="E713" s="6" t="s">
        <v>27</v>
      </c>
      <c r="F713" s="12" t="str">
        <f>IFERROR(__xludf.DUMMYFUNCTION("GOOGLETRANSLATE(B713,""zh_cn"",""vi"")"),"cháu gái")</f>
        <v>cháu gái</v>
      </c>
      <c r="G713" s="20" t="s">
        <v>5672</v>
      </c>
      <c r="I713" s="11" t="b">
        <f t="shared" si="5"/>
        <v>0</v>
      </c>
      <c r="J713" s="24"/>
      <c r="K713" s="11" t="b">
        <f t="shared" si="6"/>
        <v>0</v>
      </c>
    </row>
    <row r="714" ht="22.5" customHeight="1">
      <c r="A714" s="12">
        <f t="shared" si="4"/>
        <v>1712</v>
      </c>
      <c r="B714" s="26" t="s">
        <v>5673</v>
      </c>
      <c r="C714" s="7" t="str">
        <f t="shared" si="1"/>
        <v>🔊</v>
      </c>
      <c r="D714" s="8" t="s">
        <v>5674</v>
      </c>
      <c r="E714" s="6" t="s">
        <v>27</v>
      </c>
      <c r="F714" s="12" t="str">
        <f>IFERROR(__xludf.DUMMYFUNCTION("GOOGLETRANSLATE(B714,""zh_cn"",""vi"")"),"cháu trai")</f>
        <v>cháu trai</v>
      </c>
      <c r="G714" s="20" t="s">
        <v>5675</v>
      </c>
      <c r="I714" s="11" t="b">
        <f t="shared" si="5"/>
        <v>0</v>
      </c>
      <c r="J714" s="24"/>
      <c r="K714" s="11" t="b">
        <f t="shared" si="6"/>
        <v>0</v>
      </c>
    </row>
    <row r="715" ht="22.5" customHeight="1">
      <c r="A715" s="12">
        <f t="shared" si="4"/>
        <v>1713</v>
      </c>
      <c r="B715" s="26" t="s">
        <v>5676</v>
      </c>
      <c r="C715" s="7" t="str">
        <f t="shared" si="1"/>
        <v>🔊</v>
      </c>
      <c r="D715" s="8" t="s">
        <v>5677</v>
      </c>
      <c r="E715" s="6" t="s">
        <v>5678</v>
      </c>
      <c r="F715" s="12" t="str">
        <f>IFERROR(__xludf.DUMMYFUNCTION("GOOGLETRANSLATE(B715,""zh_cn"",""vi"")"),"tất cả")</f>
        <v>tất cả</v>
      </c>
      <c r="G715" s="20" t="s">
        <v>5679</v>
      </c>
      <c r="I715" s="11" t="b">
        <f t="shared" si="5"/>
        <v>0</v>
      </c>
      <c r="J715" s="24"/>
      <c r="K715" s="11" t="b">
        <f t="shared" si="6"/>
        <v>0</v>
      </c>
    </row>
    <row r="716" ht="22.5" customHeight="1">
      <c r="A716" s="12">
        <f t="shared" si="4"/>
        <v>1714</v>
      </c>
      <c r="B716" s="26" t="s">
        <v>5680</v>
      </c>
      <c r="C716" s="7" t="str">
        <f t="shared" si="1"/>
        <v>🔊</v>
      </c>
      <c r="D716" s="8" t="s">
        <v>5681</v>
      </c>
      <c r="E716" s="6" t="s">
        <v>130</v>
      </c>
      <c r="F716" s="5" t="s">
        <v>5682</v>
      </c>
      <c r="G716" s="20" t="s">
        <v>5683</v>
      </c>
      <c r="I716" s="11" t="b">
        <f t="shared" si="5"/>
        <v>0</v>
      </c>
      <c r="J716" s="24"/>
      <c r="K716" s="11" t="b">
        <f t="shared" si="6"/>
        <v>0</v>
      </c>
    </row>
    <row r="717" ht="22.5" customHeight="1">
      <c r="A717" s="12">
        <f t="shared" si="4"/>
        <v>1715</v>
      </c>
      <c r="B717" s="26" t="s">
        <v>5684</v>
      </c>
      <c r="C717" s="7" t="str">
        <f t="shared" si="1"/>
        <v>🔊</v>
      </c>
      <c r="D717" s="8" t="s">
        <v>5681</v>
      </c>
      <c r="E717" s="6" t="s">
        <v>13</v>
      </c>
      <c r="F717" s="5" t="s">
        <v>5685</v>
      </c>
      <c r="G717" s="20" t="s">
        <v>5686</v>
      </c>
      <c r="I717" s="11" t="b">
        <f t="shared" si="5"/>
        <v>0</v>
      </c>
      <c r="J717" s="24"/>
      <c r="K717" s="11" t="b">
        <f t="shared" si="6"/>
        <v>0</v>
      </c>
    </row>
    <row r="718" ht="22.5" customHeight="1">
      <c r="A718" s="12">
        <f t="shared" si="4"/>
        <v>1716</v>
      </c>
      <c r="B718" s="26" t="s">
        <v>5687</v>
      </c>
      <c r="C718" s="7" t="str">
        <f t="shared" si="1"/>
        <v>🔊</v>
      </c>
      <c r="D718" s="8" t="s">
        <v>5688</v>
      </c>
      <c r="E718" s="6" t="s">
        <v>27</v>
      </c>
      <c r="F718" s="12" t="str">
        <f>IFERROR(__xludf.DUMMYFUNCTION("GOOGLETRANSLATE(B718,""zh_cn"",""vi"")"),"thái độ")</f>
        <v>thái độ</v>
      </c>
      <c r="G718" s="20" t="s">
        <v>5689</v>
      </c>
      <c r="I718" s="11" t="b">
        <f t="shared" si="5"/>
        <v>0</v>
      </c>
      <c r="J718" s="24"/>
      <c r="K718" s="11" t="b">
        <f t="shared" si="6"/>
        <v>0</v>
      </c>
    </row>
    <row r="719" ht="22.5" customHeight="1">
      <c r="A719" s="12">
        <f t="shared" si="4"/>
        <v>1717</v>
      </c>
      <c r="B719" s="26" t="s">
        <v>5690</v>
      </c>
      <c r="C719" s="7" t="str">
        <f t="shared" si="1"/>
        <v>🔊</v>
      </c>
      <c r="D719" s="8" t="s">
        <v>5691</v>
      </c>
      <c r="E719" s="6" t="s">
        <v>13</v>
      </c>
      <c r="F719" s="5" t="s">
        <v>5692</v>
      </c>
      <c r="G719" s="20" t="s">
        <v>5693</v>
      </c>
      <c r="I719" s="11" t="b">
        <f t="shared" si="5"/>
        <v>0</v>
      </c>
      <c r="J719" s="24"/>
      <c r="K719" s="11" t="b">
        <f t="shared" si="6"/>
        <v>0</v>
      </c>
    </row>
    <row r="720" ht="22.5" customHeight="1">
      <c r="A720" s="12">
        <f t="shared" si="4"/>
        <v>1718</v>
      </c>
      <c r="B720" s="26" t="s">
        <v>5694</v>
      </c>
      <c r="C720" s="7" t="str">
        <f t="shared" si="1"/>
        <v>🔊</v>
      </c>
      <c r="D720" s="8" t="s">
        <v>5695</v>
      </c>
      <c r="E720" s="6" t="s">
        <v>13</v>
      </c>
      <c r="F720" s="5" t="s">
        <v>5696</v>
      </c>
      <c r="G720" s="20" t="s">
        <v>5697</v>
      </c>
      <c r="I720" s="11" t="b">
        <f t="shared" si="5"/>
        <v>0</v>
      </c>
      <c r="J720" s="24"/>
      <c r="K720" s="11" t="b">
        <f t="shared" si="6"/>
        <v>0</v>
      </c>
    </row>
    <row r="721" ht="22.5" customHeight="1">
      <c r="A721" s="12">
        <f t="shared" si="4"/>
        <v>1719</v>
      </c>
      <c r="B721" s="26" t="s">
        <v>5698</v>
      </c>
      <c r="C721" s="7" t="str">
        <f t="shared" si="1"/>
        <v>🔊</v>
      </c>
      <c r="D721" s="8" t="s">
        <v>5695</v>
      </c>
      <c r="E721" s="6" t="s">
        <v>13</v>
      </c>
      <c r="F721" s="12" t="str">
        <f>IFERROR(__xludf.DUMMYFUNCTION("GOOGLETRANSLATE(B721,""zh_cn"",""vi"")"),"nói chuyện")</f>
        <v>nói chuyện</v>
      </c>
      <c r="G721" s="20" t="s">
        <v>5699</v>
      </c>
      <c r="I721" s="11" t="b">
        <f t="shared" si="5"/>
        <v>0</v>
      </c>
      <c r="J721" s="24"/>
      <c r="K721" s="11" t="b">
        <f t="shared" si="6"/>
        <v>0</v>
      </c>
    </row>
    <row r="722" ht="22.5" customHeight="1">
      <c r="A722" s="12">
        <f t="shared" si="4"/>
        <v>1720</v>
      </c>
      <c r="B722" s="26" t="s">
        <v>5700</v>
      </c>
      <c r="C722" s="7" t="str">
        <f t="shared" si="1"/>
        <v>🔊</v>
      </c>
      <c r="D722" s="8" t="s">
        <v>5701</v>
      </c>
      <c r="E722" s="6" t="s">
        <v>47</v>
      </c>
      <c r="F722" s="12" t="str">
        <f>IFERROR(__xludf.DUMMYFUNCTION("GOOGLETRANSLATE(B722,""zh_cn"",""vi"")"),"chuyến đi")</f>
        <v>chuyến đi</v>
      </c>
      <c r="G722" s="20" t="s">
        <v>5702</v>
      </c>
      <c r="I722" s="11" t="b">
        <f t="shared" si="5"/>
        <v>0</v>
      </c>
      <c r="J722" s="24"/>
      <c r="K722" s="11" t="b">
        <f t="shared" si="6"/>
        <v>0</v>
      </c>
    </row>
    <row r="723" ht="22.5" customHeight="1">
      <c r="A723" s="12">
        <f t="shared" si="4"/>
        <v>1721</v>
      </c>
      <c r="B723" s="26" t="s">
        <v>5703</v>
      </c>
      <c r="C723" s="7" t="str">
        <f t="shared" si="1"/>
        <v>🔊</v>
      </c>
      <c r="D723" s="8" t="s">
        <v>5704</v>
      </c>
      <c r="E723" s="6" t="s">
        <v>13</v>
      </c>
      <c r="F723" s="5" t="s">
        <v>5705</v>
      </c>
      <c r="G723" s="20" t="s">
        <v>5706</v>
      </c>
      <c r="I723" s="11" t="b">
        <f t="shared" si="5"/>
        <v>0</v>
      </c>
      <c r="J723" s="24"/>
      <c r="K723" s="11" t="b">
        <f t="shared" si="6"/>
        <v>0</v>
      </c>
    </row>
    <row r="724" ht="22.5" customHeight="1">
      <c r="A724" s="12">
        <f t="shared" si="4"/>
        <v>1722</v>
      </c>
      <c r="B724" s="26" t="s">
        <v>5707</v>
      </c>
      <c r="C724" s="7" t="str">
        <f t="shared" si="1"/>
        <v>🔊</v>
      </c>
      <c r="D724" s="8" t="s">
        <v>5708</v>
      </c>
      <c r="E724" s="6" t="s">
        <v>27</v>
      </c>
      <c r="F724" s="12" t="str">
        <f>IFERROR(__xludf.DUMMYFUNCTION("GOOGLETRANSLATE(B724,""zh_cn"",""vi"")"),"Canh")</f>
        <v>Canh</v>
      </c>
      <c r="G724" s="20" t="s">
        <v>5709</v>
      </c>
      <c r="I724" s="11" t="b">
        <f t="shared" si="5"/>
        <v>0</v>
      </c>
      <c r="J724" s="24"/>
      <c r="K724" s="11" t="b">
        <f t="shared" si="6"/>
        <v>0</v>
      </c>
    </row>
    <row r="725" ht="22.5" customHeight="1">
      <c r="A725" s="12">
        <f t="shared" si="4"/>
        <v>1723</v>
      </c>
      <c r="B725" s="26" t="s">
        <v>5710</v>
      </c>
      <c r="C725" s="7" t="str">
        <f t="shared" si="1"/>
        <v>🔊</v>
      </c>
      <c r="D725" s="8" t="s">
        <v>5711</v>
      </c>
      <c r="E725" s="6" t="s">
        <v>13</v>
      </c>
      <c r="F725" s="12" t="str">
        <f>IFERROR(__xludf.DUMMYFUNCTION("GOOGLETRANSLATE(B725,""zh_cn"",""vi"")"),"bàn luận")</f>
        <v>bàn luận</v>
      </c>
      <c r="G725" s="20" t="s">
        <v>5712</v>
      </c>
      <c r="I725" s="11" t="b">
        <f t="shared" si="5"/>
        <v>0</v>
      </c>
      <c r="J725" s="24"/>
      <c r="K725" s="11" t="b">
        <f t="shared" si="6"/>
        <v>0</v>
      </c>
    </row>
    <row r="726" ht="22.5" customHeight="1">
      <c r="A726" s="12">
        <f t="shared" si="4"/>
        <v>1724</v>
      </c>
      <c r="B726" s="26" t="s">
        <v>5713</v>
      </c>
      <c r="C726" s="7" t="str">
        <f t="shared" si="1"/>
        <v>🔊</v>
      </c>
      <c r="D726" s="8" t="s">
        <v>5714</v>
      </c>
      <c r="E726" s="6" t="s">
        <v>416</v>
      </c>
      <c r="F726" s="5" t="s">
        <v>5715</v>
      </c>
      <c r="G726" s="20" t="s">
        <v>5716</v>
      </c>
      <c r="I726" s="11" t="b">
        <f t="shared" si="5"/>
        <v>0</v>
      </c>
      <c r="J726" s="24"/>
      <c r="K726" s="11" t="b">
        <f t="shared" si="6"/>
        <v>0</v>
      </c>
    </row>
    <row r="727" ht="22.5" customHeight="1">
      <c r="A727" s="12">
        <f t="shared" si="4"/>
        <v>1725</v>
      </c>
      <c r="B727" s="26" t="s">
        <v>5717</v>
      </c>
      <c r="C727" s="7" t="str">
        <f t="shared" si="1"/>
        <v>🔊</v>
      </c>
      <c r="D727" s="8" t="s">
        <v>5718</v>
      </c>
      <c r="E727" s="6" t="s">
        <v>27</v>
      </c>
      <c r="F727" s="12" t="str">
        <f>IFERROR(__xludf.DUMMYFUNCTION("GOOGLETRANSLATE(B727,""zh_cn"",""vi"")"),"Đặc trưng")</f>
        <v>Đặc trưng</v>
      </c>
      <c r="G727" s="20" t="s">
        <v>5719</v>
      </c>
      <c r="I727" s="11" t="b">
        <f t="shared" si="5"/>
        <v>0</v>
      </c>
      <c r="J727" s="24"/>
      <c r="K727" s="11" t="b">
        <f t="shared" si="6"/>
        <v>0</v>
      </c>
    </row>
    <row r="728" ht="22.5" customHeight="1">
      <c r="A728" s="12">
        <f t="shared" si="4"/>
        <v>1726</v>
      </c>
      <c r="B728" s="26" t="s">
        <v>5720</v>
      </c>
      <c r="C728" s="7" t="str">
        <f t="shared" si="1"/>
        <v>🔊</v>
      </c>
      <c r="D728" s="8" t="s">
        <v>1506</v>
      </c>
      <c r="E728" s="6" t="s">
        <v>13</v>
      </c>
      <c r="F728" s="5" t="s">
        <v>5721</v>
      </c>
      <c r="G728" s="20" t="s">
        <v>5722</v>
      </c>
      <c r="I728" s="11" t="b">
        <f t="shared" si="5"/>
        <v>0</v>
      </c>
      <c r="J728" s="24"/>
      <c r="K728" s="11" t="b">
        <f t="shared" si="6"/>
        <v>0</v>
      </c>
    </row>
    <row r="729" ht="22.5" customHeight="1">
      <c r="A729" s="12">
        <f t="shared" si="4"/>
        <v>1727</v>
      </c>
      <c r="B729" s="26" t="s">
        <v>5723</v>
      </c>
      <c r="C729" s="7" t="str">
        <f t="shared" si="1"/>
        <v>🔊</v>
      </c>
      <c r="D729" s="8" t="s">
        <v>5724</v>
      </c>
      <c r="E729" s="6" t="s">
        <v>13</v>
      </c>
      <c r="F729" s="12" t="str">
        <f>IFERROR(__xludf.DUMMYFUNCTION("GOOGLETRANSLATE(B729,""zh_cn"",""vi"")"),"điền vào")</f>
        <v>điền vào</v>
      </c>
      <c r="G729" s="20" t="s">
        <v>5725</v>
      </c>
      <c r="I729" s="11" t="b">
        <f t="shared" si="5"/>
        <v>0</v>
      </c>
      <c r="J729" s="24"/>
      <c r="K729" s="11" t="b">
        <f t="shared" si="6"/>
        <v>0</v>
      </c>
    </row>
    <row r="730" ht="22.5" customHeight="1">
      <c r="A730" s="12">
        <f t="shared" si="4"/>
        <v>1728</v>
      </c>
      <c r="B730" s="26" t="s">
        <v>5726</v>
      </c>
      <c r="C730" s="7" t="str">
        <f t="shared" si="1"/>
        <v>🔊</v>
      </c>
      <c r="D730" s="8" t="s">
        <v>5727</v>
      </c>
      <c r="E730" s="6" t="s">
        <v>27</v>
      </c>
      <c r="F730" s="5" t="s">
        <v>5728</v>
      </c>
      <c r="G730" s="20" t="s">
        <v>5729</v>
      </c>
      <c r="I730" s="11" t="b">
        <f t="shared" si="5"/>
        <v>0</v>
      </c>
      <c r="J730" s="24"/>
      <c r="K730" s="11" t="b">
        <f t="shared" si="6"/>
        <v>0</v>
      </c>
    </row>
    <row r="731" ht="22.5" customHeight="1">
      <c r="A731" s="12">
        <f t="shared" si="4"/>
        <v>1729</v>
      </c>
      <c r="B731" s="26" t="s">
        <v>5730</v>
      </c>
      <c r="C731" s="7" t="str">
        <f t="shared" si="1"/>
        <v>🔊</v>
      </c>
      <c r="D731" s="8" t="s">
        <v>5731</v>
      </c>
      <c r="E731" s="6" t="s">
        <v>13</v>
      </c>
      <c r="F731" s="12" t="str">
        <f>IFERROR(__xludf.DUMMYFUNCTION("GOOGLETRANSLATE(B731,""zh_cn"",""vi"")"),"đề xuất")</f>
        <v>đề xuất</v>
      </c>
      <c r="G731" s="20" t="s">
        <v>5732</v>
      </c>
      <c r="I731" s="11" t="b">
        <f t="shared" si="5"/>
        <v>0</v>
      </c>
      <c r="J731" s="24"/>
      <c r="K731" s="11" t="b">
        <f t="shared" si="6"/>
        <v>0</v>
      </c>
    </row>
    <row r="732" ht="22.5" customHeight="1">
      <c r="A732" s="12">
        <f t="shared" si="4"/>
        <v>1730</v>
      </c>
      <c r="B732" s="26" t="s">
        <v>5733</v>
      </c>
      <c r="C732" s="7" t="str">
        <f t="shared" si="1"/>
        <v>🔊</v>
      </c>
      <c r="D732" s="8" t="s">
        <v>5734</v>
      </c>
      <c r="E732" s="6" t="s">
        <v>13</v>
      </c>
      <c r="F732" s="12" t="str">
        <f>IFERROR(__xludf.DUMMYFUNCTION("GOOGLETRANSLATE(B732,""zh_cn"",""vi"")"),"Đề cập đến")</f>
        <v>Đề cập đến</v>
      </c>
      <c r="G732" s="20" t="s">
        <v>5735</v>
      </c>
      <c r="I732" s="11" t="b">
        <f t="shared" si="5"/>
        <v>0</v>
      </c>
      <c r="J732" s="24"/>
      <c r="K732" s="11" t="b">
        <f t="shared" si="6"/>
        <v>0</v>
      </c>
    </row>
    <row r="733" ht="22.5" customHeight="1">
      <c r="A733" s="12">
        <f t="shared" si="4"/>
        <v>1731</v>
      </c>
      <c r="B733" s="26" t="s">
        <v>5736</v>
      </c>
      <c r="C733" s="7" t="str">
        <f t="shared" si="1"/>
        <v>🔊</v>
      </c>
      <c r="D733" s="8" t="s">
        <v>5737</v>
      </c>
      <c r="E733" s="6" t="s">
        <v>13</v>
      </c>
      <c r="F733" s="12" t="str">
        <f>IFERROR(__xludf.DUMMYFUNCTION("GOOGLETRANSLATE(B733,""zh_cn"",""vi"")"),"cung cấp")</f>
        <v>cung cấp</v>
      </c>
      <c r="G733" s="20" t="s">
        <v>5738</v>
      </c>
      <c r="I733" s="11" t="b">
        <f t="shared" si="5"/>
        <v>0</v>
      </c>
      <c r="J733" s="24"/>
      <c r="K733" s="11" t="b">
        <f t="shared" si="6"/>
        <v>0</v>
      </c>
    </row>
    <row r="734" ht="22.5" customHeight="1">
      <c r="A734" s="12">
        <f t="shared" si="4"/>
        <v>1732</v>
      </c>
      <c r="B734" s="26" t="s">
        <v>5739</v>
      </c>
      <c r="C734" s="7" t="str">
        <f t="shared" si="1"/>
        <v>🔊</v>
      </c>
      <c r="D734" s="8" t="s">
        <v>5740</v>
      </c>
      <c r="E734" s="6" t="s">
        <v>13</v>
      </c>
      <c r="F734" s="12" t="str">
        <f>IFERROR(__xludf.DUMMYFUNCTION("GOOGLETRANSLATE(B734,""zh_cn"",""vi"")"),"khám sức khỏe")</f>
        <v>khám sức khỏe</v>
      </c>
      <c r="G734" s="20" t="s">
        <v>5741</v>
      </c>
      <c r="I734" s="11" t="b">
        <f t="shared" si="5"/>
        <v>0</v>
      </c>
      <c r="J734" s="24"/>
      <c r="K734" s="11" t="b">
        <f t="shared" si="6"/>
        <v>0</v>
      </c>
    </row>
    <row r="735" ht="22.5" customHeight="1">
      <c r="A735" s="12">
        <f t="shared" si="4"/>
        <v>1733</v>
      </c>
      <c r="B735" s="26" t="s">
        <v>5742</v>
      </c>
      <c r="C735" s="7" t="str">
        <f t="shared" si="1"/>
        <v>🔊</v>
      </c>
      <c r="D735" s="8" t="s">
        <v>5743</v>
      </c>
      <c r="E735" s="6" t="s">
        <v>13</v>
      </c>
      <c r="F735" s="12" t="str">
        <f>IFERROR(__xludf.DUMMYFUNCTION("GOOGLETRANSLATE(B735,""zh_cn"",""vi"")"),"dừng lại")</f>
        <v>dừng lại</v>
      </c>
      <c r="G735" s="20" t="s">
        <v>5744</v>
      </c>
      <c r="I735" s="11" t="b">
        <f t="shared" si="5"/>
        <v>0</v>
      </c>
      <c r="J735" s="24"/>
      <c r="K735" s="11" t="b">
        <f t="shared" si="6"/>
        <v>0</v>
      </c>
    </row>
    <row r="736" ht="22.5" customHeight="1">
      <c r="A736" s="12">
        <f t="shared" si="4"/>
        <v>1734</v>
      </c>
      <c r="B736" s="26" t="s">
        <v>5745</v>
      </c>
      <c r="C736" s="7" t="str">
        <f t="shared" si="1"/>
        <v>🔊</v>
      </c>
      <c r="D736" s="8" t="s">
        <v>5746</v>
      </c>
      <c r="E736" s="6" t="s">
        <v>13</v>
      </c>
      <c r="F736" s="5" t="s">
        <v>5747</v>
      </c>
      <c r="G736" s="20" t="s">
        <v>5748</v>
      </c>
      <c r="I736" s="11" t="b">
        <f t="shared" si="5"/>
        <v>0</v>
      </c>
      <c r="J736" s="24"/>
      <c r="K736" s="11" t="b">
        <f t="shared" si="6"/>
        <v>0</v>
      </c>
    </row>
    <row r="737" ht="22.5" customHeight="1">
      <c r="A737" s="12">
        <f t="shared" si="4"/>
        <v>1735</v>
      </c>
      <c r="B737" s="26" t="s">
        <v>5749</v>
      </c>
      <c r="C737" s="7" t="str">
        <f t="shared" si="1"/>
        <v>🔊</v>
      </c>
      <c r="D737" s="8" t="s">
        <v>5750</v>
      </c>
      <c r="E737" s="6" t="s">
        <v>27</v>
      </c>
      <c r="F737" s="12" t="str">
        <f>IFERROR(__xludf.DUMMYFUNCTION("GOOGLETRANSLATE(B737,""zh_cn"",""vi"")"),"BÃI ĐỖ XE")</f>
        <v>BÃI ĐỖ XE</v>
      </c>
      <c r="G737" s="20" t="s">
        <v>5751</v>
      </c>
      <c r="I737" s="11" t="b">
        <f t="shared" si="5"/>
        <v>0</v>
      </c>
      <c r="J737" s="24"/>
      <c r="K737" s="11" t="b">
        <f t="shared" si="6"/>
        <v>0</v>
      </c>
    </row>
    <row r="738" ht="22.5" customHeight="1">
      <c r="A738" s="12">
        <f t="shared" si="4"/>
        <v>1736</v>
      </c>
      <c r="B738" s="26" t="s">
        <v>5752</v>
      </c>
      <c r="C738" s="7" t="str">
        <f t="shared" si="1"/>
        <v>🔊</v>
      </c>
      <c r="D738" s="8" t="s">
        <v>5753</v>
      </c>
      <c r="E738" s="6" t="s">
        <v>27</v>
      </c>
      <c r="F738" s="5" t="s">
        <v>5754</v>
      </c>
      <c r="G738" s="20" t="s">
        <v>5755</v>
      </c>
      <c r="I738" s="11" t="b">
        <f t="shared" si="5"/>
        <v>0</v>
      </c>
      <c r="J738" s="24"/>
      <c r="K738" s="11" t="b">
        <f t="shared" si="6"/>
        <v>0</v>
      </c>
    </row>
    <row r="739" ht="22.5" customHeight="1">
      <c r="A739" s="12">
        <f t="shared" si="4"/>
        <v>1737</v>
      </c>
      <c r="B739" s="26" t="s">
        <v>5756</v>
      </c>
      <c r="C739" s="7" t="str">
        <f t="shared" si="1"/>
        <v>🔊</v>
      </c>
      <c r="D739" s="8" t="s">
        <v>5757</v>
      </c>
      <c r="E739" s="6" t="s">
        <v>13</v>
      </c>
      <c r="F739" s="5" t="s">
        <v>5758</v>
      </c>
      <c r="G739" s="20" t="s">
        <v>5759</v>
      </c>
      <c r="I739" s="11" t="b">
        <f t="shared" si="5"/>
        <v>0</v>
      </c>
      <c r="J739" s="24"/>
      <c r="K739" s="11" t="b">
        <f t="shared" si="6"/>
        <v>0</v>
      </c>
    </row>
    <row r="740" ht="22.5" customHeight="1">
      <c r="A740" s="12">
        <f t="shared" si="4"/>
        <v>1738</v>
      </c>
      <c r="B740" s="26" t="s">
        <v>5760</v>
      </c>
      <c r="C740" s="7" t="str">
        <f t="shared" si="1"/>
        <v>🔊</v>
      </c>
      <c r="D740" s="8" t="s">
        <v>5761</v>
      </c>
      <c r="E740" s="6" t="s">
        <v>27</v>
      </c>
      <c r="F740" s="5" t="s">
        <v>5762</v>
      </c>
      <c r="G740" s="20" t="s">
        <v>5763</v>
      </c>
      <c r="I740" s="11" t="b">
        <f t="shared" si="5"/>
        <v>0</v>
      </c>
      <c r="J740" s="24"/>
      <c r="K740" s="11" t="b">
        <f t="shared" si="6"/>
        <v>0</v>
      </c>
    </row>
    <row r="741" ht="22.5" customHeight="1">
      <c r="A741" s="12">
        <f t="shared" si="4"/>
        <v>1739</v>
      </c>
      <c r="B741" s="26" t="s">
        <v>5764</v>
      </c>
      <c r="C741" s="7" t="str">
        <f t="shared" si="1"/>
        <v>🔊</v>
      </c>
      <c r="D741" s="8" t="s">
        <v>5765</v>
      </c>
      <c r="E741" s="6" t="s">
        <v>13</v>
      </c>
      <c r="F741" s="12" t="str">
        <f>IFERROR(__xludf.DUMMYFUNCTION("GOOGLETRANSLATE(B741,""zh_cn"",""vi"")"),"trước")</f>
        <v>trước</v>
      </c>
      <c r="G741" s="20" t="s">
        <v>5766</v>
      </c>
      <c r="I741" s="11" t="b">
        <f t="shared" si="5"/>
        <v>0</v>
      </c>
      <c r="J741" s="24"/>
      <c r="K741" s="11" t="b">
        <f t="shared" si="6"/>
        <v>0</v>
      </c>
    </row>
    <row r="742" ht="22.5" customHeight="1">
      <c r="A742" s="12">
        <f t="shared" si="4"/>
        <v>1740</v>
      </c>
      <c r="B742" s="26" t="s">
        <v>5767</v>
      </c>
      <c r="C742" s="7" t="str">
        <f t="shared" si="1"/>
        <v>🔊</v>
      </c>
      <c r="D742" s="8" t="s">
        <v>5768</v>
      </c>
      <c r="E742" s="6" t="s">
        <v>27</v>
      </c>
      <c r="F742" s="12" t="str">
        <f>IFERROR(__xludf.DUMMYFUNCTION("GOOGLETRANSLATE(B742,""zh_cn"",""vi"")"),"nhiệt độ cơ thể")</f>
        <v>nhiệt độ cơ thể</v>
      </c>
      <c r="G742" s="20" t="s">
        <v>5769</v>
      </c>
      <c r="I742" s="11" t="b">
        <f t="shared" si="5"/>
        <v>0</v>
      </c>
      <c r="J742" s="24"/>
      <c r="K742" s="11" t="b">
        <f t="shared" si="6"/>
        <v>0</v>
      </c>
    </row>
    <row r="743" ht="22.5" customHeight="1">
      <c r="A743" s="12">
        <f t="shared" si="4"/>
        <v>1741</v>
      </c>
      <c r="B743" s="26" t="s">
        <v>5770</v>
      </c>
      <c r="C743" s="7" t="str">
        <f t="shared" si="1"/>
        <v>🔊</v>
      </c>
      <c r="D743" s="8" t="s">
        <v>5771</v>
      </c>
      <c r="E743" s="6" t="s">
        <v>13</v>
      </c>
      <c r="F743" s="12" t="str">
        <f>IFERROR(__xludf.DUMMYFUNCTION("GOOGLETRANSLATE(B743,""zh_cn"",""vi"")"),"nhắc lại")</f>
        <v>nhắc lại</v>
      </c>
      <c r="G743" s="20" t="s">
        <v>5772</v>
      </c>
      <c r="I743" s="11" t="b">
        <f t="shared" si="5"/>
        <v>0</v>
      </c>
      <c r="J743" s="24"/>
      <c r="K743" s="11" t="b">
        <f t="shared" si="6"/>
        <v>0</v>
      </c>
    </row>
    <row r="744" ht="22.5" customHeight="1">
      <c r="A744" s="12">
        <f t="shared" si="4"/>
        <v>1742</v>
      </c>
      <c r="B744" s="26" t="s">
        <v>5773</v>
      </c>
      <c r="C744" s="7" t="str">
        <f t="shared" si="1"/>
        <v>🔊</v>
      </c>
      <c r="D744" s="8" t="s">
        <v>5774</v>
      </c>
      <c r="E744" s="6" t="s">
        <v>27</v>
      </c>
      <c r="F744" s="12" t="str">
        <f>IFERROR(__xludf.DUMMYFUNCTION("GOOGLETRANSLATE(B744,""zh_cn"",""vi"")"),"cân nặng")</f>
        <v>cân nặng</v>
      </c>
      <c r="G744" s="20" t="s">
        <v>5775</v>
      </c>
      <c r="I744" s="11" t="b">
        <f t="shared" si="5"/>
        <v>0</v>
      </c>
      <c r="J744" s="24"/>
      <c r="K744" s="11" t="b">
        <f t="shared" si="6"/>
        <v>0</v>
      </c>
    </row>
    <row r="745" ht="22.5" customHeight="1">
      <c r="A745" s="12">
        <f t="shared" si="4"/>
        <v>1743</v>
      </c>
      <c r="B745" s="26" t="s">
        <v>5776</v>
      </c>
      <c r="C745" s="7" t="str">
        <f t="shared" si="1"/>
        <v>🔊</v>
      </c>
      <c r="D745" s="8" t="s">
        <v>5777</v>
      </c>
      <c r="E745" s="6" t="s">
        <v>4761</v>
      </c>
      <c r="F745" s="12" t="str">
        <f>IFERROR(__xludf.DUMMYFUNCTION("GOOGLETRANSLATE(B745,""zh_cn"",""vi"")"),"nỗi đau")</f>
        <v>nỗi đau</v>
      </c>
      <c r="G745" s="20" t="s">
        <v>5778</v>
      </c>
      <c r="I745" s="11" t="b">
        <f t="shared" si="5"/>
        <v>0</v>
      </c>
      <c r="J745" s="24"/>
      <c r="K745" s="11" t="b">
        <f t="shared" si="6"/>
        <v>0</v>
      </c>
    </row>
    <row r="746" ht="22.5" customHeight="1">
      <c r="A746" s="12">
        <f t="shared" si="4"/>
        <v>1744</v>
      </c>
      <c r="B746" s="26" t="s">
        <v>5779</v>
      </c>
      <c r="C746" s="7" t="str">
        <f t="shared" si="1"/>
        <v>🔊</v>
      </c>
      <c r="D746" s="8" t="s">
        <v>5780</v>
      </c>
      <c r="E746" s="6" t="s">
        <v>27</v>
      </c>
      <c r="F746" s="12" t="str">
        <f>IFERROR(__xludf.DUMMYFUNCTION("GOOGLETRANSLATE(B746,""zh_cn"",""vi"")"),"xô")</f>
        <v>xô</v>
      </c>
      <c r="G746" s="20" t="s">
        <v>5781</v>
      </c>
      <c r="I746" s="11" t="b">
        <f t="shared" si="5"/>
        <v>0</v>
      </c>
      <c r="J746" s="24"/>
      <c r="K746" s="11" t="b">
        <f t="shared" si="6"/>
        <v>0</v>
      </c>
    </row>
    <row r="747" ht="22.5" customHeight="1">
      <c r="A747" s="12">
        <f t="shared" si="4"/>
        <v>1745</v>
      </c>
      <c r="B747" s="26" t="s">
        <v>5782</v>
      </c>
      <c r="C747" s="7" t="str">
        <f t="shared" si="1"/>
        <v>🔊</v>
      </c>
      <c r="D747" s="8" t="s">
        <v>5783</v>
      </c>
      <c r="E747" s="6" t="s">
        <v>5784</v>
      </c>
      <c r="F747" s="5" t="s">
        <v>5785</v>
      </c>
      <c r="G747" s="20" t="s">
        <v>5786</v>
      </c>
      <c r="I747" s="11" t="b">
        <f t="shared" si="5"/>
        <v>0</v>
      </c>
      <c r="J747" s="24"/>
      <c r="K747" s="11" t="b">
        <f t="shared" si="6"/>
        <v>0</v>
      </c>
    </row>
    <row r="748" ht="22.5" customHeight="1">
      <c r="A748" s="12">
        <f t="shared" si="4"/>
        <v>1746</v>
      </c>
      <c r="B748" s="26" t="s">
        <v>5787</v>
      </c>
      <c r="C748" s="7" t="str">
        <f t="shared" si="1"/>
        <v>🔊</v>
      </c>
      <c r="D748" s="8" t="s">
        <v>5788</v>
      </c>
      <c r="E748" s="6" t="s">
        <v>1054</v>
      </c>
      <c r="F748" s="5" t="s">
        <v>5789</v>
      </c>
      <c r="G748" s="20" t="s">
        <v>5790</v>
      </c>
      <c r="I748" s="11" t="b">
        <f t="shared" si="5"/>
        <v>0</v>
      </c>
      <c r="J748" s="24"/>
      <c r="K748" s="11" t="b">
        <f t="shared" si="6"/>
        <v>0</v>
      </c>
    </row>
    <row r="749" ht="22.5" customHeight="1">
      <c r="A749" s="12">
        <f t="shared" si="4"/>
        <v>1747</v>
      </c>
      <c r="B749" s="26" t="s">
        <v>5791</v>
      </c>
      <c r="C749" s="7" t="str">
        <f t="shared" si="1"/>
        <v>🔊</v>
      </c>
      <c r="D749" s="8" t="s">
        <v>5792</v>
      </c>
      <c r="E749" s="6" t="s">
        <v>27</v>
      </c>
      <c r="F749" s="5" t="s">
        <v>5793</v>
      </c>
      <c r="G749" s="20" t="s">
        <v>5794</v>
      </c>
      <c r="I749" s="11" t="b">
        <f t="shared" si="5"/>
        <v>0</v>
      </c>
      <c r="J749" s="24"/>
      <c r="K749" s="11" t="b">
        <f t="shared" si="6"/>
        <v>0</v>
      </c>
    </row>
    <row r="750" ht="22.5" customHeight="1">
      <c r="A750" s="12">
        <f t="shared" si="4"/>
        <v>1748</v>
      </c>
      <c r="B750" s="26" t="s">
        <v>5795</v>
      </c>
      <c r="C750" s="7" t="str">
        <f t="shared" si="1"/>
        <v>🔊</v>
      </c>
      <c r="D750" s="8" t="s">
        <v>5796</v>
      </c>
      <c r="E750" s="6" t="s">
        <v>4544</v>
      </c>
      <c r="F750" s="12" t="str">
        <f>IFERROR(__xludf.DUMMYFUNCTION("GOOGLETRANSLATE(B750,""zh_cn"",""vi"")"),"đồng thời")</f>
        <v>đồng thời</v>
      </c>
      <c r="G750" s="20" t="s">
        <v>5797</v>
      </c>
      <c r="I750" s="11" t="b">
        <f t="shared" si="5"/>
        <v>0</v>
      </c>
      <c r="J750" s="24"/>
      <c r="K750" s="11" t="b">
        <f t="shared" si="6"/>
        <v>0</v>
      </c>
    </row>
    <row r="751" ht="22.5" customHeight="1">
      <c r="A751" s="12">
        <f t="shared" si="4"/>
        <v>1749</v>
      </c>
      <c r="B751" s="26" t="s">
        <v>5798</v>
      </c>
      <c r="C751" s="7" t="str">
        <f t="shared" si="1"/>
        <v>🔊</v>
      </c>
      <c r="D751" s="8" t="s">
        <v>5799</v>
      </c>
      <c r="E751" s="6" t="s">
        <v>99</v>
      </c>
      <c r="F751" s="12" t="str">
        <f>IFERROR(__xludf.DUMMYFUNCTION("GOOGLETRANSLATE(B751,""zh_cn"",""vi"")"),"như nhau")</f>
        <v>như nhau</v>
      </c>
      <c r="G751" s="20" t="s">
        <v>5800</v>
      </c>
      <c r="I751" s="11" t="b">
        <f t="shared" si="5"/>
        <v>0</v>
      </c>
      <c r="J751" s="24"/>
      <c r="K751" s="11" t="b">
        <f t="shared" si="6"/>
        <v>0</v>
      </c>
    </row>
    <row r="752" ht="22.5" customHeight="1">
      <c r="A752" s="12">
        <f t="shared" si="4"/>
        <v>1750</v>
      </c>
      <c r="B752" s="26" t="s">
        <v>5801</v>
      </c>
      <c r="C752" s="7" t="str">
        <f t="shared" si="1"/>
        <v>🔊</v>
      </c>
      <c r="D752" s="8" t="s">
        <v>5802</v>
      </c>
      <c r="E752" s="6" t="s">
        <v>232</v>
      </c>
      <c r="F752" s="12" t="str">
        <f>IFERROR(__xludf.DUMMYFUNCTION("GOOGLETRANSLATE(B752,""zh_cn"",""vi"")"),"thông báo")</f>
        <v>thông báo</v>
      </c>
      <c r="G752" s="20" t="s">
        <v>5803</v>
      </c>
      <c r="I752" s="11" t="b">
        <f t="shared" si="5"/>
        <v>0</v>
      </c>
      <c r="J752" s="24"/>
      <c r="K752" s="11" t="b">
        <f t="shared" si="6"/>
        <v>0</v>
      </c>
    </row>
    <row r="753" ht="22.5" customHeight="1">
      <c r="A753" s="12">
        <f t="shared" si="4"/>
        <v>1751</v>
      </c>
      <c r="B753" s="26" t="s">
        <v>5804</v>
      </c>
      <c r="C753" s="7" t="str">
        <f t="shared" si="1"/>
        <v>🔊</v>
      </c>
      <c r="D753" s="8" t="s">
        <v>5805</v>
      </c>
      <c r="E753" s="6" t="s">
        <v>99</v>
      </c>
      <c r="F753" s="12" t="str">
        <f>IFERROR(__xludf.DUMMYFUNCTION("GOOGLETRANSLATE(B753,""zh_cn"",""vi"")"),"Đau đầu")</f>
        <v>Đau đầu</v>
      </c>
      <c r="G753" s="20" t="s">
        <v>5806</v>
      </c>
      <c r="I753" s="11" t="b">
        <f t="shared" si="5"/>
        <v>0</v>
      </c>
      <c r="J753" s="24"/>
      <c r="K753" s="11" t="b">
        <f t="shared" si="6"/>
        <v>0</v>
      </c>
    </row>
    <row r="754" ht="22.5" customHeight="1">
      <c r="A754" s="12">
        <f t="shared" si="4"/>
        <v>1752</v>
      </c>
      <c r="B754" s="26" t="s">
        <v>5807</v>
      </c>
      <c r="C754" s="7" t="str">
        <f t="shared" si="1"/>
        <v>🔊</v>
      </c>
      <c r="D754" s="8" t="s">
        <v>5808</v>
      </c>
      <c r="E754" s="6" t="s">
        <v>1813</v>
      </c>
      <c r="F754" s="5" t="s">
        <v>5809</v>
      </c>
      <c r="G754" s="20" t="s">
        <v>5810</v>
      </c>
      <c r="I754" s="11" t="b">
        <f t="shared" si="5"/>
        <v>0</v>
      </c>
      <c r="J754" s="24"/>
      <c r="K754" s="11" t="b">
        <f t="shared" si="6"/>
        <v>0</v>
      </c>
    </row>
    <row r="755" ht="22.5" customHeight="1">
      <c r="A755" s="12">
        <f t="shared" si="4"/>
        <v>1753</v>
      </c>
      <c r="B755" s="26" t="s">
        <v>5811</v>
      </c>
      <c r="C755" s="7" t="str">
        <f t="shared" si="1"/>
        <v>🔊</v>
      </c>
      <c r="D755" s="8" t="s">
        <v>5812</v>
      </c>
      <c r="E755" s="6" t="s">
        <v>1228</v>
      </c>
      <c r="F755" s="5" t="s">
        <v>5813</v>
      </c>
      <c r="G755" s="20" t="s">
        <v>5814</v>
      </c>
      <c r="I755" s="11" t="b">
        <f t="shared" si="5"/>
        <v>0</v>
      </c>
      <c r="J755" s="24"/>
      <c r="K755" s="11" t="b">
        <f t="shared" si="6"/>
        <v>0</v>
      </c>
    </row>
    <row r="756" ht="22.5" customHeight="1">
      <c r="A756" s="12">
        <f t="shared" si="4"/>
        <v>1754</v>
      </c>
      <c r="B756" s="26" t="s">
        <v>5815</v>
      </c>
      <c r="C756" s="7" t="str">
        <f t="shared" si="1"/>
        <v>🔊</v>
      </c>
      <c r="D756" s="8" t="s">
        <v>5816</v>
      </c>
      <c r="E756" s="6" t="s">
        <v>13</v>
      </c>
      <c r="F756" s="5" t="s">
        <v>5817</v>
      </c>
      <c r="G756" s="20" t="s">
        <v>5818</v>
      </c>
      <c r="I756" s="11" t="b">
        <f t="shared" si="5"/>
        <v>0</v>
      </c>
      <c r="J756" s="24"/>
      <c r="K756" s="11" t="b">
        <f t="shared" si="6"/>
        <v>0</v>
      </c>
    </row>
    <row r="757" ht="22.5" customHeight="1">
      <c r="A757" s="12">
        <f t="shared" si="4"/>
        <v>1755</v>
      </c>
      <c r="B757" s="26" t="s">
        <v>5819</v>
      </c>
      <c r="C757" s="7" t="str">
        <f t="shared" si="1"/>
        <v>🔊</v>
      </c>
      <c r="D757" s="8" t="s">
        <v>5820</v>
      </c>
      <c r="E757" s="6" t="s">
        <v>13</v>
      </c>
      <c r="F757" s="12" t="str">
        <f>IFERROR(__xludf.DUMMYFUNCTION("GOOGLETRANSLATE(B757,""zh_cn"",""vi"")"),"hoãn")</f>
        <v>hoãn</v>
      </c>
      <c r="G757" s="20" t="s">
        <v>5821</v>
      </c>
      <c r="I757" s="11" t="b">
        <f t="shared" si="5"/>
        <v>0</v>
      </c>
      <c r="J757" s="24"/>
      <c r="K757" s="11" t="b">
        <f t="shared" si="6"/>
        <v>0</v>
      </c>
    </row>
    <row r="758" ht="22.5" customHeight="1">
      <c r="A758" s="12">
        <f t="shared" si="4"/>
        <v>1756</v>
      </c>
      <c r="B758" s="26" t="s">
        <v>5822</v>
      </c>
      <c r="C758" s="7" t="str">
        <f t="shared" si="1"/>
        <v>🔊</v>
      </c>
      <c r="D758" s="8" t="s">
        <v>5823</v>
      </c>
      <c r="E758" s="6" t="s">
        <v>13</v>
      </c>
      <c r="F758" s="5" t="s">
        <v>5824</v>
      </c>
      <c r="G758" s="20" t="s">
        <v>5825</v>
      </c>
      <c r="I758" s="11" t="b">
        <f t="shared" si="5"/>
        <v>0</v>
      </c>
      <c r="J758" s="24"/>
      <c r="K758" s="11" t="b">
        <f t="shared" si="6"/>
        <v>0</v>
      </c>
    </row>
    <row r="759" ht="22.5" customHeight="1">
      <c r="A759" s="12">
        <f t="shared" si="4"/>
        <v>1757</v>
      </c>
      <c r="B759" s="26" t="s">
        <v>5826</v>
      </c>
      <c r="C759" s="7" t="str">
        <f t="shared" si="1"/>
        <v>🔊</v>
      </c>
      <c r="D759" s="8" t="s">
        <v>5827</v>
      </c>
      <c r="E759" s="6" t="s">
        <v>13</v>
      </c>
      <c r="F759" s="5" t="s">
        <v>5828</v>
      </c>
      <c r="G759" s="20" t="s">
        <v>5829</v>
      </c>
      <c r="I759" s="11" t="b">
        <f t="shared" si="5"/>
        <v>0</v>
      </c>
      <c r="J759" s="24"/>
      <c r="K759" s="11" t="b">
        <f t="shared" si="6"/>
        <v>0</v>
      </c>
    </row>
    <row r="760" ht="22.5" customHeight="1">
      <c r="A760" s="12">
        <f t="shared" si="4"/>
        <v>1758</v>
      </c>
      <c r="B760" s="26" t="s">
        <v>5830</v>
      </c>
      <c r="C760" s="7" t="str">
        <f t="shared" si="1"/>
        <v>🔊</v>
      </c>
      <c r="D760" s="8" t="s">
        <v>5831</v>
      </c>
      <c r="E760" s="6" t="s">
        <v>27</v>
      </c>
      <c r="F760" s="12" t="str">
        <f>IFERROR(__xludf.DUMMYFUNCTION("GOOGLETRANSLATE(B760,""zh_cn"",""vi"")"),"hình ảnh")</f>
        <v>hình ảnh</v>
      </c>
      <c r="G760" s="20" t="s">
        <v>5832</v>
      </c>
      <c r="I760" s="11" t="b">
        <f t="shared" si="5"/>
        <v>0</v>
      </c>
      <c r="J760" s="24"/>
      <c r="K760" s="11" t="b">
        <f t="shared" si="6"/>
        <v>0</v>
      </c>
    </row>
    <row r="761" ht="22.5" customHeight="1">
      <c r="A761" s="12">
        <f t="shared" si="4"/>
        <v>1759</v>
      </c>
      <c r="B761" s="26" t="s">
        <v>5833</v>
      </c>
      <c r="C761" s="7" t="str">
        <f t="shared" si="1"/>
        <v>🔊</v>
      </c>
      <c r="D761" s="8" t="s">
        <v>5834</v>
      </c>
      <c r="E761" s="6" t="s">
        <v>13</v>
      </c>
      <c r="F761" s="12" t="str">
        <f>IFERROR(__xludf.DUMMYFUNCTION("GOOGLETRANSLATE(B761,""zh_cn"",""vi"")"),"Đi ra ngoài")</f>
        <v>Đi ra ngoài</v>
      </c>
      <c r="G761" s="20" t="s">
        <v>5835</v>
      </c>
      <c r="I761" s="11" t="b">
        <f t="shared" si="5"/>
        <v>0</v>
      </c>
      <c r="J761" s="24"/>
      <c r="K761" s="11" t="b">
        <f t="shared" si="6"/>
        <v>0</v>
      </c>
    </row>
    <row r="762" ht="22.5" customHeight="1">
      <c r="A762" s="12">
        <f t="shared" si="4"/>
        <v>1760</v>
      </c>
      <c r="B762" s="26" t="s">
        <v>5836</v>
      </c>
      <c r="C762" s="7" t="str">
        <f t="shared" si="1"/>
        <v>🔊</v>
      </c>
      <c r="D762" s="8" t="s">
        <v>5837</v>
      </c>
      <c r="E762" s="6" t="s">
        <v>27</v>
      </c>
      <c r="F762" s="12" t="str">
        <f>IFERROR(__xludf.DUMMYFUNCTION("GOOGLETRANSLATE(B762,""zh_cn"",""vi"")"),"áo choàng")</f>
        <v>áo choàng</v>
      </c>
      <c r="G762" s="20" t="s">
        <v>5838</v>
      </c>
      <c r="I762" s="11" t="b">
        <f t="shared" si="5"/>
        <v>0</v>
      </c>
      <c r="J762" s="24"/>
      <c r="K762" s="11" t="b">
        <f t="shared" si="6"/>
        <v>0</v>
      </c>
    </row>
    <row r="763" ht="22.5" customHeight="1">
      <c r="A763" s="12">
        <f t="shared" si="4"/>
        <v>1761</v>
      </c>
      <c r="B763" s="26" t="s">
        <v>5839</v>
      </c>
      <c r="C763" s="7" t="str">
        <f t="shared" si="1"/>
        <v>🔊</v>
      </c>
      <c r="D763" s="8" t="s">
        <v>5840</v>
      </c>
      <c r="E763" s="6" t="s">
        <v>13</v>
      </c>
      <c r="F763" s="12" t="str">
        <f>IFERROR(__xludf.DUMMYFUNCTION("GOOGLETRANSLATE(B763,""zh_cn"",""vi"")"),"Chúc ngủ ngon")</f>
        <v>Chúc ngủ ngon</v>
      </c>
      <c r="G763" s="20" t="s">
        <v>5841</v>
      </c>
      <c r="I763" s="11" t="b">
        <f t="shared" si="5"/>
        <v>0</v>
      </c>
      <c r="J763" s="24"/>
      <c r="K763" s="11" t="b">
        <f t="shared" si="6"/>
        <v>0</v>
      </c>
    </row>
    <row r="764" ht="22.5" customHeight="1">
      <c r="A764" s="12">
        <f t="shared" si="4"/>
        <v>1762</v>
      </c>
      <c r="B764" s="26" t="s">
        <v>5842</v>
      </c>
      <c r="C764" s="7" t="str">
        <f t="shared" si="1"/>
        <v>🔊</v>
      </c>
      <c r="D764" s="8" t="s">
        <v>5843</v>
      </c>
      <c r="E764" s="6" t="s">
        <v>27</v>
      </c>
      <c r="F764" s="12" t="str">
        <f>IFERROR(__xludf.DUMMYFUNCTION("GOOGLETRANSLATE(B764,""zh_cn"",""vi"")"),"bữa tối")</f>
        <v>bữa tối</v>
      </c>
      <c r="G764" s="20" t="s">
        <v>5844</v>
      </c>
      <c r="I764" s="11" t="b">
        <f t="shared" si="5"/>
        <v>0</v>
      </c>
      <c r="J764" s="24"/>
      <c r="K764" s="11" t="b">
        <f t="shared" si="6"/>
        <v>0</v>
      </c>
    </row>
    <row r="765" ht="22.5" customHeight="1">
      <c r="A765" s="12">
        <f t="shared" si="4"/>
        <v>1763</v>
      </c>
      <c r="B765" s="26" t="s">
        <v>5845</v>
      </c>
      <c r="C765" s="7" t="str">
        <f t="shared" si="1"/>
        <v>🔊</v>
      </c>
      <c r="D765" s="8" t="s">
        <v>5846</v>
      </c>
      <c r="E765" s="6" t="s">
        <v>13</v>
      </c>
      <c r="F765" s="12" t="str">
        <f>IFERROR(__xludf.DUMMYFUNCTION("GOOGLETRANSLATE(B765,""zh_cn"",""vi"")"),"Mua sắm trực tuyến")</f>
        <v>Mua sắm trực tuyến</v>
      </c>
      <c r="G765" s="20" t="s">
        <v>5847</v>
      </c>
      <c r="I765" s="11" t="b">
        <f t="shared" si="5"/>
        <v>0</v>
      </c>
      <c r="J765" s="24"/>
      <c r="K765" s="11" t="b">
        <f t="shared" si="6"/>
        <v>0</v>
      </c>
    </row>
    <row r="766" ht="22.5" customHeight="1">
      <c r="A766" s="12">
        <f t="shared" si="4"/>
        <v>1764</v>
      </c>
      <c r="B766" s="26" t="s">
        <v>5848</v>
      </c>
      <c r="C766" s="7" t="str">
        <f t="shared" si="1"/>
        <v>🔊</v>
      </c>
      <c r="D766" s="8" t="s">
        <v>5849</v>
      </c>
      <c r="E766" s="6" t="s">
        <v>61</v>
      </c>
      <c r="F766" s="5" t="s">
        <v>5850</v>
      </c>
      <c r="G766" s="20" t="s">
        <v>5851</v>
      </c>
      <c r="I766" s="11" t="b">
        <f t="shared" si="5"/>
        <v>0</v>
      </c>
      <c r="J766" s="24"/>
      <c r="K766" s="11" t="b">
        <f t="shared" si="6"/>
        <v>0</v>
      </c>
    </row>
    <row r="767" ht="22.5" customHeight="1">
      <c r="A767" s="12">
        <f t="shared" si="4"/>
        <v>1765</v>
      </c>
      <c r="B767" s="26" t="s">
        <v>5852</v>
      </c>
      <c r="C767" s="7" t="str">
        <f t="shared" si="1"/>
        <v>🔊</v>
      </c>
      <c r="D767" s="8" t="s">
        <v>5853</v>
      </c>
      <c r="E767" s="6" t="s">
        <v>27</v>
      </c>
      <c r="F767" s="12" t="str">
        <f>IFERROR(__xludf.DUMMYFUNCTION("GOOGLETRANSLATE(B767,""zh_cn"",""vi"")"),"Trang web")</f>
        <v>Trang web</v>
      </c>
      <c r="G767" s="20" t="s">
        <v>5854</v>
      </c>
      <c r="I767" s="11" t="b">
        <f t="shared" si="5"/>
        <v>0</v>
      </c>
      <c r="J767" s="24"/>
      <c r="K767" s="11" t="b">
        <f t="shared" si="6"/>
        <v>0</v>
      </c>
    </row>
    <row r="768" ht="22.5" customHeight="1">
      <c r="A768" s="12">
        <f t="shared" si="4"/>
        <v>1766</v>
      </c>
      <c r="B768" s="26" t="s">
        <v>5855</v>
      </c>
      <c r="C768" s="7" t="str">
        <f t="shared" si="1"/>
        <v>🔊</v>
      </c>
      <c r="D768" s="8" t="s">
        <v>5856</v>
      </c>
      <c r="E768" s="6" t="s">
        <v>27</v>
      </c>
      <c r="F768" s="12" t="str">
        <f>IFERROR(__xludf.DUMMYFUNCTION("GOOGLETRANSLATE(B768,""zh_cn"",""vi"")"),"Cư dân mạng")</f>
        <v>Cư dân mạng</v>
      </c>
      <c r="G768" s="20" t="s">
        <v>5857</v>
      </c>
      <c r="I768" s="11" t="b">
        <f t="shared" si="5"/>
        <v>0</v>
      </c>
      <c r="J768" s="24"/>
      <c r="K768" s="11" t="b">
        <f t="shared" si="6"/>
        <v>0</v>
      </c>
    </row>
    <row r="769" ht="22.5" customHeight="1">
      <c r="A769" s="12">
        <f t="shared" si="4"/>
        <v>1767</v>
      </c>
      <c r="B769" s="26" t="s">
        <v>5858</v>
      </c>
      <c r="C769" s="7" t="str">
        <f t="shared" si="1"/>
        <v>🔊</v>
      </c>
      <c r="D769" s="8" t="s">
        <v>5859</v>
      </c>
      <c r="E769" s="6" t="s">
        <v>27</v>
      </c>
      <c r="F769" s="5" t="s">
        <v>5860</v>
      </c>
      <c r="G769" s="20" t="s">
        <v>5861</v>
      </c>
      <c r="I769" s="11" t="b">
        <f t="shared" si="5"/>
        <v>0</v>
      </c>
      <c r="J769" s="24"/>
      <c r="K769" s="11" t="b">
        <f t="shared" si="6"/>
        <v>0</v>
      </c>
    </row>
    <row r="770" ht="22.5" customHeight="1">
      <c r="A770" s="12">
        <f t="shared" si="4"/>
        <v>1768</v>
      </c>
      <c r="B770" s="26" t="s">
        <v>5862</v>
      </c>
      <c r="C770" s="7" t="str">
        <f t="shared" si="1"/>
        <v>🔊</v>
      </c>
      <c r="D770" s="8" t="s">
        <v>5863</v>
      </c>
      <c r="E770" s="6" t="s">
        <v>1308</v>
      </c>
      <c r="F770" s="12" t="str">
        <f>IFERROR(__xludf.DUMMYFUNCTION("GOOGLETRANSLATE(B770,""zh_cn"",""vi"")"),"hoàn toàn")</f>
        <v>hoàn toàn</v>
      </c>
      <c r="G770" s="20" t="s">
        <v>5864</v>
      </c>
      <c r="I770" s="11" t="b">
        <f t="shared" si="5"/>
        <v>0</v>
      </c>
      <c r="J770" s="24"/>
      <c r="K770" s="11" t="b">
        <f t="shared" si="6"/>
        <v>0</v>
      </c>
    </row>
    <row r="771" ht="22.5" customHeight="1">
      <c r="A771" s="12">
        <f t="shared" si="4"/>
        <v>1769</v>
      </c>
      <c r="B771" s="26" t="s">
        <v>5865</v>
      </c>
      <c r="C771" s="7" t="str">
        <f t="shared" si="1"/>
        <v>🔊</v>
      </c>
      <c r="D771" s="8" t="s">
        <v>5866</v>
      </c>
      <c r="E771" s="6" t="s">
        <v>27</v>
      </c>
      <c r="F771" s="12" t="str">
        <f>IFERROR(__xludf.DUMMYFUNCTION("GOOGLETRANSLATE(B771,""zh_cn"",""vi"")"),"tất")</f>
        <v>tất</v>
      </c>
      <c r="G771" s="20" t="s">
        <v>5867</v>
      </c>
      <c r="I771" s="11" t="b">
        <f t="shared" si="5"/>
        <v>0</v>
      </c>
      <c r="J771" s="24"/>
      <c r="K771" s="11" t="b">
        <f t="shared" si="6"/>
        <v>0</v>
      </c>
    </row>
    <row r="772" ht="22.5" customHeight="1">
      <c r="A772" s="12">
        <f t="shared" si="4"/>
        <v>1770</v>
      </c>
      <c r="B772" s="26" t="s">
        <v>2920</v>
      </c>
      <c r="C772" s="7" t="str">
        <f t="shared" si="1"/>
        <v>🔊</v>
      </c>
      <c r="D772" s="8" t="s">
        <v>5868</v>
      </c>
      <c r="E772" s="6" t="s">
        <v>13</v>
      </c>
      <c r="F772" s="12" t="str">
        <f>IFERROR(__xludf.DUMMYFUNCTION("GOOGLETRANSLATE(B772,""zh_cn"",""vi"")"),"vì")</f>
        <v>vì</v>
      </c>
      <c r="G772" s="20" t="s">
        <v>5869</v>
      </c>
      <c r="I772" s="11" t="b">
        <f t="shared" si="5"/>
        <v>0</v>
      </c>
      <c r="J772" s="24"/>
      <c r="K772" s="11" t="b">
        <f t="shared" si="6"/>
        <v>0</v>
      </c>
    </row>
    <row r="773" ht="22.5" customHeight="1">
      <c r="A773" s="12">
        <f t="shared" si="4"/>
        <v>1771</v>
      </c>
      <c r="B773" s="26" t="s">
        <v>5870</v>
      </c>
      <c r="C773" s="7" t="str">
        <f t="shared" si="1"/>
        <v>🔊</v>
      </c>
      <c r="D773" s="8" t="s">
        <v>746</v>
      </c>
      <c r="E773" s="6" t="s">
        <v>27</v>
      </c>
      <c r="F773" s="5" t="s">
        <v>5871</v>
      </c>
      <c r="G773" s="20" t="s">
        <v>5872</v>
      </c>
      <c r="I773" s="11" t="b">
        <f t="shared" si="5"/>
        <v>0</v>
      </c>
      <c r="J773" s="24"/>
      <c r="K773" s="11" t="b">
        <f t="shared" si="6"/>
        <v>0</v>
      </c>
    </row>
    <row r="774" ht="22.5" customHeight="1">
      <c r="A774" s="12">
        <f t="shared" si="4"/>
        <v>1772</v>
      </c>
      <c r="B774" s="26" t="s">
        <v>5873</v>
      </c>
      <c r="C774" s="7" t="str">
        <f t="shared" si="1"/>
        <v>🔊</v>
      </c>
      <c r="D774" s="8" t="s">
        <v>5874</v>
      </c>
      <c r="E774" s="6" t="s">
        <v>27</v>
      </c>
      <c r="F774" s="5" t="s">
        <v>5875</v>
      </c>
      <c r="G774" s="20" t="s">
        <v>5876</v>
      </c>
      <c r="I774" s="11" t="b">
        <f t="shared" si="5"/>
        <v>0</v>
      </c>
      <c r="J774" s="24"/>
      <c r="K774" s="11" t="b">
        <f t="shared" si="6"/>
        <v>0</v>
      </c>
    </row>
    <row r="775" ht="22.5" customHeight="1">
      <c r="A775" s="12">
        <f t="shared" si="4"/>
        <v>1773</v>
      </c>
      <c r="B775" s="26" t="s">
        <v>5877</v>
      </c>
      <c r="C775" s="7" t="str">
        <f t="shared" si="1"/>
        <v>🔊</v>
      </c>
      <c r="D775" s="8" t="s">
        <v>5878</v>
      </c>
      <c r="E775" s="6" t="s">
        <v>1164</v>
      </c>
      <c r="F775" s="5" t="s">
        <v>5879</v>
      </c>
      <c r="G775" s="20" t="s">
        <v>5880</v>
      </c>
      <c r="I775" s="11" t="b">
        <f t="shared" si="5"/>
        <v>0</v>
      </c>
      <c r="J775" s="24"/>
      <c r="K775" s="11" t="b">
        <f t="shared" si="6"/>
        <v>0</v>
      </c>
    </row>
    <row r="776" ht="22.5" customHeight="1">
      <c r="A776" s="12">
        <f t="shared" si="4"/>
        <v>1774</v>
      </c>
      <c r="B776" s="26" t="s">
        <v>5881</v>
      </c>
      <c r="C776" s="7" t="str">
        <f t="shared" si="1"/>
        <v>🔊</v>
      </c>
      <c r="D776" s="8" t="s">
        <v>5882</v>
      </c>
      <c r="E776" s="6" t="s">
        <v>1164</v>
      </c>
      <c r="F776" s="12" t="str">
        <f>IFERROR(__xludf.DUMMYFUNCTION("GOOGLETRANSLATE(B776,""zh_cn"",""vi"")"),"Sự nguy hiểm")</f>
        <v>Sự nguy hiểm</v>
      </c>
      <c r="G776" s="20" t="s">
        <v>5883</v>
      </c>
      <c r="I776" s="11" t="b">
        <f t="shared" si="5"/>
        <v>0</v>
      </c>
      <c r="J776" s="24"/>
      <c r="K776" s="11" t="b">
        <f t="shared" si="6"/>
        <v>0</v>
      </c>
    </row>
    <row r="777" ht="22.5" customHeight="1">
      <c r="A777" s="12">
        <f t="shared" si="4"/>
        <v>1775</v>
      </c>
      <c r="B777" s="26" t="s">
        <v>5884</v>
      </c>
      <c r="C777" s="7" t="str">
        <f t="shared" si="1"/>
        <v>🔊</v>
      </c>
      <c r="D777" s="8" t="s">
        <v>5885</v>
      </c>
      <c r="E777" s="6" t="s">
        <v>13</v>
      </c>
      <c r="F777" s="5" t="s">
        <v>5886</v>
      </c>
      <c r="G777" s="20" t="s">
        <v>5887</v>
      </c>
      <c r="I777" s="11" t="b">
        <f t="shared" si="5"/>
        <v>0</v>
      </c>
      <c r="J777" s="24"/>
      <c r="K777" s="11" t="b">
        <f t="shared" si="6"/>
        <v>0</v>
      </c>
    </row>
    <row r="778" ht="22.5" customHeight="1">
      <c r="A778" s="12">
        <f t="shared" si="4"/>
        <v>1776</v>
      </c>
      <c r="B778" s="26" t="s">
        <v>5888</v>
      </c>
      <c r="C778" s="7" t="str">
        <f t="shared" si="1"/>
        <v>🔊</v>
      </c>
      <c r="D778" s="8" t="s">
        <v>5889</v>
      </c>
      <c r="E778" s="6" t="s">
        <v>27</v>
      </c>
      <c r="F778" s="12" t="str">
        <f>IFERROR(__xludf.DUMMYFUNCTION("GOOGLETRANSLATE(B778,""zh_cn"",""vi"")"),"nhiệt độ")</f>
        <v>nhiệt độ</v>
      </c>
      <c r="G778" s="20" t="s">
        <v>5890</v>
      </c>
      <c r="I778" s="11" t="b">
        <f t="shared" si="5"/>
        <v>0</v>
      </c>
      <c r="J778" s="24"/>
      <c r="K778" s="11" t="b">
        <f t="shared" si="6"/>
        <v>0</v>
      </c>
    </row>
    <row r="779" ht="22.5" customHeight="1">
      <c r="A779" s="12">
        <f t="shared" si="4"/>
        <v>1777</v>
      </c>
      <c r="B779" s="26" t="s">
        <v>5891</v>
      </c>
      <c r="C779" s="7" t="str">
        <f t="shared" si="1"/>
        <v>🔊</v>
      </c>
      <c r="D779" s="8" t="s">
        <v>5892</v>
      </c>
      <c r="E779" s="6" t="s">
        <v>27</v>
      </c>
      <c r="F779" s="12" t="str">
        <f>IFERROR(__xludf.DUMMYFUNCTION("GOOGLETRANSLATE(B779,""zh_cn"",""vi"")"),"tài liệu")</f>
        <v>tài liệu</v>
      </c>
      <c r="G779" s="20" t="s">
        <v>5893</v>
      </c>
      <c r="I779" s="11" t="b">
        <f t="shared" si="5"/>
        <v>0</v>
      </c>
      <c r="J779" s="24"/>
      <c r="K779" s="11" t="b">
        <f t="shared" si="6"/>
        <v>0</v>
      </c>
    </row>
    <row r="780" ht="22.5" customHeight="1">
      <c r="A780" s="12">
        <f t="shared" si="4"/>
        <v>1778</v>
      </c>
      <c r="B780" s="26" t="s">
        <v>5894</v>
      </c>
      <c r="C780" s="7" t="str">
        <f t="shared" si="1"/>
        <v>🔊</v>
      </c>
      <c r="D780" s="8" t="s">
        <v>5895</v>
      </c>
      <c r="E780" s="6" t="s">
        <v>27</v>
      </c>
      <c r="F780" s="12" t="str">
        <f>IFERROR(__xludf.DUMMYFUNCTION("GOOGLETRANSLATE(B780,""zh_cn"",""vi"")"),"bài báo")</f>
        <v>bài báo</v>
      </c>
      <c r="G780" s="20" t="s">
        <v>5896</v>
      </c>
      <c r="I780" s="11" t="b">
        <f t="shared" si="5"/>
        <v>0</v>
      </c>
      <c r="J780" s="24"/>
      <c r="K780" s="11" t="b">
        <f t="shared" si="6"/>
        <v>0</v>
      </c>
    </row>
    <row r="781" ht="22.5" customHeight="1">
      <c r="A781" s="12">
        <f t="shared" si="4"/>
        <v>1779</v>
      </c>
      <c r="B781" s="26" t="s">
        <v>5897</v>
      </c>
      <c r="C781" s="7" t="str">
        <f t="shared" si="1"/>
        <v>🔊</v>
      </c>
      <c r="D781" s="8" t="s">
        <v>5898</v>
      </c>
      <c r="E781" s="6" t="s">
        <v>27</v>
      </c>
      <c r="F781" s="5" t="s">
        <v>5899</v>
      </c>
      <c r="G781" s="20" t="s">
        <v>5900</v>
      </c>
      <c r="I781" s="11" t="b">
        <f t="shared" si="5"/>
        <v>0</v>
      </c>
      <c r="J781" s="24"/>
      <c r="K781" s="11" t="b">
        <f t="shared" si="6"/>
        <v>0</v>
      </c>
    </row>
    <row r="782" ht="22.5" customHeight="1">
      <c r="A782" s="12">
        <f t="shared" si="4"/>
        <v>1780</v>
      </c>
      <c r="B782" s="26" t="s">
        <v>5901</v>
      </c>
      <c r="C782" s="7" t="str">
        <f t="shared" si="1"/>
        <v>🔊</v>
      </c>
      <c r="D782" s="8" t="s">
        <v>5902</v>
      </c>
      <c r="E782" s="6" t="s">
        <v>13</v>
      </c>
      <c r="F782" s="12" t="str">
        <f>IFERROR(__xludf.DUMMYFUNCTION("GOOGLETRANSLATE(B782,""zh_cn"",""vi"")"),"không có")</f>
        <v>không có</v>
      </c>
      <c r="G782" s="20" t="s">
        <v>5903</v>
      </c>
      <c r="I782" s="11" t="b">
        <f t="shared" si="5"/>
        <v>0</v>
      </c>
      <c r="J782" s="24"/>
      <c r="K782" s="11" t="b">
        <f t="shared" si="6"/>
        <v>0</v>
      </c>
    </row>
    <row r="783" ht="22.5" customHeight="1">
      <c r="A783" s="12">
        <f t="shared" si="4"/>
        <v>1781</v>
      </c>
      <c r="B783" s="26" t="s">
        <v>5904</v>
      </c>
      <c r="C783" s="7" t="str">
        <f t="shared" si="1"/>
        <v>🔊</v>
      </c>
      <c r="D783" s="8" t="s">
        <v>5905</v>
      </c>
      <c r="E783" s="6" t="s">
        <v>27</v>
      </c>
      <c r="F783" s="12" t="str">
        <f>IFERROR(__xludf.DUMMYFUNCTION("GOOGLETRANSLATE(B783,""zh_cn"",""vi"")"),"Bữa trưa")</f>
        <v>Bữa trưa</v>
      </c>
      <c r="G783" s="20" t="s">
        <v>5906</v>
      </c>
      <c r="I783" s="11" t="b">
        <f t="shared" si="5"/>
        <v>0</v>
      </c>
      <c r="J783" s="24"/>
      <c r="K783" s="11" t="b">
        <f t="shared" si="6"/>
        <v>0</v>
      </c>
    </row>
    <row r="784" ht="22.5" customHeight="1">
      <c r="A784" s="12">
        <f t="shared" si="4"/>
        <v>1782</v>
      </c>
      <c r="B784" s="26" t="s">
        <v>5907</v>
      </c>
      <c r="C784" s="7" t="str">
        <f t="shared" si="1"/>
        <v>🔊</v>
      </c>
      <c r="D784" s="8" t="s">
        <v>5908</v>
      </c>
      <c r="E784" s="6" t="s">
        <v>13</v>
      </c>
      <c r="F784" s="12" t="str">
        <f>IFERROR(__xludf.DUMMYFUNCTION("GOOGLETRANSLATE(B784,""zh_cn"",""vi"")"),"Không thể")</f>
        <v>Không thể</v>
      </c>
      <c r="G784" s="20" t="s">
        <v>5909</v>
      </c>
      <c r="I784" s="11" t="b">
        <f t="shared" si="5"/>
        <v>0</v>
      </c>
      <c r="J784" s="24"/>
      <c r="K784" s="11" t="b">
        <f t="shared" si="6"/>
        <v>0</v>
      </c>
    </row>
    <row r="785" ht="22.5" customHeight="1">
      <c r="A785" s="12">
        <f t="shared" si="4"/>
        <v>1783</v>
      </c>
      <c r="B785" s="26" t="s">
        <v>5910</v>
      </c>
      <c r="C785" s="7" t="str">
        <f t="shared" si="1"/>
        <v>🔊</v>
      </c>
      <c r="D785" s="8" t="s">
        <v>5911</v>
      </c>
      <c r="E785" s="6" t="s">
        <v>232</v>
      </c>
      <c r="F785" s="12" t="str">
        <f>IFERROR(__xludf.DUMMYFUNCTION("GOOGLETRANSLATE(B785,""zh_cn"",""vi"")"),"Hiểu lầm")</f>
        <v>Hiểu lầm</v>
      </c>
      <c r="G785" s="20" t="s">
        <v>5912</v>
      </c>
      <c r="I785" s="11" t="b">
        <f t="shared" si="5"/>
        <v>0</v>
      </c>
      <c r="J785" s="24"/>
      <c r="K785" s="11" t="b">
        <f t="shared" si="6"/>
        <v>0</v>
      </c>
    </row>
    <row r="786" ht="22.5" customHeight="1">
      <c r="A786" s="12">
        <f t="shared" si="4"/>
        <v>1784</v>
      </c>
      <c r="B786" s="26" t="s">
        <v>5913</v>
      </c>
      <c r="C786" s="7" t="str">
        <f t="shared" si="1"/>
        <v>🔊</v>
      </c>
      <c r="D786" s="8" t="s">
        <v>5914</v>
      </c>
      <c r="E786" s="6" t="s">
        <v>99</v>
      </c>
      <c r="F786" s="12" t="str">
        <f>IFERROR(__xludf.DUMMYFUNCTION("GOOGLETRANSLATE(B786,""zh_cn"",""vi"")"),"nhạt nhẽo")</f>
        <v>nhạt nhẽo</v>
      </c>
      <c r="G786" s="20" t="s">
        <v>5915</v>
      </c>
      <c r="I786" s="11" t="b">
        <f t="shared" si="5"/>
        <v>0</v>
      </c>
      <c r="J786" s="24"/>
      <c r="K786" s="11" t="b">
        <f t="shared" si="6"/>
        <v>0</v>
      </c>
    </row>
    <row r="787" ht="22.5" customHeight="1">
      <c r="A787" s="12">
        <f t="shared" si="4"/>
        <v>1785</v>
      </c>
      <c r="B787" s="26" t="s">
        <v>5916</v>
      </c>
      <c r="C787" s="7" t="str">
        <f t="shared" si="1"/>
        <v>🔊</v>
      </c>
      <c r="D787" s="8" t="s">
        <v>5917</v>
      </c>
      <c r="E787" s="6" t="s">
        <v>1132</v>
      </c>
      <c r="F787" s="5" t="s">
        <v>3500</v>
      </c>
      <c r="G787" s="20" t="s">
        <v>5918</v>
      </c>
      <c r="I787" s="11" t="b">
        <f t="shared" si="5"/>
        <v>0</v>
      </c>
      <c r="J787" s="24"/>
      <c r="K787" s="11" t="b">
        <f t="shared" si="6"/>
        <v>0</v>
      </c>
    </row>
    <row r="788" ht="22.5" customHeight="1">
      <c r="A788" s="12">
        <f t="shared" si="4"/>
        <v>1786</v>
      </c>
      <c r="B788" s="26" t="s">
        <v>5919</v>
      </c>
      <c r="C788" s="7" t="str">
        <f t="shared" si="1"/>
        <v>🔊</v>
      </c>
      <c r="D788" s="8" t="s">
        <v>5920</v>
      </c>
      <c r="E788" s="6" t="s">
        <v>13</v>
      </c>
      <c r="F788" s="12" t="str">
        <f>IFERROR(__xludf.DUMMYFUNCTION("GOOGLETRANSLATE(B788,""zh_cn"",""vi"")"),"ô nhiễm")</f>
        <v>ô nhiễm</v>
      </c>
      <c r="G788" s="20" t="s">
        <v>5921</v>
      </c>
      <c r="I788" s="11" t="b">
        <f t="shared" si="5"/>
        <v>0</v>
      </c>
      <c r="J788" s="24"/>
      <c r="K788" s="11" t="b">
        <f t="shared" si="6"/>
        <v>0</v>
      </c>
    </row>
    <row r="789" ht="22.5" customHeight="1">
      <c r="A789" s="12">
        <f t="shared" si="4"/>
        <v>1787</v>
      </c>
      <c r="B789" s="26" t="s">
        <v>5922</v>
      </c>
      <c r="C789" s="7" t="str">
        <f t="shared" si="1"/>
        <v>🔊</v>
      </c>
      <c r="D789" s="8" t="s">
        <v>5923</v>
      </c>
      <c r="E789" s="6" t="s">
        <v>99</v>
      </c>
      <c r="F789" s="5" t="s">
        <v>5924</v>
      </c>
      <c r="G789" s="20" t="s">
        <v>5925</v>
      </c>
      <c r="I789" s="11" t="b">
        <f t="shared" si="5"/>
        <v>0</v>
      </c>
      <c r="J789" s="24"/>
      <c r="K789" s="11" t="b">
        <f t="shared" si="6"/>
        <v>0</v>
      </c>
    </row>
    <row r="790" ht="22.5" customHeight="1">
      <c r="A790" s="12">
        <f t="shared" si="4"/>
        <v>1788</v>
      </c>
      <c r="B790" s="26" t="s">
        <v>5926</v>
      </c>
      <c r="C790" s="7" t="str">
        <f t="shared" si="1"/>
        <v>🔊</v>
      </c>
      <c r="D790" s="8" t="s">
        <v>2935</v>
      </c>
      <c r="E790" s="6" t="s">
        <v>13</v>
      </c>
      <c r="F790" s="12" t="str">
        <f>IFERROR(__xludf.DUMMYFUNCTION("GOOGLETRANSLATE(B790,""zh_cn"",""vi"")"),"hút")</f>
        <v>hút</v>
      </c>
      <c r="G790" s="20" t="s">
        <v>5927</v>
      </c>
      <c r="I790" s="11" t="b">
        <f t="shared" si="5"/>
        <v>0</v>
      </c>
      <c r="J790" s="24"/>
      <c r="K790" s="11" t="b">
        <f t="shared" si="6"/>
        <v>0</v>
      </c>
    </row>
    <row r="791" ht="22.5" customHeight="1">
      <c r="A791" s="12">
        <f t="shared" si="4"/>
        <v>1789</v>
      </c>
      <c r="B791" s="26" t="s">
        <v>5928</v>
      </c>
      <c r="C791" s="7" t="str">
        <f t="shared" si="1"/>
        <v>🔊</v>
      </c>
      <c r="D791" s="8" t="s">
        <v>5929</v>
      </c>
      <c r="E791" s="6" t="s">
        <v>13</v>
      </c>
      <c r="F791" s="5" t="s">
        <v>5930</v>
      </c>
      <c r="G791" s="20" t="s">
        <v>5931</v>
      </c>
      <c r="I791" s="11" t="b">
        <f t="shared" si="5"/>
        <v>0</v>
      </c>
      <c r="J791" s="24"/>
      <c r="K791" s="11" t="b">
        <f t="shared" si="6"/>
        <v>0</v>
      </c>
    </row>
    <row r="792" ht="22.5" customHeight="1">
      <c r="A792" s="12">
        <f t="shared" si="4"/>
        <v>1790</v>
      </c>
      <c r="B792" s="26" t="s">
        <v>5932</v>
      </c>
      <c r="C792" s="7" t="str">
        <f t="shared" si="1"/>
        <v>🔊</v>
      </c>
      <c r="D792" s="8" t="s">
        <v>5933</v>
      </c>
      <c r="E792" s="6" t="s">
        <v>99</v>
      </c>
      <c r="F792" s="12" t="str">
        <f>IFERROR(__xludf.DUMMYFUNCTION("GOOGLETRANSLATE(B792,""zh_cn"",""vi"")"),"mặn")</f>
        <v>mặn</v>
      </c>
      <c r="G792" s="20" t="s">
        <v>5934</v>
      </c>
      <c r="I792" s="11" t="b">
        <f t="shared" si="5"/>
        <v>0</v>
      </c>
      <c r="J792" s="24"/>
      <c r="K792" s="11" t="b">
        <f t="shared" si="6"/>
        <v>0</v>
      </c>
    </row>
    <row r="793" ht="22.5" customHeight="1">
      <c r="A793" s="12">
        <f t="shared" si="4"/>
        <v>1791</v>
      </c>
      <c r="B793" s="26" t="s">
        <v>5935</v>
      </c>
      <c r="C793" s="7" t="str">
        <f t="shared" si="1"/>
        <v>🔊</v>
      </c>
      <c r="D793" s="8" t="s">
        <v>2941</v>
      </c>
      <c r="E793" s="6" t="s">
        <v>99</v>
      </c>
      <c r="F793" s="12" t="str">
        <f>IFERROR(__xludf.DUMMYFUNCTION("GOOGLETRANSLATE(B793,""zh_cn"",""vi"")"),"tươi")</f>
        <v>tươi</v>
      </c>
      <c r="G793" s="20" t="s">
        <v>5936</v>
      </c>
      <c r="I793" s="11" t="b">
        <f t="shared" si="5"/>
        <v>0</v>
      </c>
      <c r="J793" s="24"/>
      <c r="K793" s="11" t="b">
        <f t="shared" si="6"/>
        <v>0</v>
      </c>
    </row>
    <row r="794" ht="22.5" customHeight="1">
      <c r="A794" s="12">
        <f t="shared" si="4"/>
        <v>1792</v>
      </c>
      <c r="B794" s="26" t="s">
        <v>5937</v>
      </c>
      <c r="C794" s="7" t="str">
        <f t="shared" si="1"/>
        <v>🔊</v>
      </c>
      <c r="D794" s="8" t="s">
        <v>2944</v>
      </c>
      <c r="E794" s="6" t="s">
        <v>47</v>
      </c>
      <c r="F794" s="12" t="str">
        <f>IFERROR(__xludf.DUMMYFUNCTION("GOOGLETRANSLATE(B794,""zh_cn"",""vi"")"),"mục ")</f>
        <v>mục </v>
      </c>
      <c r="G794" s="20" t="s">
        <v>5938</v>
      </c>
      <c r="I794" s="11" t="b">
        <f t="shared" si="5"/>
        <v>0</v>
      </c>
      <c r="J794" s="24"/>
      <c r="K794" s="11" t="b">
        <f t="shared" si="6"/>
        <v>0</v>
      </c>
    </row>
    <row r="795" ht="22.5" customHeight="1">
      <c r="A795" s="12">
        <f t="shared" si="4"/>
        <v>1793</v>
      </c>
      <c r="B795" s="26" t="s">
        <v>5939</v>
      </c>
      <c r="C795" s="7" t="str">
        <f t="shared" si="1"/>
        <v>🔊</v>
      </c>
      <c r="D795" s="8" t="s">
        <v>784</v>
      </c>
      <c r="E795" s="6" t="s">
        <v>368</v>
      </c>
      <c r="F795" s="5" t="s">
        <v>5940</v>
      </c>
      <c r="G795" s="20" t="s">
        <v>5941</v>
      </c>
      <c r="I795" s="11" t="b">
        <f t="shared" si="5"/>
        <v>0</v>
      </c>
      <c r="J795" s="24"/>
      <c r="K795" s="11" t="b">
        <f t="shared" si="6"/>
        <v>0</v>
      </c>
    </row>
    <row r="796" ht="22.5" customHeight="1">
      <c r="A796" s="12">
        <f t="shared" si="4"/>
        <v>1794</v>
      </c>
      <c r="B796" s="26" t="s">
        <v>5942</v>
      </c>
      <c r="C796" s="7" t="str">
        <f t="shared" si="1"/>
        <v>🔊</v>
      </c>
      <c r="D796" s="8" t="s">
        <v>5943</v>
      </c>
      <c r="E796" s="6" t="s">
        <v>99</v>
      </c>
      <c r="F796" s="12" t="str">
        <f>IFERROR(__xludf.DUMMYFUNCTION("GOOGLETRANSLATE(B796,""zh_cn"",""vi"")"),"thơm")</f>
        <v>thơm</v>
      </c>
      <c r="G796" s="20" t="s">
        <v>5944</v>
      </c>
      <c r="I796" s="11" t="b">
        <f t="shared" si="5"/>
        <v>0</v>
      </c>
      <c r="J796" s="24"/>
      <c r="K796" s="11" t="b">
        <f t="shared" si="6"/>
        <v>0</v>
      </c>
    </row>
    <row r="797" ht="22.5" customHeight="1">
      <c r="A797" s="12">
        <f t="shared" si="4"/>
        <v>1795</v>
      </c>
      <c r="B797" s="26" t="s">
        <v>5945</v>
      </c>
      <c r="C797" s="7" t="str">
        <f t="shared" si="1"/>
        <v>🔊</v>
      </c>
      <c r="D797" s="8" t="s">
        <v>5946</v>
      </c>
      <c r="E797" s="6" t="s">
        <v>13</v>
      </c>
      <c r="F797" s="12" t="str">
        <f>IFERROR(__xludf.DUMMYFUNCTION("GOOGLETRANSLATE(B797,""zh_cn"",""vi"")"),"so với")</f>
        <v>so với</v>
      </c>
      <c r="G797" s="20" t="s">
        <v>5947</v>
      </c>
      <c r="I797" s="11" t="b">
        <f t="shared" si="5"/>
        <v>0</v>
      </c>
      <c r="J797" s="24"/>
      <c r="K797" s="11" t="b">
        <f t="shared" si="6"/>
        <v>0</v>
      </c>
    </row>
    <row r="798" ht="22.5" customHeight="1">
      <c r="A798" s="12">
        <f t="shared" si="4"/>
        <v>1796</v>
      </c>
      <c r="B798" s="26" t="s">
        <v>5948</v>
      </c>
      <c r="C798" s="7" t="str">
        <f t="shared" si="1"/>
        <v>🔊</v>
      </c>
      <c r="D798" s="8" t="s">
        <v>5949</v>
      </c>
      <c r="E798" s="6" t="s">
        <v>27</v>
      </c>
      <c r="F798" s="12" t="str">
        <f>IFERROR(__xludf.DUMMYFUNCTION("GOOGLETRANSLATE(B798,""zh_cn"",""vi"")"),"ý tưởng")</f>
        <v>ý tưởng</v>
      </c>
      <c r="G798" s="20" t="s">
        <v>5950</v>
      </c>
      <c r="I798" s="11" t="b">
        <f t="shared" si="5"/>
        <v>0</v>
      </c>
      <c r="J798" s="24"/>
      <c r="K798" s="11" t="b">
        <f t="shared" si="6"/>
        <v>0</v>
      </c>
    </row>
    <row r="799" ht="22.5" customHeight="1">
      <c r="A799" s="12">
        <f t="shared" si="4"/>
        <v>1797</v>
      </c>
      <c r="B799" s="26" t="s">
        <v>5951</v>
      </c>
      <c r="C799" s="7" t="str">
        <f t="shared" si="1"/>
        <v>🔊</v>
      </c>
      <c r="D799" s="8" t="s">
        <v>5952</v>
      </c>
      <c r="E799" s="6" t="s">
        <v>5953</v>
      </c>
      <c r="F799" s="12" t="str">
        <f>IFERROR(__xludf.DUMMYFUNCTION("GOOGLETRANSLATE(B799,""zh_cn"",""vi"")"),"ngược lại")</f>
        <v>ngược lại</v>
      </c>
      <c r="G799" s="20" t="s">
        <v>5954</v>
      </c>
      <c r="I799" s="11" t="b">
        <f t="shared" si="5"/>
        <v>0</v>
      </c>
      <c r="J799" s="24"/>
      <c r="K799" s="11" t="b">
        <f t="shared" si="6"/>
        <v>0</v>
      </c>
    </row>
    <row r="800" ht="22.5" customHeight="1">
      <c r="A800" s="12">
        <f t="shared" si="4"/>
        <v>1798</v>
      </c>
      <c r="B800" s="26" t="s">
        <v>5955</v>
      </c>
      <c r="C800" s="7" t="str">
        <f t="shared" si="1"/>
        <v>🔊</v>
      </c>
      <c r="D800" s="8" t="s">
        <v>5956</v>
      </c>
      <c r="E800" s="6" t="s">
        <v>61</v>
      </c>
      <c r="F800" s="5" t="s">
        <v>4369</v>
      </c>
      <c r="G800" s="20" t="s">
        <v>5957</v>
      </c>
      <c r="I800" s="11" t="b">
        <f t="shared" si="5"/>
        <v>0</v>
      </c>
      <c r="J800" s="24"/>
      <c r="K800" s="11" t="b">
        <f t="shared" si="6"/>
        <v>0</v>
      </c>
    </row>
    <row r="801" ht="22.5" customHeight="1">
      <c r="A801" s="12">
        <f t="shared" si="4"/>
        <v>1799</v>
      </c>
      <c r="B801" s="26" t="s">
        <v>5958</v>
      </c>
      <c r="C801" s="7" t="str">
        <f t="shared" si="1"/>
        <v>🔊</v>
      </c>
      <c r="D801" s="8" t="s">
        <v>5959</v>
      </c>
      <c r="E801" s="6" t="s">
        <v>99</v>
      </c>
      <c r="F801" s="12" t="str">
        <f>IFERROR(__xludf.DUMMYFUNCTION("GOOGLETRANSLATE(B801,""zh_cn"",""vi"")"),"như nhau")</f>
        <v>như nhau</v>
      </c>
      <c r="G801" s="20" t="s">
        <v>5960</v>
      </c>
      <c r="I801" s="11" t="b">
        <f t="shared" si="5"/>
        <v>0</v>
      </c>
      <c r="J801" s="24"/>
      <c r="K801" s="11" t="b">
        <f t="shared" si="6"/>
        <v>0</v>
      </c>
    </row>
    <row r="802" ht="22.5" customHeight="1">
      <c r="A802" s="12">
        <f t="shared" si="4"/>
        <v>1800</v>
      </c>
      <c r="B802" s="26" t="s">
        <v>5961</v>
      </c>
      <c r="C802" s="7" t="str">
        <f t="shared" si="1"/>
        <v>🔊</v>
      </c>
      <c r="D802" s="8" t="s">
        <v>5962</v>
      </c>
      <c r="E802" s="6" t="s">
        <v>99</v>
      </c>
      <c r="F802" s="12" t="str">
        <f>IFERROR(__xludf.DUMMYFUNCTION("GOOGLETRANSLATE(B802,""zh_cn"",""vi"")"),"chi tiết")</f>
        <v>chi tiết</v>
      </c>
      <c r="G802" s="20" t="s">
        <v>5963</v>
      </c>
      <c r="I802" s="11" t="b">
        <f t="shared" si="5"/>
        <v>0</v>
      </c>
      <c r="J802" s="24"/>
      <c r="K802" s="11" t="b">
        <f t="shared" si="6"/>
        <v>0</v>
      </c>
    </row>
    <row r="803" ht="22.5" customHeight="1">
      <c r="A803" s="12">
        <f t="shared" si="4"/>
        <v>1801</v>
      </c>
      <c r="B803" s="26" t="s">
        <v>5964</v>
      </c>
      <c r="C803" s="7" t="str">
        <f t="shared" si="1"/>
        <v>🔊</v>
      </c>
      <c r="D803" s="8" t="s">
        <v>5965</v>
      </c>
      <c r="E803" s="6" t="s">
        <v>27</v>
      </c>
      <c r="F803" s="12" t="str">
        <f>IFERROR(__xludf.DUMMYFUNCTION("GOOGLETRANSLATE(B803,""zh_cn"",""vi"")"),"hoa tươi")</f>
        <v>hoa tươi</v>
      </c>
      <c r="G803" s="20" t="s">
        <v>5966</v>
      </c>
      <c r="I803" s="11" t="b">
        <f t="shared" si="5"/>
        <v>0</v>
      </c>
      <c r="J803" s="24"/>
      <c r="K803" s="11" t="b">
        <f t="shared" si="6"/>
        <v>0</v>
      </c>
    </row>
    <row r="804" ht="22.5" customHeight="1">
      <c r="A804" s="12">
        <f t="shared" si="4"/>
        <v>1802</v>
      </c>
      <c r="B804" s="26" t="s">
        <v>5967</v>
      </c>
      <c r="C804" s="7" t="str">
        <f t="shared" si="1"/>
        <v>🔊</v>
      </c>
      <c r="D804" s="8" t="s">
        <v>5968</v>
      </c>
      <c r="E804" s="6" t="s">
        <v>27</v>
      </c>
      <c r="F804" s="12" t="str">
        <f>IFERROR(__xludf.DUMMYFUNCTION("GOOGLETRANSLATE(B804,""zh_cn"",""vi"")"),"tiền mặt")</f>
        <v>tiền mặt</v>
      </c>
      <c r="G804" s="20" t="s">
        <v>5969</v>
      </c>
      <c r="I804" s="11" t="b">
        <f t="shared" si="5"/>
        <v>0</v>
      </c>
      <c r="J804" s="24"/>
      <c r="K804" s="11" t="b">
        <f t="shared" si="6"/>
        <v>0</v>
      </c>
    </row>
    <row r="805" ht="22.5" customHeight="1">
      <c r="A805" s="12">
        <f t="shared" si="4"/>
        <v>1803</v>
      </c>
      <c r="B805" s="26" t="s">
        <v>5970</v>
      </c>
      <c r="C805" s="7" t="str">
        <f t="shared" si="1"/>
        <v>🔊</v>
      </c>
      <c r="D805" s="8" t="s">
        <v>5971</v>
      </c>
      <c r="E805" s="6" t="s">
        <v>13</v>
      </c>
      <c r="F805" s="5" t="s">
        <v>5972</v>
      </c>
      <c r="G805" s="20" t="s">
        <v>5973</v>
      </c>
      <c r="I805" s="11" t="b">
        <f t="shared" si="5"/>
        <v>0</v>
      </c>
      <c r="J805" s="24"/>
      <c r="K805" s="11" t="b">
        <f t="shared" si="6"/>
        <v>0</v>
      </c>
    </row>
    <row r="806" ht="22.5" customHeight="1">
      <c r="A806" s="12">
        <f t="shared" si="4"/>
        <v>1804</v>
      </c>
      <c r="B806" s="26" t="s">
        <v>5974</v>
      </c>
      <c r="C806" s="7" t="str">
        <f t="shared" si="1"/>
        <v>🔊</v>
      </c>
      <c r="D806" s="8" t="s">
        <v>5975</v>
      </c>
      <c r="E806" s="6" t="s">
        <v>27</v>
      </c>
      <c r="F806" s="12" t="str">
        <f>IFERROR(__xludf.DUMMYFUNCTION("GOOGLETRANSLATE(B806,""zh_cn"",""vi"")"),"trực tuyến")</f>
        <v>trực tuyến</v>
      </c>
      <c r="G806" s="20" t="s">
        <v>5976</v>
      </c>
      <c r="I806" s="11" t="b">
        <f t="shared" si="5"/>
        <v>0</v>
      </c>
      <c r="J806" s="24"/>
      <c r="K806" s="11" t="b">
        <f t="shared" si="6"/>
        <v>0</v>
      </c>
    </row>
    <row r="807" ht="22.5" customHeight="1">
      <c r="A807" s="12">
        <f t="shared" si="4"/>
        <v>1805</v>
      </c>
      <c r="B807" s="26" t="s">
        <v>5977</v>
      </c>
      <c r="C807" s="7" t="str">
        <f t="shared" si="1"/>
        <v>🔊</v>
      </c>
      <c r="D807" s="8" t="s">
        <v>5978</v>
      </c>
      <c r="E807" s="6" t="s">
        <v>27</v>
      </c>
      <c r="F807" s="12" t="str">
        <f>IFERROR(__xludf.DUMMYFUNCTION("GOOGLETRANSLATE(B807,""zh_cn"",""vi"")"),"Ngoại tuyến")</f>
        <v>Ngoại tuyến</v>
      </c>
      <c r="G807" s="20" t="s">
        <v>5979</v>
      </c>
      <c r="I807" s="11" t="b">
        <f t="shared" si="5"/>
        <v>0</v>
      </c>
      <c r="J807" s="24"/>
      <c r="K807" s="11" t="b">
        <f t="shared" si="6"/>
        <v>0</v>
      </c>
    </row>
    <row r="808" ht="22.5" customHeight="1">
      <c r="A808" s="12">
        <f t="shared" si="4"/>
        <v>1806</v>
      </c>
      <c r="B808" s="26" t="s">
        <v>5980</v>
      </c>
      <c r="C808" s="7" t="str">
        <f t="shared" si="1"/>
        <v>🔊</v>
      </c>
      <c r="D808" s="8" t="s">
        <v>5981</v>
      </c>
      <c r="E808" s="6" t="s">
        <v>368</v>
      </c>
      <c r="F808" s="12" t="str">
        <f>IFERROR(__xludf.DUMMYFUNCTION("GOOGLETRANSLATE(B808,""zh_cn"",""vi"")"),"hiện có")</f>
        <v>hiện có</v>
      </c>
      <c r="G808" s="20" t="s">
        <v>5982</v>
      </c>
      <c r="I808" s="11" t="b">
        <f t="shared" si="5"/>
        <v>0</v>
      </c>
      <c r="J808" s="24"/>
      <c r="K808" s="11" t="b">
        <f t="shared" si="6"/>
        <v>0</v>
      </c>
    </row>
    <row r="809" ht="22.5" customHeight="1">
      <c r="A809" s="12">
        <f t="shared" si="4"/>
        <v>1807</v>
      </c>
      <c r="B809" s="26" t="s">
        <v>5983</v>
      </c>
      <c r="C809" s="7" t="str">
        <f t="shared" si="1"/>
        <v>🔊</v>
      </c>
      <c r="D809" s="8" t="s">
        <v>5984</v>
      </c>
      <c r="E809" s="6" t="s">
        <v>27</v>
      </c>
      <c r="F809" s="12" t="str">
        <f>IFERROR(__xludf.DUMMYFUNCTION("GOOGLETRANSLATE(B809,""zh_cn"",""vi"")"),"đồ ăn vặt")</f>
        <v>đồ ăn vặt</v>
      </c>
      <c r="G809" s="20" t="s">
        <v>5985</v>
      </c>
      <c r="I809" s="11" t="b">
        <f t="shared" si="5"/>
        <v>0</v>
      </c>
      <c r="J809" s="24"/>
      <c r="K809" s="11" t="b">
        <f t="shared" si="6"/>
        <v>0</v>
      </c>
    </row>
    <row r="810" ht="22.5" customHeight="1">
      <c r="A810" s="12">
        <f t="shared" si="4"/>
        <v>1808</v>
      </c>
      <c r="B810" s="26" t="s">
        <v>5986</v>
      </c>
      <c r="C810" s="7" t="str">
        <f t="shared" si="1"/>
        <v>🔊</v>
      </c>
      <c r="D810" s="8" t="s">
        <v>5987</v>
      </c>
      <c r="E810" s="6" t="s">
        <v>27</v>
      </c>
      <c r="F810" s="5" t="s">
        <v>5988</v>
      </c>
      <c r="G810" s="20" t="s">
        <v>5989</v>
      </c>
      <c r="I810" s="11" t="b">
        <f t="shared" si="5"/>
        <v>0</v>
      </c>
      <c r="J810" s="24"/>
      <c r="K810" s="11" t="b">
        <f t="shared" si="6"/>
        <v>0</v>
      </c>
    </row>
    <row r="811" ht="22.5" customHeight="1">
      <c r="A811" s="12">
        <f t="shared" si="4"/>
        <v>1809</v>
      </c>
      <c r="B811" s="26" t="s">
        <v>5990</v>
      </c>
      <c r="C811" s="7" t="str">
        <f t="shared" si="1"/>
        <v>🔊</v>
      </c>
      <c r="D811" s="8" t="s">
        <v>5991</v>
      </c>
      <c r="E811" s="6" t="s">
        <v>57</v>
      </c>
      <c r="F811" s="12" t="str">
        <f>IFERROR(__xludf.DUMMYFUNCTION("GOOGLETRANSLATE(B811,""zh_cn"",""vi"")"),"câu nói đùa")</f>
        <v>câu nói đùa</v>
      </c>
      <c r="G811" s="20" t="s">
        <v>5992</v>
      </c>
      <c r="I811" s="11" t="b">
        <f t="shared" si="5"/>
        <v>0</v>
      </c>
      <c r="J811" s="24"/>
      <c r="K811" s="11" t="b">
        <f t="shared" si="6"/>
        <v>0</v>
      </c>
    </row>
    <row r="812" ht="22.5" customHeight="1">
      <c r="A812" s="12">
        <f t="shared" si="4"/>
        <v>1810</v>
      </c>
      <c r="B812" s="26" t="s">
        <v>5993</v>
      </c>
      <c r="C812" s="7" t="str">
        <f t="shared" si="1"/>
        <v>🔊</v>
      </c>
      <c r="D812" s="8" t="s">
        <v>5994</v>
      </c>
      <c r="E812" s="6" t="s">
        <v>27</v>
      </c>
      <c r="F812" s="12" t="str">
        <f>IFERROR(__xludf.DUMMYFUNCTION("GOOGLETRANSLATE(B812,""zh_cn"",""vi"")"),"chàng trai trẻ")</f>
        <v>chàng trai trẻ</v>
      </c>
      <c r="G812" s="20" t="s">
        <v>5995</v>
      </c>
      <c r="I812" s="11" t="b">
        <f t="shared" si="5"/>
        <v>0</v>
      </c>
      <c r="J812" s="24"/>
      <c r="K812" s="11" t="b">
        <f t="shared" si="6"/>
        <v>0</v>
      </c>
    </row>
    <row r="813" ht="22.5" customHeight="1">
      <c r="A813" s="12">
        <f t="shared" si="4"/>
        <v>1811</v>
      </c>
      <c r="B813" s="26" t="s">
        <v>5996</v>
      </c>
      <c r="C813" s="7" t="str">
        <f t="shared" si="1"/>
        <v>🔊</v>
      </c>
      <c r="D813" s="8" t="s">
        <v>5997</v>
      </c>
      <c r="E813" s="6" t="s">
        <v>27</v>
      </c>
      <c r="F813" s="12" t="str">
        <f>IFERROR(__xludf.DUMMYFUNCTION("GOOGLETRANSLATE(B813,""zh_cn"",""vi"")"),"cuốn tiểu thuyết")</f>
        <v>cuốn tiểu thuyết</v>
      </c>
      <c r="G813" s="20" t="s">
        <v>5998</v>
      </c>
      <c r="I813" s="11" t="b">
        <f t="shared" si="5"/>
        <v>0</v>
      </c>
      <c r="J813" s="24"/>
      <c r="K813" s="11" t="b">
        <f t="shared" si="6"/>
        <v>0</v>
      </c>
    </row>
    <row r="814" ht="22.5" customHeight="1">
      <c r="A814" s="12">
        <f t="shared" si="4"/>
        <v>1812</v>
      </c>
      <c r="B814" s="26" t="s">
        <v>5999</v>
      </c>
      <c r="C814" s="7" t="str">
        <f t="shared" si="1"/>
        <v>🔊</v>
      </c>
      <c r="D814" s="8" t="s">
        <v>6000</v>
      </c>
      <c r="E814" s="6" t="s">
        <v>27</v>
      </c>
      <c r="F814" s="5" t="s">
        <v>6001</v>
      </c>
      <c r="G814" s="20" t="s">
        <v>6002</v>
      </c>
      <c r="I814" s="11" t="b">
        <f t="shared" si="5"/>
        <v>0</v>
      </c>
      <c r="J814" s="24"/>
      <c r="K814" s="11" t="b">
        <f t="shared" si="6"/>
        <v>0</v>
      </c>
    </row>
    <row r="815" ht="22.5" customHeight="1">
      <c r="A815" s="12">
        <f t="shared" si="4"/>
        <v>1813</v>
      </c>
      <c r="B815" s="26" t="s">
        <v>6003</v>
      </c>
      <c r="C815" s="7" t="str">
        <f t="shared" si="1"/>
        <v>🔊</v>
      </c>
      <c r="D815" s="8" t="s">
        <v>6004</v>
      </c>
      <c r="E815" s="6" t="s">
        <v>27</v>
      </c>
      <c r="F815" s="12" t="str">
        <f>IFERROR(__xludf.DUMMYFUNCTION("GOOGLETRANSLATE(B815,""zh_cn"",""vi"")"),"nhóm")</f>
        <v>nhóm</v>
      </c>
      <c r="G815" s="20" t="s">
        <v>6005</v>
      </c>
      <c r="I815" s="11" t="b">
        <f t="shared" si="5"/>
        <v>0</v>
      </c>
      <c r="J815" s="24"/>
      <c r="K815" s="11" t="b">
        <f t="shared" si="6"/>
        <v>0</v>
      </c>
    </row>
    <row r="816" ht="22.5" customHeight="1">
      <c r="A816" s="12">
        <f t="shared" si="4"/>
        <v>1814</v>
      </c>
      <c r="B816" s="26" t="s">
        <v>6006</v>
      </c>
      <c r="C816" s="7" t="str">
        <f t="shared" si="1"/>
        <v>🔊</v>
      </c>
      <c r="D816" s="8" t="s">
        <v>6007</v>
      </c>
      <c r="E816" s="6" t="s">
        <v>27</v>
      </c>
      <c r="F816" s="12" t="str">
        <f>IFERROR(__xludf.DUMMYFUNCTION("GOOGLETRANSLATE(B816,""zh_cn"",""vi"")"),"phía tây")</f>
        <v>phía tây</v>
      </c>
      <c r="G816" s="20" t="s">
        <v>6008</v>
      </c>
      <c r="I816" s="11" t="b">
        <f t="shared" si="5"/>
        <v>0</v>
      </c>
      <c r="J816" s="24"/>
      <c r="K816" s="11" t="b">
        <f t="shared" si="6"/>
        <v>0</v>
      </c>
    </row>
    <row r="817" ht="22.5" customHeight="1">
      <c r="A817" s="12">
        <f t="shared" si="4"/>
        <v>1815</v>
      </c>
      <c r="B817" s="26" t="s">
        <v>6009</v>
      </c>
      <c r="C817" s="7" t="str">
        <f t="shared" si="1"/>
        <v>🔊</v>
      </c>
      <c r="D817" s="8" t="s">
        <v>816</v>
      </c>
      <c r="E817" s="6" t="s">
        <v>27</v>
      </c>
      <c r="F817" s="12" t="str">
        <f>IFERROR(__xludf.DUMMYFUNCTION("GOOGLETRANSLATE(B817,""zh_cn"",""vi"")"),"Máu")</f>
        <v>Máu</v>
      </c>
      <c r="G817" s="20" t="s">
        <v>6010</v>
      </c>
      <c r="I817" s="11" t="b">
        <f t="shared" si="5"/>
        <v>0</v>
      </c>
      <c r="J817" s="24"/>
      <c r="K817" s="11" t="b">
        <f t="shared" si="6"/>
        <v>0</v>
      </c>
    </row>
    <row r="818" ht="22.5" customHeight="1">
      <c r="A818" s="12">
        <f t="shared" si="4"/>
        <v>1816</v>
      </c>
      <c r="B818" s="26" t="s">
        <v>6011</v>
      </c>
      <c r="C818" s="7" t="str">
        <f t="shared" si="1"/>
        <v>🔊</v>
      </c>
      <c r="D818" s="8" t="s">
        <v>6012</v>
      </c>
      <c r="E818" s="6" t="s">
        <v>27</v>
      </c>
      <c r="F818" s="12" t="str">
        <f>IFERROR(__xludf.DUMMYFUNCTION("GOOGLETRANSLATE(B818,""zh_cn"",""vi"")"),"cà chua")</f>
        <v>cà chua</v>
      </c>
      <c r="G818" s="20" t="s">
        <v>6013</v>
      </c>
      <c r="I818" s="11" t="b">
        <f t="shared" si="5"/>
        <v>0</v>
      </c>
      <c r="J818" s="24"/>
      <c r="K818" s="11" t="b">
        <f t="shared" si="6"/>
        <v>0</v>
      </c>
    </row>
    <row r="819" ht="22.5" customHeight="1">
      <c r="A819" s="12">
        <f t="shared" si="4"/>
        <v>1817</v>
      </c>
      <c r="B819" s="26" t="s">
        <v>6014</v>
      </c>
      <c r="C819" s="7" t="str">
        <f t="shared" si="1"/>
        <v>🔊</v>
      </c>
      <c r="D819" s="8" t="s">
        <v>829</v>
      </c>
      <c r="E819" s="6" t="s">
        <v>27</v>
      </c>
      <c r="F819" s="12" t="str">
        <f>IFERROR(__xludf.DUMMYFUNCTION("GOOGLETRANSLATE(B819,""zh_cn"",""vi"")"),"Trái tim")</f>
        <v>Trái tim</v>
      </c>
      <c r="G819" s="20" t="s">
        <v>6015</v>
      </c>
      <c r="I819" s="11" t="b">
        <f t="shared" si="5"/>
        <v>0</v>
      </c>
      <c r="J819" s="24"/>
      <c r="K819" s="11" t="b">
        <f t="shared" si="6"/>
        <v>0</v>
      </c>
    </row>
    <row r="820" ht="22.5" customHeight="1">
      <c r="A820" s="12">
        <f t="shared" si="4"/>
        <v>1818</v>
      </c>
      <c r="B820" s="26" t="s">
        <v>6016</v>
      </c>
      <c r="C820" s="7" t="str">
        <f t="shared" si="1"/>
        <v>🔊</v>
      </c>
      <c r="D820" s="8" t="s">
        <v>1577</v>
      </c>
      <c r="E820" s="6" t="s">
        <v>437</v>
      </c>
      <c r="F820" s="5" t="s">
        <v>6017</v>
      </c>
      <c r="G820" s="20" t="s">
        <v>6018</v>
      </c>
      <c r="I820" s="11" t="b">
        <f t="shared" si="5"/>
        <v>0</v>
      </c>
      <c r="J820" s="24"/>
      <c r="K820" s="11" t="b">
        <f t="shared" si="6"/>
        <v>0</v>
      </c>
    </row>
    <row r="821" ht="22.5" customHeight="1">
      <c r="A821" s="12">
        <f t="shared" si="4"/>
        <v>1819</v>
      </c>
      <c r="B821" s="26" t="s">
        <v>6019</v>
      </c>
      <c r="C821" s="7" t="str">
        <f t="shared" si="1"/>
        <v>🔊</v>
      </c>
      <c r="D821" s="8" t="s">
        <v>6020</v>
      </c>
      <c r="E821" s="6" t="s">
        <v>13</v>
      </c>
      <c r="F821" s="12" t="str">
        <f>IFERROR(__xludf.DUMMYFUNCTION("GOOGLETRANSLATE(B821,""zh_cn"",""vi"")"),"Thức giấc")</f>
        <v>Thức giấc</v>
      </c>
      <c r="G821" s="20" t="s">
        <v>6021</v>
      </c>
      <c r="I821" s="11" t="b">
        <f t="shared" si="5"/>
        <v>0</v>
      </c>
      <c r="J821" s="24"/>
      <c r="K821" s="11" t="b">
        <f t="shared" si="6"/>
        <v>0</v>
      </c>
    </row>
    <row r="822" ht="22.5" customHeight="1">
      <c r="A822" s="12">
        <f t="shared" si="4"/>
        <v>1820</v>
      </c>
      <c r="B822" s="26" t="s">
        <v>6022</v>
      </c>
      <c r="C822" s="7" t="str">
        <f t="shared" si="1"/>
        <v>🔊</v>
      </c>
      <c r="D822" s="8" t="s">
        <v>6023</v>
      </c>
      <c r="E822" s="6" t="s">
        <v>27</v>
      </c>
      <c r="F822" s="12" t="str">
        <f>IFERROR(__xludf.DUMMYFUNCTION("GOOGLETRANSLATE(B822,""zh_cn"",""vi"")"),"giới tính")</f>
        <v>giới tính</v>
      </c>
      <c r="G822" s="20" t="s">
        <v>6024</v>
      </c>
      <c r="I822" s="11" t="b">
        <f t="shared" si="5"/>
        <v>0</v>
      </c>
      <c r="J822" s="24"/>
      <c r="K822" s="11" t="b">
        <f t="shared" si="6"/>
        <v>0</v>
      </c>
    </row>
    <row r="823" ht="22.5" customHeight="1">
      <c r="A823" s="12">
        <f t="shared" si="4"/>
        <v>1821</v>
      </c>
      <c r="B823" s="26" t="s">
        <v>6025</v>
      </c>
      <c r="C823" s="7" t="str">
        <f t="shared" si="1"/>
        <v>🔊</v>
      </c>
      <c r="D823" s="8" t="s">
        <v>6026</v>
      </c>
      <c r="E823" s="6" t="s">
        <v>416</v>
      </c>
      <c r="F823" s="12" t="str">
        <f>IFERROR(__xludf.DUMMYFUNCTION("GOOGLETRANSLATE(B823,""zh_cn"",""vi"")"),"hào hứng")</f>
        <v>hào hứng</v>
      </c>
      <c r="G823" s="20" t="s">
        <v>6027</v>
      </c>
      <c r="I823" s="11" t="b">
        <f t="shared" si="5"/>
        <v>0</v>
      </c>
      <c r="J823" s="24"/>
      <c r="K823" s="11" t="b">
        <f t="shared" si="6"/>
        <v>0</v>
      </c>
    </row>
    <row r="824" ht="22.5" customHeight="1">
      <c r="A824" s="12">
        <f t="shared" si="4"/>
        <v>1822</v>
      </c>
      <c r="B824" s="26" t="s">
        <v>6028</v>
      </c>
      <c r="C824" s="7" t="str">
        <f t="shared" si="1"/>
        <v>🔊</v>
      </c>
      <c r="D824" s="8" t="s">
        <v>6029</v>
      </c>
      <c r="E824" s="6" t="s">
        <v>3430</v>
      </c>
      <c r="F824" s="12" t="str">
        <f>IFERROR(__xludf.DUMMYFUNCTION("GOOGLETRANSLATE(B824,""zh_cn"",""vi"")"),"niềm hạnh phúc")</f>
        <v>niềm hạnh phúc</v>
      </c>
      <c r="G824" s="20" t="s">
        <v>6030</v>
      </c>
      <c r="I824" s="11" t="b">
        <f t="shared" si="5"/>
        <v>0</v>
      </c>
      <c r="J824" s="24"/>
      <c r="K824" s="11" t="b">
        <f t="shared" si="6"/>
        <v>0</v>
      </c>
    </row>
    <row r="825" ht="22.5" customHeight="1">
      <c r="A825" s="12">
        <f t="shared" si="4"/>
        <v>1823</v>
      </c>
      <c r="B825" s="26" t="s">
        <v>6031</v>
      </c>
      <c r="C825" s="7" t="str">
        <f t="shared" si="1"/>
        <v>🔊</v>
      </c>
      <c r="D825" s="8" t="s">
        <v>6032</v>
      </c>
      <c r="E825" s="6" t="s">
        <v>27</v>
      </c>
      <c r="F825" s="12" t="str">
        <f>IFERROR(__xludf.DUMMYFUNCTION("GOOGLETRANSLATE(B825,""zh_cn"",""vi"")"),"tính cách")</f>
        <v>tính cách</v>
      </c>
      <c r="G825" s="20" t="s">
        <v>6033</v>
      </c>
      <c r="I825" s="11" t="b">
        <f t="shared" si="5"/>
        <v>0</v>
      </c>
      <c r="J825" s="24"/>
      <c r="K825" s="11" t="b">
        <f t="shared" si="6"/>
        <v>0</v>
      </c>
    </row>
    <row r="826" ht="22.5" customHeight="1">
      <c r="A826" s="12">
        <f t="shared" si="4"/>
        <v>1824</v>
      </c>
      <c r="B826" s="26" t="s">
        <v>6034</v>
      </c>
      <c r="C826" s="7" t="str">
        <f t="shared" si="1"/>
        <v>🔊</v>
      </c>
      <c r="D826" s="8" t="s">
        <v>6035</v>
      </c>
      <c r="E826" s="6" t="s">
        <v>27</v>
      </c>
      <c r="F826" s="12" t="str">
        <f>IFERROR(__xludf.DUMMYFUNCTION("GOOGLETRANSLATE(B826,""zh_cn"",""vi"")"),"Ngôi sao")</f>
        <v>Ngôi sao</v>
      </c>
      <c r="G826" s="20" t="s">
        <v>6036</v>
      </c>
      <c r="I826" s="11" t="b">
        <f t="shared" si="5"/>
        <v>0</v>
      </c>
      <c r="J826" s="24"/>
      <c r="K826" s="11" t="b">
        <f t="shared" si="6"/>
        <v>0</v>
      </c>
    </row>
    <row r="827" ht="22.5" customHeight="1">
      <c r="A827" s="12">
        <f t="shared" si="4"/>
        <v>1825</v>
      </c>
      <c r="B827" s="26" t="s">
        <v>6037</v>
      </c>
      <c r="C827" s="7" t="str">
        <f t="shared" si="1"/>
        <v>🔊</v>
      </c>
      <c r="D827" s="8" t="s">
        <v>6038</v>
      </c>
      <c r="E827" s="6" t="s">
        <v>27</v>
      </c>
      <c r="F827" s="12" t="str">
        <f>IFERROR(__xludf.DUMMYFUNCTION("GOOGLETRANSLATE(B827,""zh_cn"",""vi"")"),"Tín hiệu")</f>
        <v>Tín hiệu</v>
      </c>
      <c r="G827" s="20" t="s">
        <v>6039</v>
      </c>
      <c r="I827" s="11" t="b">
        <f t="shared" si="5"/>
        <v>0</v>
      </c>
      <c r="J827" s="24"/>
      <c r="K827" s="11" t="b">
        <f t="shared" si="6"/>
        <v>0</v>
      </c>
    </row>
    <row r="828" ht="22.5" customHeight="1">
      <c r="A828" s="12">
        <f t="shared" si="4"/>
        <v>1826</v>
      </c>
      <c r="B828" s="26" t="s">
        <v>6040</v>
      </c>
      <c r="C828" s="7" t="str">
        <f t="shared" si="1"/>
        <v>🔊</v>
      </c>
      <c r="D828" s="8" t="s">
        <v>6041</v>
      </c>
      <c r="E828" s="6" t="s">
        <v>416</v>
      </c>
      <c r="F828" s="5" t="s">
        <v>6042</v>
      </c>
      <c r="G828" s="20" t="s">
        <v>6043</v>
      </c>
      <c r="I828" s="11" t="b">
        <f t="shared" si="5"/>
        <v>0</v>
      </c>
      <c r="J828" s="24"/>
      <c r="K828" s="11" t="b">
        <f t="shared" si="6"/>
        <v>0</v>
      </c>
    </row>
    <row r="829" ht="22.5" customHeight="1">
      <c r="A829" s="12">
        <f t="shared" si="4"/>
        <v>1827</v>
      </c>
      <c r="B829" s="26" t="s">
        <v>6044</v>
      </c>
      <c r="C829" s="7" t="str">
        <f t="shared" si="1"/>
        <v>🔊</v>
      </c>
      <c r="D829" s="8" t="s">
        <v>6045</v>
      </c>
      <c r="E829" s="6" t="s">
        <v>27</v>
      </c>
      <c r="F829" s="5" t="s">
        <v>6046</v>
      </c>
      <c r="G829" s="20" t="s">
        <v>6047</v>
      </c>
      <c r="I829" s="11" t="b">
        <f t="shared" si="5"/>
        <v>0</v>
      </c>
      <c r="J829" s="24"/>
      <c r="K829" s="11" t="b">
        <f t="shared" si="6"/>
        <v>0</v>
      </c>
    </row>
    <row r="830" ht="22.5" customHeight="1">
      <c r="A830" s="12">
        <f t="shared" si="4"/>
        <v>1828</v>
      </c>
      <c r="B830" s="26" t="s">
        <v>6048</v>
      </c>
      <c r="C830" s="7" t="str">
        <f t="shared" si="1"/>
        <v>🔊</v>
      </c>
      <c r="D830" s="8" t="s">
        <v>6049</v>
      </c>
      <c r="E830" s="6" t="s">
        <v>27</v>
      </c>
      <c r="F830" s="12" t="str">
        <f>IFERROR(__xludf.DUMMYFUNCTION("GOOGLETRANSLATE(B830,""zh_cn"",""vi"")"),"thông tin")</f>
        <v>thông tin</v>
      </c>
      <c r="G830" s="20" t="s">
        <v>6050</v>
      </c>
      <c r="I830" s="11" t="b">
        <f t="shared" si="5"/>
        <v>0</v>
      </c>
      <c r="J830" s="24"/>
      <c r="K830" s="11" t="b">
        <f t="shared" si="6"/>
        <v>0</v>
      </c>
    </row>
    <row r="831" ht="22.5" customHeight="1">
      <c r="A831" s="12">
        <f t="shared" si="4"/>
        <v>1829</v>
      </c>
      <c r="B831" s="26" t="s">
        <v>6051</v>
      </c>
      <c r="C831" s="7" t="str">
        <f t="shared" si="1"/>
        <v>🔊</v>
      </c>
      <c r="D831" s="8" t="s">
        <v>6052</v>
      </c>
      <c r="E831" s="6" t="s">
        <v>27</v>
      </c>
      <c r="F831" s="5" t="s">
        <v>6053</v>
      </c>
      <c r="G831" s="20" t="s">
        <v>6054</v>
      </c>
      <c r="I831" s="11" t="b">
        <f t="shared" si="5"/>
        <v>0</v>
      </c>
      <c r="J831" s="24"/>
      <c r="K831" s="11" t="b">
        <f t="shared" si="6"/>
        <v>0</v>
      </c>
    </row>
    <row r="832" ht="22.5" customHeight="1">
      <c r="A832" s="12">
        <f t="shared" si="4"/>
        <v>1830</v>
      </c>
      <c r="B832" s="26" t="s">
        <v>6055</v>
      </c>
      <c r="C832" s="7" t="str">
        <f t="shared" si="1"/>
        <v>🔊</v>
      </c>
      <c r="D832" s="8" t="s">
        <v>6056</v>
      </c>
      <c r="E832" s="6" t="s">
        <v>27</v>
      </c>
      <c r="F832" s="12" t="str">
        <f>IFERROR(__xludf.DUMMYFUNCTION("GOOGLETRANSLATE(B832,""zh_cn"",""vi"")"),"Con gấu")</f>
        <v>Con gấu</v>
      </c>
      <c r="G832" s="20" t="s">
        <v>6057</v>
      </c>
      <c r="I832" s="11" t="b">
        <f t="shared" si="5"/>
        <v>0</v>
      </c>
      <c r="J832" s="24"/>
      <c r="K832" s="11" t="b">
        <f t="shared" si="6"/>
        <v>0</v>
      </c>
    </row>
    <row r="833" ht="22.5" customHeight="1">
      <c r="A833" s="12">
        <f t="shared" si="4"/>
        <v>1831</v>
      </c>
      <c r="B833" s="26" t="s">
        <v>6058</v>
      </c>
      <c r="C833" s="7" t="str">
        <f t="shared" si="1"/>
        <v>🔊</v>
      </c>
      <c r="D833" s="8" t="s">
        <v>6059</v>
      </c>
      <c r="E833" s="6" t="s">
        <v>27</v>
      </c>
      <c r="F833" s="5" t="s">
        <v>6060</v>
      </c>
      <c r="G833" s="20" t="s">
        <v>6061</v>
      </c>
      <c r="I833" s="11" t="b">
        <f t="shared" si="5"/>
        <v>0</v>
      </c>
      <c r="J833" s="24"/>
      <c r="K833" s="11" t="b">
        <f t="shared" si="6"/>
        <v>0</v>
      </c>
    </row>
    <row r="834" ht="22.5" customHeight="1">
      <c r="A834" s="12">
        <f t="shared" si="4"/>
        <v>1832</v>
      </c>
      <c r="B834" s="26" t="s">
        <v>6062</v>
      </c>
      <c r="C834" s="7" t="str">
        <f t="shared" si="1"/>
        <v>🔊</v>
      </c>
      <c r="D834" s="8" t="s">
        <v>6063</v>
      </c>
      <c r="E834" s="6" t="s">
        <v>13</v>
      </c>
      <c r="F834" s="5" t="s">
        <v>6064</v>
      </c>
      <c r="G834" s="20" t="s">
        <v>6065</v>
      </c>
      <c r="I834" s="11" t="b">
        <f t="shared" si="5"/>
        <v>0</v>
      </c>
      <c r="J834" s="24"/>
      <c r="K834" s="11" t="b">
        <f t="shared" si="6"/>
        <v>0</v>
      </c>
    </row>
    <row r="835" ht="22.5" customHeight="1">
      <c r="A835" s="12">
        <f t="shared" si="4"/>
        <v>1833</v>
      </c>
      <c r="B835" s="26" t="s">
        <v>6066</v>
      </c>
      <c r="C835" s="7" t="str">
        <f t="shared" si="1"/>
        <v>🔊</v>
      </c>
      <c r="D835" s="8" t="s">
        <v>6067</v>
      </c>
      <c r="E835" s="6" t="s">
        <v>13</v>
      </c>
      <c r="F835" s="12" t="str">
        <f>IFERROR(__xludf.DUMMYFUNCTION("GOOGLETRANSLATE(B835,""zh_cn"",""vi"")"),"Sửa chữa")</f>
        <v>Sửa chữa</v>
      </c>
      <c r="G835" s="20" t="s">
        <v>6068</v>
      </c>
      <c r="I835" s="11" t="b">
        <f t="shared" si="5"/>
        <v>0</v>
      </c>
      <c r="J835" s="24"/>
      <c r="K835" s="11" t="b">
        <f t="shared" si="6"/>
        <v>0</v>
      </c>
    </row>
    <row r="836" ht="22.5" customHeight="1">
      <c r="A836" s="12">
        <f t="shared" si="4"/>
        <v>1834</v>
      </c>
      <c r="B836" s="26" t="s">
        <v>6069</v>
      </c>
      <c r="C836" s="7" t="str">
        <f t="shared" si="1"/>
        <v>🔊</v>
      </c>
      <c r="D836" s="8" t="s">
        <v>6070</v>
      </c>
      <c r="E836" s="6" t="s">
        <v>99</v>
      </c>
      <c r="F836" s="12" t="str">
        <f>IFERROR(__xludf.DUMMYFUNCTION("GOOGLETRANSLATE(B836,""zh_cn"",""vi"")"),"cẩn thận")</f>
        <v>cẩn thận</v>
      </c>
      <c r="G836" s="20" t="s">
        <v>6071</v>
      </c>
      <c r="I836" s="11" t="b">
        <f t="shared" si="5"/>
        <v>0</v>
      </c>
      <c r="J836" s="24"/>
      <c r="K836" s="11" t="b">
        <f t="shared" si="6"/>
        <v>0</v>
      </c>
    </row>
    <row r="837" ht="22.5" customHeight="1">
      <c r="A837" s="12">
        <f t="shared" si="4"/>
        <v>1835</v>
      </c>
      <c r="B837" s="26" t="s">
        <v>6072</v>
      </c>
      <c r="C837" s="7" t="str">
        <f t="shared" si="1"/>
        <v>🔊</v>
      </c>
      <c r="D837" s="8" t="s">
        <v>6073</v>
      </c>
      <c r="E837" s="6" t="s">
        <v>13</v>
      </c>
      <c r="F837" s="12" t="str">
        <f>IFERROR(__xludf.DUMMYFUNCTION("GOOGLETRANSLATE(B837,""zh_cn"",""vi"")"),"thu hút")</f>
        <v>thu hút</v>
      </c>
      <c r="G837" s="20" t="s">
        <v>6074</v>
      </c>
      <c r="I837" s="11" t="b">
        <f t="shared" si="5"/>
        <v>0</v>
      </c>
      <c r="J837" s="24"/>
      <c r="K837" s="11" t="b">
        <f t="shared" si="6"/>
        <v>0</v>
      </c>
    </row>
    <row r="838" ht="22.5" customHeight="1">
      <c r="A838" s="12">
        <f t="shared" si="4"/>
        <v>1836</v>
      </c>
      <c r="B838" s="26" t="s">
        <v>6075</v>
      </c>
      <c r="C838" s="7" t="str">
        <f t="shared" si="1"/>
        <v>🔊</v>
      </c>
      <c r="D838" s="8" t="s">
        <v>6076</v>
      </c>
      <c r="E838" s="6" t="s">
        <v>23</v>
      </c>
      <c r="F838" s="12" t="str">
        <f>IFERROR(__xludf.DUMMYFUNCTION("GOOGLETRANSLATE(B838,""zh_cn"",""vi"")"),"nhiều")</f>
        <v>nhiều</v>
      </c>
      <c r="G838" s="20" t="s">
        <v>6077</v>
      </c>
      <c r="I838" s="11" t="b">
        <f t="shared" si="5"/>
        <v>0</v>
      </c>
      <c r="J838" s="24"/>
      <c r="K838" s="11" t="b">
        <f t="shared" si="6"/>
        <v>0</v>
      </c>
    </row>
    <row r="839" ht="22.5" customHeight="1">
      <c r="A839" s="12">
        <f t="shared" si="4"/>
        <v>1837</v>
      </c>
      <c r="B839" s="26" t="s">
        <v>6078</v>
      </c>
      <c r="C839" s="7" t="str">
        <f t="shared" si="1"/>
        <v>🔊</v>
      </c>
      <c r="D839" s="8" t="s">
        <v>6079</v>
      </c>
      <c r="E839" s="6" t="s">
        <v>27</v>
      </c>
      <c r="F839" s="12" t="str">
        <f>IFERROR(__xludf.DUMMYFUNCTION("GOOGLETRANSLATE(B839,""zh_cn"",""vi"")"),"học phí")</f>
        <v>học phí</v>
      </c>
      <c r="G839" s="20" t="s">
        <v>6080</v>
      </c>
      <c r="I839" s="11" t="b">
        <f t="shared" si="5"/>
        <v>0</v>
      </c>
      <c r="J839" s="24"/>
      <c r="K839" s="11" t="b">
        <f t="shared" si="6"/>
        <v>0</v>
      </c>
    </row>
    <row r="840" ht="22.5" customHeight="1">
      <c r="A840" s="12">
        <f t="shared" si="4"/>
        <v>1838</v>
      </c>
      <c r="B840" s="26" t="s">
        <v>6081</v>
      </c>
      <c r="C840" s="7" t="str">
        <f t="shared" si="1"/>
        <v>🔊</v>
      </c>
      <c r="D840" s="8" t="s">
        <v>6082</v>
      </c>
      <c r="E840" s="6" t="s">
        <v>27</v>
      </c>
      <c r="F840" s="5" t="s">
        <v>6083</v>
      </c>
      <c r="G840" s="20" t="s">
        <v>6084</v>
      </c>
      <c r="I840" s="11" t="b">
        <f t="shared" si="5"/>
        <v>0</v>
      </c>
      <c r="J840" s="24"/>
      <c r="K840" s="11" t="b">
        <f t="shared" si="6"/>
        <v>0</v>
      </c>
    </row>
    <row r="841" ht="22.5" customHeight="1">
      <c r="A841" s="12">
        <f t="shared" si="4"/>
        <v>1839</v>
      </c>
      <c r="B841" s="26" t="s">
        <v>6085</v>
      </c>
      <c r="C841" s="7" t="str">
        <f t="shared" si="1"/>
        <v>🔊</v>
      </c>
      <c r="D841" s="8" t="s">
        <v>6086</v>
      </c>
      <c r="E841" s="6" t="s">
        <v>13</v>
      </c>
      <c r="F841" s="12" t="str">
        <f>IFERROR(__xludf.DUMMYFUNCTION("GOOGLETRANSLATE(B841,""zh_cn"",""vi"")"),"Áp lực")</f>
        <v>Áp lực</v>
      </c>
      <c r="G841" s="20" t="s">
        <v>6087</v>
      </c>
      <c r="I841" s="11" t="b">
        <f t="shared" si="5"/>
        <v>0</v>
      </c>
      <c r="J841" s="24"/>
      <c r="K841" s="11" t="b">
        <f t="shared" si="6"/>
        <v>0</v>
      </c>
    </row>
    <row r="842" ht="22.5" customHeight="1">
      <c r="A842" s="12">
        <f t="shared" si="4"/>
        <v>1840</v>
      </c>
      <c r="B842" s="26" t="s">
        <v>6088</v>
      </c>
      <c r="C842" s="7" t="str">
        <f t="shared" si="1"/>
        <v>🔊</v>
      </c>
      <c r="D842" s="8" t="s">
        <v>6089</v>
      </c>
      <c r="E842" s="6" t="s">
        <v>27</v>
      </c>
      <c r="F842" s="12" t="str">
        <f>IFERROR(__xludf.DUMMYFUNCTION("GOOGLETRANSLATE(B842,""zh_cn"",""vi"")"),"kem đánh răng")</f>
        <v>kem đánh răng</v>
      </c>
      <c r="G842" s="20" t="s">
        <v>6090</v>
      </c>
      <c r="I842" s="11" t="b">
        <f t="shared" si="5"/>
        <v>0</v>
      </c>
      <c r="J842" s="24"/>
      <c r="K842" s="11" t="b">
        <f t="shared" si="6"/>
        <v>0</v>
      </c>
    </row>
    <row r="843" ht="22.5" customHeight="1">
      <c r="A843" s="12">
        <f t="shared" si="4"/>
        <v>1841</v>
      </c>
      <c r="B843" s="26" t="s">
        <v>6091</v>
      </c>
      <c r="C843" s="7" t="str">
        <f t="shared" si="1"/>
        <v>🔊</v>
      </c>
      <c r="D843" s="8" t="s">
        <v>6092</v>
      </c>
      <c r="E843" s="6" t="s">
        <v>27</v>
      </c>
      <c r="F843" s="12" t="str">
        <f>IFERROR(__xludf.DUMMYFUNCTION("GOOGLETRANSLATE(B843,""zh_cn"",""vi"")"),"áp lực ")</f>
        <v>áp lực </v>
      </c>
      <c r="G843" s="20" t="s">
        <v>6093</v>
      </c>
      <c r="I843" s="11" t="b">
        <f t="shared" si="5"/>
        <v>0</v>
      </c>
      <c r="J843" s="24"/>
      <c r="K843" s="11" t="b">
        <f t="shared" si="6"/>
        <v>0</v>
      </c>
    </row>
    <row r="844" ht="22.5" customHeight="1">
      <c r="A844" s="12">
        <f t="shared" si="4"/>
        <v>1842</v>
      </c>
      <c r="B844" s="26" t="s">
        <v>6094</v>
      </c>
      <c r="C844" s="7" t="str">
        <f t="shared" si="1"/>
        <v>🔊</v>
      </c>
      <c r="D844" s="8" t="s">
        <v>6095</v>
      </c>
      <c r="E844" s="6" t="s">
        <v>27</v>
      </c>
      <c r="F844" s="12" t="str">
        <f>IFERROR(__xludf.DUMMYFUNCTION("GOOGLETRANSLATE(B844,""zh_cn"",""vi"")"),"Muối")</f>
        <v>Muối</v>
      </c>
      <c r="G844" s="20" t="s">
        <v>6096</v>
      </c>
      <c r="I844" s="11" t="b">
        <f t="shared" si="5"/>
        <v>0</v>
      </c>
      <c r="J844" s="24"/>
      <c r="K844" s="11" t="b">
        <f t="shared" si="6"/>
        <v>0</v>
      </c>
    </row>
    <row r="845" ht="22.5" customHeight="1">
      <c r="A845" s="12">
        <f t="shared" si="4"/>
        <v>1843</v>
      </c>
      <c r="B845" s="26" t="s">
        <v>6097</v>
      </c>
      <c r="C845" s="7" t="str">
        <f t="shared" si="1"/>
        <v>🔊</v>
      </c>
      <c r="D845" s="8" t="s">
        <v>6098</v>
      </c>
      <c r="E845" s="6" t="s">
        <v>13</v>
      </c>
      <c r="F845" s="5" t="s">
        <v>6099</v>
      </c>
      <c r="G845" s="20" t="s">
        <v>6100</v>
      </c>
      <c r="I845" s="11" t="b">
        <f t="shared" si="5"/>
        <v>0</v>
      </c>
      <c r="J845" s="24"/>
      <c r="K845" s="11" t="b">
        <f t="shared" si="6"/>
        <v>0</v>
      </c>
    </row>
    <row r="846" ht="22.5" customHeight="1">
      <c r="A846" s="12">
        <f t="shared" si="4"/>
        <v>1844</v>
      </c>
      <c r="B846" s="26" t="s">
        <v>6101</v>
      </c>
      <c r="C846" s="7" t="str">
        <f t="shared" si="1"/>
        <v>🔊</v>
      </c>
      <c r="D846" s="8" t="s">
        <v>6102</v>
      </c>
      <c r="E846" s="6" t="s">
        <v>27</v>
      </c>
      <c r="F846" s="12" t="str">
        <f>IFERROR(__xludf.DUMMYFUNCTION("GOOGLETRANSLATE(B846,""zh_cn"",""vi"")"),"thuốc lá")</f>
        <v>thuốc lá</v>
      </c>
      <c r="G846" s="20" t="s">
        <v>6103</v>
      </c>
      <c r="I846" s="11" t="b">
        <f t="shared" si="5"/>
        <v>0</v>
      </c>
      <c r="J846" s="24"/>
      <c r="K846" s="11" t="b">
        <f t="shared" si="6"/>
        <v>0</v>
      </c>
    </row>
    <row r="847" ht="22.5" customHeight="1">
      <c r="A847" s="12">
        <f t="shared" si="4"/>
        <v>1845</v>
      </c>
      <c r="B847" s="26" t="s">
        <v>6104</v>
      </c>
      <c r="C847" s="7" t="str">
        <f t="shared" si="1"/>
        <v>🔊</v>
      </c>
      <c r="D847" s="8" t="s">
        <v>6105</v>
      </c>
      <c r="E847" s="6" t="s">
        <v>13</v>
      </c>
      <c r="F847" s="12" t="str">
        <f>IFERROR(__xludf.DUMMYFUNCTION("GOOGLETRANSLATE(B847,""zh_cn"",""vi"")"),"Hát")</f>
        <v>Hát</v>
      </c>
      <c r="G847" s="20" t="s">
        <v>6106</v>
      </c>
      <c r="I847" s="11" t="b">
        <f t="shared" si="5"/>
        <v>0</v>
      </c>
      <c r="J847" s="24"/>
      <c r="K847" s="11" t="b">
        <f t="shared" si="6"/>
        <v>0</v>
      </c>
    </row>
    <row r="848" ht="22.5" customHeight="1">
      <c r="A848" s="12">
        <f t="shared" si="4"/>
        <v>1846</v>
      </c>
      <c r="B848" s="26" t="s">
        <v>6107</v>
      </c>
      <c r="C848" s="7" t="str">
        <f t="shared" si="1"/>
        <v>🔊</v>
      </c>
      <c r="D848" s="8" t="s">
        <v>6108</v>
      </c>
      <c r="E848" s="6" t="s">
        <v>13</v>
      </c>
      <c r="F848" s="12" t="str">
        <f>IFERROR(__xludf.DUMMYFUNCTION("GOOGLETRANSLATE(B848,""zh_cn"",""vi"")"),"trình diễn")</f>
        <v>trình diễn</v>
      </c>
      <c r="G848" s="20" t="s">
        <v>6109</v>
      </c>
      <c r="I848" s="11" t="b">
        <f t="shared" si="5"/>
        <v>0</v>
      </c>
      <c r="J848" s="24"/>
      <c r="K848" s="11" t="b">
        <f t="shared" si="6"/>
        <v>0</v>
      </c>
    </row>
    <row r="849" ht="22.5" customHeight="1">
      <c r="A849" s="12">
        <f t="shared" si="4"/>
        <v>1847</v>
      </c>
      <c r="B849" s="26" t="s">
        <v>6110</v>
      </c>
      <c r="C849" s="7" t="str">
        <f t="shared" si="1"/>
        <v>🔊</v>
      </c>
      <c r="D849" s="8" t="s">
        <v>6111</v>
      </c>
      <c r="E849" s="6" t="s">
        <v>13</v>
      </c>
      <c r="F849" s="5" t="s">
        <v>3058</v>
      </c>
      <c r="G849" s="20" t="s">
        <v>6112</v>
      </c>
      <c r="I849" s="11" t="b">
        <f t="shared" si="5"/>
        <v>0</v>
      </c>
      <c r="J849" s="24"/>
      <c r="K849" s="11" t="b">
        <f t="shared" si="6"/>
        <v>0</v>
      </c>
    </row>
    <row r="850" ht="22.5" customHeight="1">
      <c r="A850" s="12">
        <f t="shared" si="4"/>
        <v>1848</v>
      </c>
      <c r="B850" s="26" t="s">
        <v>6113</v>
      </c>
      <c r="C850" s="7" t="str">
        <f t="shared" si="1"/>
        <v>🔊</v>
      </c>
      <c r="D850" s="8" t="s">
        <v>6114</v>
      </c>
      <c r="E850" s="6" t="s">
        <v>416</v>
      </c>
      <c r="F850" s="12" t="str">
        <f>IFERROR(__xludf.DUMMYFUNCTION("GOOGLETRANSLATE(B850,""zh_cn"",""vi"")"),"nghiêm ngặt")</f>
        <v>nghiêm ngặt</v>
      </c>
      <c r="G850" s="20" t="s">
        <v>6115</v>
      </c>
      <c r="I850" s="11" t="b">
        <f t="shared" si="5"/>
        <v>0</v>
      </c>
      <c r="J850" s="24"/>
      <c r="K850" s="11" t="b">
        <f t="shared" si="6"/>
        <v>0</v>
      </c>
    </row>
    <row r="851" ht="22.5" customHeight="1">
      <c r="A851" s="12">
        <f t="shared" si="4"/>
        <v>1849</v>
      </c>
      <c r="B851" s="26" t="s">
        <v>6116</v>
      </c>
      <c r="C851" s="7" t="str">
        <f t="shared" si="1"/>
        <v>🔊</v>
      </c>
      <c r="D851" s="8" t="s">
        <v>6117</v>
      </c>
      <c r="E851" s="6" t="s">
        <v>27</v>
      </c>
      <c r="F851" s="12" t="str">
        <f>IFERROR(__xludf.DUMMYFUNCTION("GOOGLETRANSLATE(B851,""zh_cn"",""vi"")"),"Ánh sáng mặt trời")</f>
        <v>Ánh sáng mặt trời</v>
      </c>
      <c r="G851" s="20" t="s">
        <v>6118</v>
      </c>
      <c r="I851" s="11" t="b">
        <f t="shared" si="5"/>
        <v>0</v>
      </c>
      <c r="J851" s="24"/>
      <c r="K851" s="11" t="b">
        <f t="shared" si="6"/>
        <v>0</v>
      </c>
    </row>
    <row r="852" ht="22.5" customHeight="1">
      <c r="A852" s="12">
        <f t="shared" si="4"/>
        <v>1850</v>
      </c>
      <c r="B852" s="26" t="s">
        <v>6119</v>
      </c>
      <c r="C852" s="7" t="str">
        <f t="shared" si="1"/>
        <v>🔊</v>
      </c>
      <c r="D852" s="8" t="s">
        <v>6120</v>
      </c>
      <c r="E852" s="6" t="s">
        <v>27</v>
      </c>
      <c r="F852" s="12" t="str">
        <f>IFERROR(__xludf.DUMMYFUNCTION("GOOGLETRANSLATE(B852,""zh_cn"",""vi"")"),"vẻ bề ngoài")</f>
        <v>vẻ bề ngoài</v>
      </c>
      <c r="G852" s="20" t="s">
        <v>6121</v>
      </c>
      <c r="I852" s="11" t="b">
        <f t="shared" si="5"/>
        <v>0</v>
      </c>
      <c r="J852" s="24"/>
      <c r="K852" s="11" t="b">
        <f t="shared" si="6"/>
        <v>0</v>
      </c>
    </row>
    <row r="853" ht="22.5" customHeight="1">
      <c r="A853" s="12">
        <f t="shared" si="4"/>
        <v>1851</v>
      </c>
      <c r="B853" s="26" t="s">
        <v>6122</v>
      </c>
      <c r="C853" s="7" t="str">
        <f t="shared" si="1"/>
        <v>🔊</v>
      </c>
      <c r="D853" s="8" t="s">
        <v>6123</v>
      </c>
      <c r="E853" s="6" t="s">
        <v>27</v>
      </c>
      <c r="F853" s="12" t="str">
        <f>IFERROR(__xludf.DUMMYFUNCTION("GOOGLETRANSLATE(B853,""zh_cn"",""vi"")"),"Kính")</f>
        <v>Kính</v>
      </c>
      <c r="G853" s="20" t="s">
        <v>6124</v>
      </c>
      <c r="I853" s="11" t="b">
        <f t="shared" si="5"/>
        <v>0</v>
      </c>
      <c r="J853" s="24"/>
      <c r="K853" s="11" t="b">
        <f t="shared" si="6"/>
        <v>0</v>
      </c>
    </row>
    <row r="854" ht="22.5" customHeight="1">
      <c r="A854" s="12">
        <f t="shared" si="4"/>
        <v>1852</v>
      </c>
      <c r="B854" s="26" t="s">
        <v>6125</v>
      </c>
      <c r="C854" s="7" t="str">
        <f t="shared" si="1"/>
        <v>🔊</v>
      </c>
      <c r="D854" s="8" t="s">
        <v>6126</v>
      </c>
      <c r="E854" s="6" t="s">
        <v>13</v>
      </c>
      <c r="F854" s="12" t="str">
        <f>IFERROR(__xludf.DUMMYFUNCTION("GOOGLETRANSLATE(B854,""zh_cn"",""vi"")"),"Nghiên cứu")</f>
        <v>Nghiên cứu</v>
      </c>
      <c r="G854" s="20" t="s">
        <v>6127</v>
      </c>
      <c r="I854" s="11" t="b">
        <f t="shared" si="5"/>
        <v>0</v>
      </c>
      <c r="J854" s="24"/>
      <c r="K854" s="11" t="b">
        <f t="shared" si="6"/>
        <v>0</v>
      </c>
    </row>
    <row r="855" ht="22.5" customHeight="1">
      <c r="A855" s="12">
        <f t="shared" si="4"/>
        <v>1853</v>
      </c>
      <c r="B855" s="26" t="s">
        <v>6128</v>
      </c>
      <c r="C855" s="7" t="str">
        <f t="shared" si="1"/>
        <v>🔊</v>
      </c>
      <c r="D855" s="8" t="s">
        <v>6129</v>
      </c>
      <c r="E855" s="6" t="s">
        <v>27</v>
      </c>
      <c r="F855" s="5" t="s">
        <v>6130</v>
      </c>
      <c r="G855" s="20" t="s">
        <v>6131</v>
      </c>
      <c r="I855" s="11" t="b">
        <f t="shared" si="5"/>
        <v>0</v>
      </c>
      <c r="J855" s="24"/>
      <c r="K855" s="11" t="b">
        <f t="shared" si="6"/>
        <v>0</v>
      </c>
    </row>
    <row r="856" ht="22.5" customHeight="1">
      <c r="A856" s="12">
        <f t="shared" si="4"/>
        <v>1854</v>
      </c>
      <c r="B856" s="26" t="s">
        <v>6132</v>
      </c>
      <c r="C856" s="7" t="str">
        <f t="shared" si="1"/>
        <v>🔊</v>
      </c>
      <c r="D856" s="8" t="s">
        <v>6133</v>
      </c>
      <c r="E856" s="6" t="s">
        <v>27</v>
      </c>
      <c r="F856" s="12" t="str">
        <f>IFERROR(__xludf.DUMMYFUNCTION("GOOGLETRANSLATE(B856,""zh_cn"",""vi"")"),"Trước mắt tôi")</f>
        <v>Trước mắt tôi</v>
      </c>
      <c r="G856" s="20" t="s">
        <v>6134</v>
      </c>
      <c r="I856" s="11" t="b">
        <f t="shared" si="5"/>
        <v>0</v>
      </c>
      <c r="J856" s="24"/>
      <c r="K856" s="11" t="b">
        <f t="shared" si="6"/>
        <v>0</v>
      </c>
    </row>
    <row r="857" ht="22.5" customHeight="1">
      <c r="A857" s="12">
        <f t="shared" si="4"/>
        <v>1855</v>
      </c>
      <c r="B857" s="26" t="s">
        <v>6135</v>
      </c>
      <c r="C857" s="7" t="str">
        <f t="shared" si="1"/>
        <v>🔊</v>
      </c>
      <c r="D857" s="8" t="s">
        <v>6136</v>
      </c>
      <c r="E857" s="6" t="s">
        <v>27</v>
      </c>
      <c r="F857" s="12" t="str">
        <f>IFERROR(__xludf.DUMMYFUNCTION("GOOGLETRANSLATE(B857,""zh_cn"",""vi"")"),"diễn viên")</f>
        <v>diễn viên</v>
      </c>
      <c r="G857" s="20" t="s">
        <v>6137</v>
      </c>
      <c r="I857" s="11" t="b">
        <f t="shared" si="5"/>
        <v>0</v>
      </c>
      <c r="J857" s="24"/>
      <c r="K857" s="11" t="b">
        <f t="shared" si="6"/>
        <v>0</v>
      </c>
    </row>
    <row r="858" ht="22.5" customHeight="1">
      <c r="A858" s="12">
        <f t="shared" si="4"/>
        <v>1856</v>
      </c>
      <c r="B858" s="26" t="s">
        <v>6138</v>
      </c>
      <c r="C858" s="7" t="str">
        <f t="shared" si="1"/>
        <v>🔊</v>
      </c>
      <c r="D858" s="8" t="s">
        <v>6139</v>
      </c>
      <c r="E858" s="6" t="s">
        <v>99</v>
      </c>
      <c r="F858" s="12" t="str">
        <f>IFERROR(__xludf.DUMMYFUNCTION("GOOGLETRANSLATE(B858,""zh_cn"",""vi"")"),"nghiêm trọng")</f>
        <v>nghiêm trọng</v>
      </c>
      <c r="G858" s="20" t="s">
        <v>6140</v>
      </c>
      <c r="I858" s="11" t="b">
        <f t="shared" si="5"/>
        <v>0</v>
      </c>
      <c r="J858" s="24"/>
      <c r="K858" s="11" t="b">
        <f t="shared" si="6"/>
        <v>0</v>
      </c>
    </row>
    <row r="859" ht="22.5" customHeight="1">
      <c r="A859" s="12">
        <f t="shared" si="4"/>
        <v>1857</v>
      </c>
      <c r="B859" s="26" t="s">
        <v>6141</v>
      </c>
      <c r="C859" s="7" t="str">
        <f t="shared" si="1"/>
        <v>🔊</v>
      </c>
      <c r="D859" s="8" t="s">
        <v>6142</v>
      </c>
      <c r="E859" s="6" t="s">
        <v>13</v>
      </c>
      <c r="F859" s="12" t="str">
        <f>IFERROR(__xludf.DUMMYFUNCTION("GOOGLETRANSLATE(B859,""zh_cn"",""vi"")"),"mời")</f>
        <v>mời</v>
      </c>
      <c r="G859" s="20" t="s">
        <v>6143</v>
      </c>
      <c r="I859" s="11" t="b">
        <f t="shared" si="5"/>
        <v>0</v>
      </c>
      <c r="J859" s="24"/>
      <c r="K859" s="11" t="b">
        <f t="shared" si="6"/>
        <v>0</v>
      </c>
    </row>
    <row r="860" ht="22.5" customHeight="1">
      <c r="A860" s="12">
        <f t="shared" si="4"/>
        <v>1858</v>
      </c>
      <c r="B860" s="26" t="s">
        <v>6144</v>
      </c>
      <c r="C860" s="7" t="str">
        <f t="shared" si="1"/>
        <v>🔊</v>
      </c>
      <c r="D860" s="8" t="s">
        <v>6145</v>
      </c>
      <c r="E860" s="6" t="s">
        <v>1132</v>
      </c>
      <c r="F860" s="12" t="str">
        <f>IFERROR(__xludf.DUMMYFUNCTION("GOOGLETRANSLATE(B860,""zh_cn"",""vi"")"),"nếu như")</f>
        <v>nếu như</v>
      </c>
      <c r="G860" s="20" t="s">
        <v>6146</v>
      </c>
      <c r="I860" s="11" t="b">
        <f t="shared" si="5"/>
        <v>0</v>
      </c>
      <c r="J860" s="24"/>
      <c r="K860" s="11" t="b">
        <f t="shared" si="6"/>
        <v>0</v>
      </c>
    </row>
    <row r="861" ht="22.5" customHeight="1">
      <c r="A861" s="12">
        <f t="shared" si="4"/>
        <v>1859</v>
      </c>
      <c r="B861" s="26" t="s">
        <v>6147</v>
      </c>
      <c r="C861" s="7" t="str">
        <f t="shared" si="1"/>
        <v>🔊</v>
      </c>
      <c r="D861" s="8" t="s">
        <v>6145</v>
      </c>
      <c r="E861" s="6" t="s">
        <v>27</v>
      </c>
      <c r="F861" s="12" t="str">
        <f>IFERROR(__xludf.DUMMYFUNCTION("GOOGLETRANSLATE(B861,""zh_cn"",""vi"")"),"chìa khóa")</f>
        <v>chìa khóa</v>
      </c>
      <c r="G861" s="20" t="s">
        <v>6148</v>
      </c>
      <c r="I861" s="11" t="b">
        <f t="shared" si="5"/>
        <v>0</v>
      </c>
      <c r="J861" s="24"/>
      <c r="K861" s="11" t="b">
        <f t="shared" si="6"/>
        <v>0</v>
      </c>
    </row>
    <row r="862" ht="22.5" customHeight="1">
      <c r="A862" s="12">
        <f t="shared" si="4"/>
        <v>1860</v>
      </c>
      <c r="B862" s="26" t="s">
        <v>6149</v>
      </c>
      <c r="C862" s="7" t="str">
        <f t="shared" si="1"/>
        <v>🔊</v>
      </c>
      <c r="D862" s="8" t="s">
        <v>6150</v>
      </c>
      <c r="E862" s="6" t="s">
        <v>27</v>
      </c>
      <c r="F862" s="12" t="str">
        <f>IFERROR(__xludf.DUMMYFUNCTION("GOOGLETRANSLATE(B862,""zh_cn"",""vi"")"),"Châu Á")</f>
        <v>Châu Á</v>
      </c>
      <c r="G862" s="20" t="s">
        <v>6151</v>
      </c>
      <c r="I862" s="11" t="b">
        <f t="shared" si="5"/>
        <v>0</v>
      </c>
      <c r="J862" s="24"/>
      <c r="K862" s="11" t="b">
        <f t="shared" si="6"/>
        <v>0</v>
      </c>
    </row>
    <row r="863" ht="22.5" customHeight="1">
      <c r="A863" s="12">
        <f t="shared" si="4"/>
        <v>1861</v>
      </c>
      <c r="B863" s="26" t="s">
        <v>6152</v>
      </c>
      <c r="C863" s="7" t="str">
        <f t="shared" si="1"/>
        <v>🔊</v>
      </c>
      <c r="D863" s="8" t="s">
        <v>3067</v>
      </c>
      <c r="E863" s="6" t="s">
        <v>259</v>
      </c>
      <c r="F863" s="12" t="str">
        <f>IFERROR(__xludf.DUMMYFUNCTION("GOOGLETRANSLATE(B863,""zh_cn"",""vi"")"),"đêm")</f>
        <v>đêm</v>
      </c>
      <c r="G863" s="20" t="s">
        <v>6153</v>
      </c>
      <c r="I863" s="11" t="b">
        <f t="shared" si="5"/>
        <v>0</v>
      </c>
      <c r="J863" s="24"/>
      <c r="K863" s="11" t="b">
        <f t="shared" si="6"/>
        <v>0</v>
      </c>
    </row>
    <row r="864" ht="22.5" customHeight="1">
      <c r="A864" s="12">
        <f t="shared" si="4"/>
        <v>1862</v>
      </c>
      <c r="B864" s="26" t="s">
        <v>6154</v>
      </c>
      <c r="C864" s="7" t="str">
        <f t="shared" si="1"/>
        <v>🔊</v>
      </c>
      <c r="D864" s="8" t="s">
        <v>6155</v>
      </c>
      <c r="E864" s="6" t="s">
        <v>27</v>
      </c>
      <c r="F864" s="5" t="s">
        <v>6156</v>
      </c>
      <c r="G864" s="20" t="s">
        <v>6157</v>
      </c>
      <c r="I864" s="11" t="b">
        <f t="shared" si="5"/>
        <v>0</v>
      </c>
      <c r="J864" s="24"/>
      <c r="K864" s="11" t="b">
        <f t="shared" si="6"/>
        <v>0</v>
      </c>
    </row>
    <row r="865" ht="22.5" customHeight="1">
      <c r="A865" s="12">
        <f t="shared" si="4"/>
        <v>1863</v>
      </c>
      <c r="B865" s="26" t="s">
        <v>6158</v>
      </c>
      <c r="C865" s="7" t="str">
        <f t="shared" si="1"/>
        <v>🔊</v>
      </c>
      <c r="D865" s="8" t="s">
        <v>6159</v>
      </c>
      <c r="E865" s="6" t="s">
        <v>61</v>
      </c>
      <c r="F865" s="12" t="str">
        <f>IFERROR(__xludf.DUMMYFUNCTION("GOOGLETRANSLATE(B865,""zh_cn"",""vi"")"),"Có lẽ")</f>
        <v>Có lẽ</v>
      </c>
      <c r="G865" s="20" t="s">
        <v>6160</v>
      </c>
      <c r="I865" s="11" t="b">
        <f t="shared" si="5"/>
        <v>0</v>
      </c>
      <c r="J865" s="24"/>
      <c r="K865" s="11" t="b">
        <f t="shared" si="6"/>
        <v>0</v>
      </c>
    </row>
    <row r="866" ht="22.5" customHeight="1">
      <c r="A866" s="12">
        <f t="shared" si="4"/>
        <v>1864</v>
      </c>
      <c r="B866" s="26" t="s">
        <v>6161</v>
      </c>
      <c r="C866" s="7" t="str">
        <f t="shared" si="1"/>
        <v>🔊</v>
      </c>
      <c r="D866" s="8" t="s">
        <v>6162</v>
      </c>
      <c r="E866" s="6" t="s">
        <v>27</v>
      </c>
      <c r="F866" s="12" t="str">
        <f>IFERROR(__xludf.DUMMYFUNCTION("GOOGLETRANSLATE(B866,""zh_cn"",""vi"")"),"lá cây")</f>
        <v>lá cây</v>
      </c>
      <c r="G866" s="20" t="s">
        <v>6163</v>
      </c>
      <c r="I866" s="11" t="b">
        <f t="shared" si="5"/>
        <v>0</v>
      </c>
      <c r="J866" s="24"/>
      <c r="K866" s="11" t="b">
        <f t="shared" si="6"/>
        <v>0</v>
      </c>
    </row>
    <row r="867" ht="22.5" customHeight="1">
      <c r="A867" s="12">
        <f t="shared" si="4"/>
        <v>1865</v>
      </c>
      <c r="B867" s="26" t="s">
        <v>6164</v>
      </c>
      <c r="C867" s="7" t="str">
        <f t="shared" si="1"/>
        <v>🔊</v>
      </c>
      <c r="D867" s="8" t="s">
        <v>6165</v>
      </c>
      <c r="E867" s="6" t="s">
        <v>61</v>
      </c>
      <c r="F867" s="12" t="str">
        <f>IFERROR(__xludf.DUMMYFUNCTION("GOOGLETRANSLATE(B867,""zh_cn"",""vi"")"),"đã")</f>
        <v>đã</v>
      </c>
      <c r="G867" s="20" t="s">
        <v>6166</v>
      </c>
      <c r="I867" s="11" t="b">
        <f t="shared" si="5"/>
        <v>0</v>
      </c>
      <c r="J867" s="24"/>
      <c r="K867" s="11" t="b">
        <f t="shared" si="6"/>
        <v>0</v>
      </c>
    </row>
    <row r="868" ht="22.5" customHeight="1">
      <c r="A868" s="12">
        <f t="shared" si="4"/>
        <v>1866</v>
      </c>
      <c r="B868" s="26" t="s">
        <v>6167</v>
      </c>
      <c r="C868" s="7" t="str">
        <f t="shared" si="1"/>
        <v>🔊</v>
      </c>
      <c r="D868" s="8" t="s">
        <v>6168</v>
      </c>
      <c r="E868" s="6" t="s">
        <v>27</v>
      </c>
      <c r="F868" s="12" t="str">
        <f>IFERROR(__xludf.DUMMYFUNCTION("GOOGLETRANSLATE(B868,""zh_cn"",""vi"")"),"Ý kiến")</f>
        <v>Ý kiến</v>
      </c>
      <c r="G868" s="20" t="s">
        <v>6169</v>
      </c>
      <c r="I868" s="11" t="b">
        <f t="shared" si="5"/>
        <v>0</v>
      </c>
      <c r="J868" s="24"/>
      <c r="K868" s="11" t="b">
        <f t="shared" si="6"/>
        <v>0</v>
      </c>
    </row>
    <row r="869" ht="22.5" customHeight="1">
      <c r="A869" s="12">
        <f t="shared" si="4"/>
        <v>1867</v>
      </c>
      <c r="B869" s="26" t="s">
        <v>6170</v>
      </c>
      <c r="C869" s="7" t="str">
        <f t="shared" si="1"/>
        <v>🔊</v>
      </c>
      <c r="D869" s="8" t="s">
        <v>6171</v>
      </c>
      <c r="E869" s="6" t="s">
        <v>1132</v>
      </c>
      <c r="F869" s="12" t="str">
        <f>IFERROR(__xludf.DUMMYFUNCTION("GOOGLETRANSLATE(B869,""zh_cn"",""vi"")"),"Vì vậy")</f>
        <v>Vì vậy</v>
      </c>
      <c r="G869" s="20" t="s">
        <v>6172</v>
      </c>
      <c r="I869" s="11" t="b">
        <f t="shared" si="5"/>
        <v>0</v>
      </c>
      <c r="J869" s="24"/>
      <c r="K869" s="11" t="b">
        <f t="shared" si="6"/>
        <v>0</v>
      </c>
    </row>
    <row r="870" ht="22.5" customHeight="1">
      <c r="A870" s="12">
        <f t="shared" si="4"/>
        <v>1868</v>
      </c>
      <c r="B870" s="26" t="s">
        <v>6173</v>
      </c>
      <c r="C870" s="7" t="str">
        <f t="shared" si="1"/>
        <v>🔊</v>
      </c>
      <c r="D870" s="8" t="s">
        <v>6174</v>
      </c>
      <c r="E870" s="6" t="s">
        <v>27</v>
      </c>
      <c r="F870" s="5" t="s">
        <v>6175</v>
      </c>
      <c r="G870" s="20" t="s">
        <v>6176</v>
      </c>
      <c r="I870" s="11" t="b">
        <f t="shared" si="5"/>
        <v>0</v>
      </c>
      <c r="J870" s="24"/>
      <c r="K870" s="11" t="b">
        <f t="shared" si="6"/>
        <v>0</v>
      </c>
    </row>
    <row r="871" ht="22.5" customHeight="1">
      <c r="A871" s="12">
        <f t="shared" si="4"/>
        <v>1869</v>
      </c>
      <c r="B871" s="26" t="s">
        <v>6177</v>
      </c>
      <c r="C871" s="7" t="str">
        <f t="shared" si="1"/>
        <v>🔊</v>
      </c>
      <c r="D871" s="8" t="s">
        <v>6178</v>
      </c>
      <c r="E871" s="6" t="s">
        <v>13</v>
      </c>
      <c r="F871" s="12" t="str">
        <f>IFERROR(__xludf.DUMMYFUNCTION("GOOGLETRANSLATE(B871,""zh_cn"",""vi"")"),"thắng")</f>
        <v>thắng</v>
      </c>
      <c r="G871" s="20" t="s">
        <v>6179</v>
      </c>
      <c r="I871" s="11" t="b">
        <f t="shared" si="5"/>
        <v>0</v>
      </c>
      <c r="J871" s="24"/>
      <c r="K871" s="11" t="b">
        <f t="shared" si="6"/>
        <v>0</v>
      </c>
    </row>
    <row r="872" ht="22.5" customHeight="1">
      <c r="A872" s="12">
        <f t="shared" si="4"/>
        <v>1870</v>
      </c>
      <c r="B872" s="26" t="s">
        <v>6180</v>
      </c>
      <c r="C872" s="7" t="str">
        <f t="shared" si="1"/>
        <v>🔊</v>
      </c>
      <c r="D872" s="8" t="s">
        <v>6181</v>
      </c>
      <c r="E872" s="6" t="s">
        <v>13</v>
      </c>
      <c r="F872" s="5" t="s">
        <v>4345</v>
      </c>
      <c r="G872" s="20" t="s">
        <v>6182</v>
      </c>
      <c r="I872" s="11" t="b">
        <f t="shared" si="5"/>
        <v>0</v>
      </c>
      <c r="J872" s="24"/>
      <c r="K872" s="11" t="b">
        <f t="shared" si="6"/>
        <v>0</v>
      </c>
    </row>
    <row r="873" ht="22.5" customHeight="1">
      <c r="A873" s="12">
        <f t="shared" si="4"/>
        <v>1871</v>
      </c>
      <c r="B873" s="26" t="s">
        <v>6183</v>
      </c>
      <c r="C873" s="7" t="str">
        <f t="shared" si="1"/>
        <v>🔊</v>
      </c>
      <c r="D873" s="8" t="s">
        <v>6184</v>
      </c>
      <c r="E873" s="6" t="s">
        <v>13</v>
      </c>
      <c r="F873" s="5" t="s">
        <v>6185</v>
      </c>
      <c r="G873" s="20" t="s">
        <v>6186</v>
      </c>
      <c r="I873" s="11" t="b">
        <f t="shared" si="5"/>
        <v>0</v>
      </c>
      <c r="J873" s="24"/>
      <c r="K873" s="11" t="b">
        <f t="shared" si="6"/>
        <v>0</v>
      </c>
    </row>
    <row r="874" ht="22.5" customHeight="1">
      <c r="A874" s="12">
        <f t="shared" si="4"/>
        <v>1872</v>
      </c>
      <c r="B874" s="26" t="s">
        <v>6187</v>
      </c>
      <c r="C874" s="7" t="str">
        <f t="shared" si="1"/>
        <v>🔊</v>
      </c>
      <c r="D874" s="8" t="s">
        <v>6188</v>
      </c>
      <c r="E874" s="6" t="s">
        <v>13</v>
      </c>
      <c r="F874" s="12" t="str">
        <f>IFERROR(__xludf.DUMMYFUNCTION("GOOGLETRANSLATE(B874,""zh_cn"",""vi"")"),"gây ra")</f>
        <v>gây ra</v>
      </c>
      <c r="G874" s="20" t="s">
        <v>6189</v>
      </c>
      <c r="I874" s="11" t="b">
        <f t="shared" si="5"/>
        <v>0</v>
      </c>
      <c r="J874" s="24"/>
      <c r="K874" s="11" t="b">
        <f t="shared" si="6"/>
        <v>0</v>
      </c>
    </row>
    <row r="875" ht="22.5" customHeight="1">
      <c r="A875" s="12">
        <f t="shared" si="4"/>
        <v>1873</v>
      </c>
      <c r="B875" s="26" t="s">
        <v>6190</v>
      </c>
      <c r="C875" s="7" t="str">
        <f t="shared" si="1"/>
        <v>🔊</v>
      </c>
      <c r="D875" s="8" t="s">
        <v>6191</v>
      </c>
      <c r="E875" s="6" t="s">
        <v>27</v>
      </c>
      <c r="F875" s="12" t="str">
        <f>IFERROR(__xludf.DUMMYFUNCTION("GOOGLETRANSLATE(B875,""zh_cn"",""vi"")"),"ấn tượng")</f>
        <v>ấn tượng</v>
      </c>
      <c r="G875" s="20" t="s">
        <v>6192</v>
      </c>
      <c r="I875" s="11" t="b">
        <f t="shared" si="5"/>
        <v>0</v>
      </c>
      <c r="J875" s="24"/>
      <c r="K875" s="11" t="b">
        <f t="shared" si="6"/>
        <v>0</v>
      </c>
    </row>
    <row r="876" ht="22.5" customHeight="1">
      <c r="A876" s="12">
        <f t="shared" si="4"/>
        <v>1874</v>
      </c>
      <c r="B876" s="26" t="s">
        <v>6193</v>
      </c>
      <c r="C876" s="7" t="str">
        <f t="shared" si="1"/>
        <v>🔊</v>
      </c>
      <c r="D876" s="8" t="s">
        <v>6194</v>
      </c>
      <c r="E876" s="6" t="s">
        <v>106</v>
      </c>
      <c r="F876" s="12" t="str">
        <f>IFERROR(__xludf.DUMMYFUNCTION("GOOGLETRANSLATE(B876,""zh_cn"",""vi"")"),"mọi thứ")</f>
        <v>mọi thứ</v>
      </c>
      <c r="G876" s="20" t="s">
        <v>6195</v>
      </c>
      <c r="I876" s="11" t="b">
        <f t="shared" si="5"/>
        <v>0</v>
      </c>
      <c r="J876" s="24"/>
      <c r="K876" s="11" t="b">
        <f t="shared" si="6"/>
        <v>0</v>
      </c>
    </row>
    <row r="877" ht="22.5" customHeight="1">
      <c r="A877" s="12">
        <f t="shared" si="4"/>
        <v>1875</v>
      </c>
      <c r="B877" s="26" t="s">
        <v>6196</v>
      </c>
      <c r="C877" s="7" t="str">
        <f t="shared" si="1"/>
        <v>🔊</v>
      </c>
      <c r="D877" s="8" t="s">
        <v>6197</v>
      </c>
      <c r="E877" s="6" t="s">
        <v>27</v>
      </c>
      <c r="F877" s="12" t="str">
        <f>IFERROR(__xludf.DUMMYFUNCTION("GOOGLETRANSLATE(B877,""zh_cn"",""vi"")"),"suốt đời")</f>
        <v>suốt đời</v>
      </c>
      <c r="G877" s="20" t="s">
        <v>6198</v>
      </c>
      <c r="I877" s="11" t="b">
        <f t="shared" si="5"/>
        <v>0</v>
      </c>
      <c r="J877" s="24"/>
      <c r="K877" s="11" t="b">
        <f t="shared" si="6"/>
        <v>0</v>
      </c>
    </row>
    <row r="878" ht="22.5" customHeight="1">
      <c r="A878" s="12">
        <f t="shared" si="4"/>
        <v>1876</v>
      </c>
      <c r="B878" s="26" t="s">
        <v>6199</v>
      </c>
      <c r="C878" s="7" t="str">
        <f t="shared" si="1"/>
        <v>🔊</v>
      </c>
      <c r="D878" s="8" t="s">
        <v>6200</v>
      </c>
      <c r="E878" s="6" t="s">
        <v>27</v>
      </c>
      <c r="F878" s="12" t="str">
        <f>IFERROR(__xludf.DUMMYFUNCTION("GOOGLETRANSLATE(B878,""zh_cn"",""vi"")"),"Nghệ thuật")</f>
        <v>Nghệ thuật</v>
      </c>
      <c r="G878" s="20" t="s">
        <v>6201</v>
      </c>
      <c r="I878" s="11" t="b">
        <f t="shared" si="5"/>
        <v>0</v>
      </c>
      <c r="J878" s="24"/>
      <c r="K878" s="11" t="b">
        <f t="shared" si="6"/>
        <v>0</v>
      </c>
    </row>
    <row r="879" ht="22.5" customHeight="1">
      <c r="A879" s="12">
        <f t="shared" si="4"/>
        <v>1877</v>
      </c>
      <c r="B879" s="26" t="s">
        <v>6202</v>
      </c>
      <c r="C879" s="7" t="str">
        <f t="shared" si="1"/>
        <v>🔊</v>
      </c>
      <c r="D879" s="8" t="s">
        <v>6203</v>
      </c>
      <c r="E879" s="6" t="s">
        <v>99</v>
      </c>
      <c r="F879" s="12" t="str">
        <f>IFERROR(__xludf.DUMMYFUNCTION("GOOGLETRANSLATE(B879,""zh_cn"",""vi"")"),"can đảm")</f>
        <v>can đảm</v>
      </c>
      <c r="G879" s="20" t="s">
        <v>6204</v>
      </c>
      <c r="I879" s="11" t="b">
        <f t="shared" si="5"/>
        <v>0</v>
      </c>
      <c r="J879" s="24"/>
      <c r="K879" s="11" t="b">
        <f t="shared" si="6"/>
        <v>0</v>
      </c>
    </row>
    <row r="880" ht="22.5" customHeight="1">
      <c r="A880" s="12">
        <f t="shared" si="4"/>
        <v>1878</v>
      </c>
      <c r="B880" s="26" t="s">
        <v>6205</v>
      </c>
      <c r="C880" s="7" t="str">
        <f t="shared" si="1"/>
        <v>🔊</v>
      </c>
      <c r="D880" s="8" t="s">
        <v>6206</v>
      </c>
      <c r="E880" s="6" t="s">
        <v>13</v>
      </c>
      <c r="F880" s="12" t="str">
        <f>IFERROR(__xludf.DUMMYFUNCTION("GOOGLETRANSLATE(B880,""zh_cn"",""vi"")"),"Được sử dụng cho")</f>
        <v>Được sử dụng cho</v>
      </c>
      <c r="G880" s="20" t="s">
        <v>6207</v>
      </c>
      <c r="I880" s="11" t="b">
        <f t="shared" si="5"/>
        <v>0</v>
      </c>
      <c r="J880" s="24"/>
      <c r="K880" s="11" t="b">
        <f t="shared" si="6"/>
        <v>0</v>
      </c>
    </row>
    <row r="881" ht="22.5" customHeight="1">
      <c r="A881" s="12">
        <f t="shared" si="4"/>
        <v>1879</v>
      </c>
      <c r="B881" s="26" t="s">
        <v>6208</v>
      </c>
      <c r="C881" s="7" t="str">
        <f t="shared" si="1"/>
        <v>🔊</v>
      </c>
      <c r="D881" s="8" t="s">
        <v>6209</v>
      </c>
      <c r="E881" s="6" t="s">
        <v>13</v>
      </c>
      <c r="F881" s="5" t="s">
        <v>6210</v>
      </c>
      <c r="G881" s="20" t="s">
        <v>6211</v>
      </c>
      <c r="I881" s="11" t="b">
        <f t="shared" si="5"/>
        <v>0</v>
      </c>
      <c r="J881" s="24"/>
      <c r="K881" s="11" t="b">
        <f t="shared" si="6"/>
        <v>0</v>
      </c>
    </row>
    <row r="882" ht="22.5" customHeight="1">
      <c r="A882" s="12">
        <f t="shared" si="4"/>
        <v>1880</v>
      </c>
      <c r="B882" s="26" t="s">
        <v>6212</v>
      </c>
      <c r="C882" s="7" t="str">
        <f t="shared" si="1"/>
        <v>🔊</v>
      </c>
      <c r="D882" s="8" t="s">
        <v>6213</v>
      </c>
      <c r="E882" s="6" t="s">
        <v>6214</v>
      </c>
      <c r="F882" s="12" t="str">
        <f>IFERROR(__xludf.DUMMYFUNCTION("GOOGLETRANSLATE(B882,""zh_cn"",""vi"")"),"mãi mãi")</f>
        <v>mãi mãi</v>
      </c>
      <c r="G882" s="20" t="s">
        <v>6215</v>
      </c>
      <c r="I882" s="11" t="b">
        <f t="shared" si="5"/>
        <v>0</v>
      </c>
      <c r="J882" s="24"/>
      <c r="K882" s="11" t="b">
        <f t="shared" si="6"/>
        <v>0</v>
      </c>
    </row>
    <row r="883" ht="22.5" customHeight="1">
      <c r="A883" s="12">
        <f t="shared" si="4"/>
        <v>1881</v>
      </c>
      <c r="B883" s="26" t="s">
        <v>6216</v>
      </c>
      <c r="C883" s="7" t="str">
        <f t="shared" si="1"/>
        <v>🔊</v>
      </c>
      <c r="D883" s="8" t="s">
        <v>1624</v>
      </c>
      <c r="E883" s="6" t="s">
        <v>1766</v>
      </c>
      <c r="F883" s="5" t="s">
        <v>6217</v>
      </c>
      <c r="G883" s="20" t="s">
        <v>6218</v>
      </c>
      <c r="I883" s="11" t="b">
        <f t="shared" si="5"/>
        <v>0</v>
      </c>
      <c r="J883" s="24"/>
      <c r="K883" s="11" t="b">
        <f t="shared" si="6"/>
        <v>0</v>
      </c>
    </row>
    <row r="884" ht="22.5" customHeight="1">
      <c r="A884" s="12">
        <f t="shared" si="4"/>
        <v>1882</v>
      </c>
      <c r="B884" s="26" t="s">
        <v>6219</v>
      </c>
      <c r="C884" s="7" t="str">
        <f t="shared" si="1"/>
        <v>🔊</v>
      </c>
      <c r="D884" s="8" t="s">
        <v>1624</v>
      </c>
      <c r="E884" s="6" t="s">
        <v>27</v>
      </c>
      <c r="F884" s="12" t="str">
        <f>IFERROR(__xludf.DUMMYFUNCTION("GOOGLETRANSLATE(B884,""zh_cn"",""vi"")"),"Dầu")</f>
        <v>Dầu</v>
      </c>
      <c r="G884" s="20" t="s">
        <v>6220</v>
      </c>
      <c r="I884" s="11" t="b">
        <f t="shared" si="5"/>
        <v>0</v>
      </c>
      <c r="J884" s="24"/>
      <c r="K884" s="11" t="b">
        <f t="shared" si="6"/>
        <v>0</v>
      </c>
    </row>
    <row r="885" ht="22.5" customHeight="1">
      <c r="A885" s="12">
        <f t="shared" si="4"/>
        <v>1883</v>
      </c>
      <c r="B885" s="26" t="s">
        <v>6221</v>
      </c>
      <c r="C885" s="7" t="str">
        <f t="shared" si="1"/>
        <v>🔊</v>
      </c>
      <c r="D885" s="8" t="s">
        <v>6222</v>
      </c>
      <c r="E885" s="6" t="s">
        <v>27</v>
      </c>
      <c r="F885" s="5" t="s">
        <v>6223</v>
      </c>
      <c r="G885" s="20" t="s">
        <v>6224</v>
      </c>
      <c r="I885" s="11" t="b">
        <f t="shared" si="5"/>
        <v>0</v>
      </c>
      <c r="J885" s="24"/>
      <c r="K885" s="11" t="b">
        <f t="shared" si="6"/>
        <v>0</v>
      </c>
    </row>
    <row r="886" ht="22.5" customHeight="1">
      <c r="A886" s="12">
        <f t="shared" si="4"/>
        <v>1884</v>
      </c>
      <c r="B886" s="26" t="s">
        <v>6225</v>
      </c>
      <c r="C886" s="7" t="str">
        <f t="shared" si="1"/>
        <v>🔊</v>
      </c>
      <c r="D886" s="8" t="s">
        <v>6226</v>
      </c>
      <c r="E886" s="6" t="s">
        <v>99</v>
      </c>
      <c r="F886" s="12" t="str">
        <f>IFERROR(__xludf.DUMMYFUNCTION("GOOGLETRANSLATE(B886,""zh_cn"",""vi"")"),"thân thiện")</f>
        <v>thân thiện</v>
      </c>
      <c r="G886" s="20" t="s">
        <v>6227</v>
      </c>
      <c r="I886" s="11" t="b">
        <f t="shared" si="5"/>
        <v>0</v>
      </c>
      <c r="J886" s="24"/>
      <c r="K886" s="11" t="b">
        <f t="shared" si="6"/>
        <v>0</v>
      </c>
    </row>
    <row r="887" ht="22.5" customHeight="1">
      <c r="A887" s="12">
        <f t="shared" si="4"/>
        <v>1885</v>
      </c>
      <c r="B887" s="26" t="s">
        <v>6228</v>
      </c>
      <c r="C887" s="7" t="str">
        <f t="shared" si="1"/>
        <v>🔊</v>
      </c>
      <c r="D887" s="8" t="s">
        <v>6229</v>
      </c>
      <c r="E887" s="6" t="s">
        <v>99</v>
      </c>
      <c r="F887" s="12" t="str">
        <f>IFERROR(__xludf.DUMMYFUNCTION("GOOGLETRANSLATE(B887,""zh_cn"",""vi"")"),"hài hước")</f>
        <v>hài hước</v>
      </c>
      <c r="G887" s="20" t="s">
        <v>6230</v>
      </c>
      <c r="I887" s="11" t="b">
        <f t="shared" si="5"/>
        <v>0</v>
      </c>
      <c r="J887" s="24"/>
      <c r="K887" s="11" t="b">
        <f t="shared" si="6"/>
        <v>0</v>
      </c>
    </row>
    <row r="888" ht="22.5" customHeight="1">
      <c r="A888" s="12">
        <f t="shared" si="4"/>
        <v>1886</v>
      </c>
      <c r="B888" s="26" t="s">
        <v>6231</v>
      </c>
      <c r="C888" s="7" t="str">
        <f t="shared" si="1"/>
        <v>🔊</v>
      </c>
      <c r="D888" s="8" t="s">
        <v>6232</v>
      </c>
      <c r="E888" s="6" t="s">
        <v>61</v>
      </c>
      <c r="F888" s="12" t="str">
        <f>IFERROR(__xludf.DUMMYFUNCTION("GOOGLETRANSLATE(B888,""zh_cn"",""vi"")"),"đặc biệt")</f>
        <v>đặc biệt</v>
      </c>
      <c r="G888" s="20" t="s">
        <v>6233</v>
      </c>
      <c r="I888" s="11" t="b">
        <f t="shared" si="5"/>
        <v>0</v>
      </c>
      <c r="J888" s="24"/>
      <c r="K888" s="11" t="b">
        <f t="shared" si="6"/>
        <v>0</v>
      </c>
    </row>
    <row r="889" ht="22.5" customHeight="1">
      <c r="A889" s="12">
        <f t="shared" si="4"/>
        <v>1887</v>
      </c>
      <c r="B889" s="26" t="s">
        <v>6234</v>
      </c>
      <c r="C889" s="7" t="str">
        <f t="shared" si="1"/>
        <v>🔊</v>
      </c>
      <c r="D889" s="8" t="s">
        <v>6235</v>
      </c>
      <c r="E889" s="6" t="s">
        <v>27</v>
      </c>
      <c r="F889" s="12" t="str">
        <f>IFERROR(__xludf.DUMMYFUNCTION("GOOGLETRANSLATE(B889,""zh_cn"",""vi"")"),"Tình bạn")</f>
        <v>Tình bạn</v>
      </c>
      <c r="G889" s="20" t="s">
        <v>6236</v>
      </c>
      <c r="I889" s="11" t="b">
        <f t="shared" si="5"/>
        <v>0</v>
      </c>
      <c r="J889" s="24"/>
      <c r="K889" s="11" t="b">
        <f t="shared" si="6"/>
        <v>0</v>
      </c>
    </row>
    <row r="890" ht="22.5" customHeight="1">
      <c r="A890" s="12">
        <f t="shared" si="4"/>
        <v>1888</v>
      </c>
      <c r="B890" s="26" t="s">
        <v>6237</v>
      </c>
      <c r="C890" s="7" t="str">
        <f t="shared" si="1"/>
        <v>🔊</v>
      </c>
      <c r="D890" s="8" t="s">
        <v>6238</v>
      </c>
      <c r="E890" s="6" t="s">
        <v>99</v>
      </c>
      <c r="F890" s="12" t="str">
        <f>IFERROR(__xludf.DUMMYFUNCTION("GOOGLETRANSLATE(B890,""zh_cn"",""vi"")"),"hấp dẫn")</f>
        <v>hấp dẫn</v>
      </c>
      <c r="G890" s="20" t="s">
        <v>6239</v>
      </c>
      <c r="I890" s="11" t="b">
        <f t="shared" si="5"/>
        <v>0</v>
      </c>
      <c r="J890" s="24"/>
      <c r="K890" s="11" t="b">
        <f t="shared" si="6"/>
        <v>0</v>
      </c>
    </row>
    <row r="891" ht="22.5" customHeight="1">
      <c r="A891" s="12">
        <f t="shared" si="4"/>
        <v>1889</v>
      </c>
      <c r="B891" s="26" t="s">
        <v>6240</v>
      </c>
      <c r="C891" s="7" t="str">
        <f t="shared" si="1"/>
        <v>🔊</v>
      </c>
      <c r="D891" s="8" t="s">
        <v>6241</v>
      </c>
      <c r="E891" s="6" t="s">
        <v>13</v>
      </c>
      <c r="F891" s="12" t="str">
        <f>IFERROR(__xludf.DUMMYFUNCTION("GOOGLETRANSLATE(B891,""zh_cn"",""vi"")"),"chơi")</f>
        <v>chơi</v>
      </c>
      <c r="G891" s="20" t="s">
        <v>6242</v>
      </c>
      <c r="I891" s="11" t="b">
        <f t="shared" si="5"/>
        <v>0</v>
      </c>
      <c r="J891" s="24"/>
      <c r="K891" s="11" t="b">
        <f t="shared" si="6"/>
        <v>0</v>
      </c>
    </row>
    <row r="892" ht="22.5" customHeight="1">
      <c r="A892" s="12">
        <f t="shared" si="4"/>
        <v>1890</v>
      </c>
      <c r="B892" s="26" t="s">
        <v>6243</v>
      </c>
      <c r="C892" s="7" t="str">
        <f t="shared" si="1"/>
        <v>🔊</v>
      </c>
      <c r="D892" s="8" t="s">
        <v>6244</v>
      </c>
      <c r="E892" s="6" t="s">
        <v>13</v>
      </c>
      <c r="F892" s="12" t="str">
        <f>IFERROR(__xludf.DUMMYFUNCTION("GOOGLETRANSLATE(B892,""zh_cn"",""vi"")"),"có hiệu quả")</f>
        <v>có hiệu quả</v>
      </c>
      <c r="G892" s="20" t="s">
        <v>6245</v>
      </c>
      <c r="I892" s="11" t="b">
        <f t="shared" si="5"/>
        <v>0</v>
      </c>
      <c r="J892" s="24"/>
      <c r="K892" s="11" t="b">
        <f t="shared" si="6"/>
        <v>0</v>
      </c>
    </row>
    <row r="893" ht="22.5" customHeight="1">
      <c r="A893" s="12">
        <f t="shared" si="4"/>
        <v>1891</v>
      </c>
      <c r="B893" s="26" t="s">
        <v>6246</v>
      </c>
      <c r="C893" s="7" t="str">
        <f t="shared" si="1"/>
        <v>🔊</v>
      </c>
      <c r="D893" s="8" t="s">
        <v>6247</v>
      </c>
      <c r="E893" s="6" t="s">
        <v>99</v>
      </c>
      <c r="F893" s="5" t="s">
        <v>6248</v>
      </c>
      <c r="G893" s="20" t="s">
        <v>6249</v>
      </c>
      <c r="I893" s="11" t="b">
        <f t="shared" si="5"/>
        <v>0</v>
      </c>
      <c r="J893" s="24"/>
      <c r="K893" s="11" t="b">
        <f t="shared" si="6"/>
        <v>0</v>
      </c>
    </row>
    <row r="894" ht="22.5" customHeight="1">
      <c r="A894" s="12">
        <f t="shared" si="4"/>
        <v>1892</v>
      </c>
      <c r="B894" s="26" t="s">
        <v>6250</v>
      </c>
      <c r="C894" s="7" t="str">
        <f t="shared" si="1"/>
        <v>🔊</v>
      </c>
      <c r="D894" s="8" t="s">
        <v>6251</v>
      </c>
      <c r="E894" s="6" t="s">
        <v>27</v>
      </c>
      <c r="F894" s="5" t="s">
        <v>6252</v>
      </c>
      <c r="G894" s="20" t="s">
        <v>6253</v>
      </c>
      <c r="I894" s="11" t="b">
        <f t="shared" si="5"/>
        <v>0</v>
      </c>
      <c r="J894" s="24"/>
      <c r="K894" s="11" t="b">
        <f t="shared" si="6"/>
        <v>0</v>
      </c>
    </row>
    <row r="895" ht="22.5" customHeight="1">
      <c r="A895" s="12">
        <f t="shared" si="4"/>
        <v>1893</v>
      </c>
      <c r="B895" s="26" t="s">
        <v>6254</v>
      </c>
      <c r="C895" s="7" t="str">
        <f t="shared" si="1"/>
        <v>🔊</v>
      </c>
      <c r="D895" s="8" t="s">
        <v>6255</v>
      </c>
      <c r="E895" s="6" t="s">
        <v>281</v>
      </c>
      <c r="F895" s="12" t="str">
        <f>IFERROR(__xludf.DUMMYFUNCTION("GOOGLETRANSLATE(B895,""zh_cn"",""vi"")"),"bởi vì")</f>
        <v>bởi vì</v>
      </c>
      <c r="G895" s="20" t="s">
        <v>6256</v>
      </c>
      <c r="I895" s="11" t="b">
        <f t="shared" si="5"/>
        <v>0</v>
      </c>
      <c r="J895" s="24"/>
      <c r="K895" s="11" t="b">
        <f t="shared" si="6"/>
        <v>0</v>
      </c>
    </row>
    <row r="896" ht="22.5" customHeight="1">
      <c r="A896" s="12">
        <f t="shared" si="4"/>
        <v>1894</v>
      </c>
      <c r="B896" s="26" t="s">
        <v>6257</v>
      </c>
      <c r="C896" s="7" t="str">
        <f t="shared" si="1"/>
        <v>🔊</v>
      </c>
      <c r="D896" s="8" t="s">
        <v>6258</v>
      </c>
      <c r="E896" s="6" t="s">
        <v>13</v>
      </c>
      <c r="F896" s="12" t="str">
        <f>IFERROR(__xludf.DUMMYFUNCTION("GOOGLETRANSLATE(B896,""zh_cn"",""vi"")"),"có")</f>
        <v>có</v>
      </c>
      <c r="G896" s="20" t="s">
        <v>6259</v>
      </c>
      <c r="I896" s="11" t="b">
        <f t="shared" si="5"/>
        <v>0</v>
      </c>
      <c r="J896" s="24"/>
      <c r="K896" s="11" t="b">
        <f t="shared" si="6"/>
        <v>0</v>
      </c>
    </row>
    <row r="897" ht="22.5" customHeight="1">
      <c r="A897" s="12">
        <f t="shared" si="4"/>
        <v>1895</v>
      </c>
      <c r="B897" s="26" t="s">
        <v>6260</v>
      </c>
      <c r="C897" s="7" t="str">
        <f t="shared" si="1"/>
        <v>🔊</v>
      </c>
      <c r="D897" s="8" t="s">
        <v>912</v>
      </c>
      <c r="E897" s="6" t="s">
        <v>281</v>
      </c>
      <c r="F897" s="12" t="str">
        <f>IFERROR(__xludf.DUMMYFUNCTION("GOOGLETRANSLATE(B897,""zh_cn"",""vi"")"),"Và")</f>
        <v>Và</v>
      </c>
      <c r="G897" s="20" t="s">
        <v>6261</v>
      </c>
      <c r="I897" s="11" t="b">
        <f t="shared" si="5"/>
        <v>0</v>
      </c>
      <c r="J897" s="24"/>
      <c r="K897" s="11" t="b">
        <f t="shared" si="6"/>
        <v>0</v>
      </c>
    </row>
    <row r="898" ht="22.5" customHeight="1">
      <c r="A898" s="12">
        <f t="shared" si="4"/>
        <v>1896</v>
      </c>
      <c r="B898" s="26" t="s">
        <v>6262</v>
      </c>
      <c r="C898" s="7" t="str">
        <f t="shared" si="1"/>
        <v>🔊</v>
      </c>
      <c r="D898" s="8" t="s">
        <v>6263</v>
      </c>
      <c r="E898" s="6" t="s">
        <v>6264</v>
      </c>
      <c r="F898" s="12" t="str">
        <f>IFERROR(__xludf.DUMMYFUNCTION("GOOGLETRANSLATE(B898,""zh_cn"",""vi"")"),"hóa ra là")</f>
        <v>hóa ra là</v>
      </c>
      <c r="G898" s="20" t="s">
        <v>6265</v>
      </c>
      <c r="I898" s="11" t="b">
        <f t="shared" si="5"/>
        <v>0</v>
      </c>
      <c r="J898" s="24"/>
      <c r="K898" s="11" t="b">
        <f t="shared" si="6"/>
        <v>0</v>
      </c>
    </row>
    <row r="899" ht="22.5" customHeight="1">
      <c r="A899" s="12">
        <f t="shared" si="4"/>
        <v>1897</v>
      </c>
      <c r="B899" s="26" t="s">
        <v>6266</v>
      </c>
      <c r="C899" s="7" t="str">
        <f t="shared" si="1"/>
        <v>🔊</v>
      </c>
      <c r="D899" s="8" t="s">
        <v>6267</v>
      </c>
      <c r="E899" s="6" t="s">
        <v>13</v>
      </c>
      <c r="F899" s="12" t="str">
        <f>IFERROR(__xludf.DUMMYFUNCTION("GOOGLETRANSLATE(B899,""zh_cn"",""vi"")"),"tránh xa")</f>
        <v>tránh xa</v>
      </c>
      <c r="G899" s="20" t="s">
        <v>6268</v>
      </c>
      <c r="I899" s="11" t="b">
        <f t="shared" si="5"/>
        <v>0</v>
      </c>
      <c r="J899" s="24"/>
      <c r="K899" s="11" t="b">
        <f t="shared" si="6"/>
        <v>0</v>
      </c>
    </row>
    <row r="900" ht="22.5" customHeight="1">
      <c r="A900" s="12">
        <f t="shared" si="4"/>
        <v>1898</v>
      </c>
      <c r="B900" s="26" t="s">
        <v>6269</v>
      </c>
      <c r="C900" s="7" t="str">
        <f t="shared" si="1"/>
        <v>🔊</v>
      </c>
      <c r="D900" s="8" t="s">
        <v>6270</v>
      </c>
      <c r="E900" s="6" t="s">
        <v>13</v>
      </c>
      <c r="F900" s="12" t="str">
        <f>IFERROR(__xludf.DUMMYFUNCTION("GOOGLETRANSLATE(B900,""zh_cn"",""vi"")"),"tha thứ")</f>
        <v>tha thứ</v>
      </c>
      <c r="G900" s="20" t="s">
        <v>6271</v>
      </c>
      <c r="I900" s="11" t="b">
        <f t="shared" si="5"/>
        <v>0</v>
      </c>
      <c r="J900" s="24"/>
      <c r="K900" s="11" t="b">
        <f t="shared" si="6"/>
        <v>0</v>
      </c>
    </row>
    <row r="901" ht="22.5" customHeight="1">
      <c r="A901" s="12">
        <f t="shared" si="4"/>
        <v>1899</v>
      </c>
      <c r="B901" s="26" t="s">
        <v>6272</v>
      </c>
      <c r="C901" s="7" t="str">
        <f t="shared" si="1"/>
        <v>🔊</v>
      </c>
      <c r="D901" s="8" t="s">
        <v>6273</v>
      </c>
      <c r="E901" s="6" t="s">
        <v>27</v>
      </c>
      <c r="F901" s="5" t="s">
        <v>6274</v>
      </c>
      <c r="G901" s="20" t="s">
        <v>6275</v>
      </c>
      <c r="I901" s="11" t="b">
        <f t="shared" si="5"/>
        <v>0</v>
      </c>
      <c r="J901" s="24"/>
      <c r="K901" s="11" t="b">
        <f t="shared" si="6"/>
        <v>0</v>
      </c>
    </row>
    <row r="902" ht="22.5" customHeight="1">
      <c r="A902" s="12">
        <f t="shared" si="4"/>
        <v>1900</v>
      </c>
      <c r="B902" s="26" t="s">
        <v>6276</v>
      </c>
      <c r="C902" s="7" t="str">
        <f t="shared" si="1"/>
        <v>🔊</v>
      </c>
      <c r="D902" s="8" t="s">
        <v>6277</v>
      </c>
      <c r="E902" s="6" t="s">
        <v>27</v>
      </c>
      <c r="F902" s="5" t="s">
        <v>6278</v>
      </c>
      <c r="G902" s="20" t="s">
        <v>6279</v>
      </c>
      <c r="I902" s="11" t="b">
        <f t="shared" si="5"/>
        <v>0</v>
      </c>
      <c r="J902" s="24"/>
      <c r="K902" s="11" t="b">
        <f t="shared" si="6"/>
        <v>0</v>
      </c>
    </row>
    <row r="903" ht="22.5" customHeight="1">
      <c r="A903" s="12">
        <f t="shared" si="4"/>
        <v>1901</v>
      </c>
      <c r="B903" s="26" t="s">
        <v>6280</v>
      </c>
      <c r="C903" s="7" t="str">
        <f t="shared" si="1"/>
        <v>🔊</v>
      </c>
      <c r="D903" s="8" t="s">
        <v>6281</v>
      </c>
      <c r="E903" s="6" t="s">
        <v>27</v>
      </c>
      <c r="F903" s="12" t="str">
        <f>IFERROR(__xludf.DUMMYFUNCTION("GOOGLETRANSLATE(B903,""zh_cn"",""vi"")"),"sân")</f>
        <v>sân</v>
      </c>
      <c r="G903" s="20" t="s">
        <v>6282</v>
      </c>
      <c r="I903" s="11" t="b">
        <f t="shared" si="5"/>
        <v>0</v>
      </c>
      <c r="J903" s="24"/>
      <c r="K903" s="11" t="b">
        <f t="shared" si="6"/>
        <v>0</v>
      </c>
    </row>
    <row r="904" ht="22.5" customHeight="1">
      <c r="A904" s="12">
        <f t="shared" si="4"/>
        <v>1902</v>
      </c>
      <c r="B904" s="26" t="s">
        <v>6283</v>
      </c>
      <c r="C904" s="7" t="str">
        <f t="shared" si="1"/>
        <v>🔊</v>
      </c>
      <c r="D904" s="8" t="s">
        <v>6284</v>
      </c>
      <c r="E904" s="6" t="s">
        <v>433</v>
      </c>
      <c r="F904" s="5" t="s">
        <v>6285</v>
      </c>
      <c r="G904" s="20" t="s">
        <v>6286</v>
      </c>
      <c r="I904" s="11" t="b">
        <f t="shared" si="5"/>
        <v>0</v>
      </c>
      <c r="J904" s="24"/>
      <c r="K904" s="11" t="b">
        <f t="shared" si="6"/>
        <v>0</v>
      </c>
    </row>
    <row r="905" ht="22.5" customHeight="1">
      <c r="A905" s="12">
        <f t="shared" si="4"/>
        <v>1903</v>
      </c>
      <c r="B905" s="26" t="s">
        <v>6287</v>
      </c>
      <c r="C905" s="7" t="str">
        <f t="shared" si="1"/>
        <v>🔊</v>
      </c>
      <c r="D905" s="8" t="s">
        <v>6288</v>
      </c>
      <c r="E905" s="6" t="s">
        <v>27</v>
      </c>
      <c r="F905" s="12" t="str">
        <f>IFERROR(__xludf.DUMMYFUNCTION("GOOGLETRANSLATE(B905,""zh_cn"",""vi"")"),"bánh trung thu")</f>
        <v>bánh trung thu</v>
      </c>
      <c r="G905" s="20" t="s">
        <v>6289</v>
      </c>
      <c r="I905" s="11" t="b">
        <f t="shared" si="5"/>
        <v>0</v>
      </c>
      <c r="J905" s="24"/>
      <c r="K905" s="11" t="b">
        <f t="shared" si="6"/>
        <v>0</v>
      </c>
    </row>
    <row r="906" ht="22.5" customHeight="1">
      <c r="A906" s="12">
        <f t="shared" si="4"/>
        <v>1904</v>
      </c>
      <c r="B906" s="26" t="s">
        <v>6290</v>
      </c>
      <c r="C906" s="7" t="str">
        <f t="shared" si="1"/>
        <v>🔊</v>
      </c>
      <c r="D906" s="8" t="s">
        <v>6291</v>
      </c>
      <c r="E906" s="6" t="s">
        <v>13</v>
      </c>
      <c r="F906" s="12" t="str">
        <f>IFERROR(__xludf.DUMMYFUNCTION("GOOGLETRANSLATE(B906,""zh_cn"",""vi"")"),"đọc")</f>
        <v>đọc</v>
      </c>
      <c r="G906" s="20" t="s">
        <v>6292</v>
      </c>
      <c r="I906" s="11" t="b">
        <f t="shared" si="5"/>
        <v>0</v>
      </c>
      <c r="J906" s="24"/>
      <c r="K906" s="11" t="b">
        <f t="shared" si="6"/>
        <v>0</v>
      </c>
    </row>
    <row r="907" ht="22.5" customHeight="1">
      <c r="A907" s="12">
        <f t="shared" si="4"/>
        <v>1905</v>
      </c>
      <c r="B907" s="26" t="s">
        <v>6293</v>
      </c>
      <c r="C907" s="7" t="str">
        <f t="shared" si="1"/>
        <v>🔊</v>
      </c>
      <c r="D907" s="8" t="s">
        <v>6294</v>
      </c>
      <c r="E907" s="6" t="s">
        <v>27</v>
      </c>
      <c r="F907" s="12" t="str">
        <f>IFERROR(__xludf.DUMMYFUNCTION("GOOGLETRANSLATE(B907,""zh_cn"",""vi"")"),"tháng")</f>
        <v>tháng</v>
      </c>
      <c r="G907" s="20" t="s">
        <v>6295</v>
      </c>
      <c r="I907" s="11" t="b">
        <f t="shared" si="5"/>
        <v>0</v>
      </c>
      <c r="J907" s="24"/>
      <c r="K907" s="11" t="b">
        <f t="shared" si="6"/>
        <v>0</v>
      </c>
    </row>
    <row r="908" ht="22.5" customHeight="1">
      <c r="A908" s="12">
        <f t="shared" si="4"/>
        <v>1906</v>
      </c>
      <c r="B908" s="26" t="s">
        <v>6296</v>
      </c>
      <c r="C908" s="7" t="str">
        <f t="shared" si="1"/>
        <v>🔊</v>
      </c>
      <c r="D908" s="8" t="s">
        <v>6297</v>
      </c>
      <c r="E908" s="6" t="s">
        <v>232</v>
      </c>
      <c r="F908" s="12" t="str">
        <f>IFERROR(__xludf.DUMMYFUNCTION("GOOGLETRANSLATE(B908,""zh_cn"",""vi"")"),"Hẹn hò")</f>
        <v>Hẹn hò</v>
      </c>
      <c r="G908" s="20" t="s">
        <v>6298</v>
      </c>
      <c r="I908" s="11" t="b">
        <f t="shared" si="5"/>
        <v>0</v>
      </c>
      <c r="J908" s="24"/>
      <c r="K908" s="11" t="b">
        <f t="shared" si="6"/>
        <v>0</v>
      </c>
    </row>
    <row r="909" ht="22.5" customHeight="1">
      <c r="A909" s="12">
        <f t="shared" si="4"/>
        <v>1907</v>
      </c>
      <c r="B909" s="26" t="s">
        <v>6299</v>
      </c>
      <c r="C909" s="7" t="str">
        <f t="shared" si="1"/>
        <v>🔊</v>
      </c>
      <c r="D909" s="8" t="s">
        <v>6300</v>
      </c>
      <c r="E909" s="6" t="s">
        <v>27</v>
      </c>
      <c r="F909" s="12" t="str">
        <f>IFERROR(__xludf.DUMMYFUNCTION("GOOGLETRANSLATE(B909,""zh_cn"",""vi"")"),"ngữ pháp")</f>
        <v>ngữ pháp</v>
      </c>
      <c r="G909" s="20" t="s">
        <v>6301</v>
      </c>
      <c r="I909" s="11" t="b">
        <f t="shared" si="5"/>
        <v>0</v>
      </c>
      <c r="J909" s="24"/>
      <c r="K909" s="11" t="b">
        <f t="shared" si="6"/>
        <v>0</v>
      </c>
    </row>
    <row r="910" ht="22.5" customHeight="1">
      <c r="A910" s="12">
        <f t="shared" si="4"/>
        <v>1908</v>
      </c>
      <c r="B910" s="26" t="s">
        <v>6302</v>
      </c>
      <c r="C910" s="7" t="str">
        <f t="shared" si="1"/>
        <v>🔊</v>
      </c>
      <c r="D910" s="8" t="s">
        <v>6303</v>
      </c>
      <c r="E910" s="6" t="s">
        <v>99</v>
      </c>
      <c r="F910" s="12" t="str">
        <f>IFERROR(__xludf.DUMMYFUNCTION("GOOGLETRANSLATE(B910,""zh_cn"",""vi"")"),"vui sướng")</f>
        <v>vui sướng</v>
      </c>
      <c r="G910" s="20" t="s">
        <v>6304</v>
      </c>
      <c r="I910" s="11" t="b">
        <f t="shared" si="5"/>
        <v>0</v>
      </c>
      <c r="J910" s="24"/>
      <c r="K910" s="11" t="b">
        <f t="shared" si="6"/>
        <v>0</v>
      </c>
    </row>
    <row r="911" ht="22.5" customHeight="1">
      <c r="A911" s="12">
        <f t="shared" si="4"/>
        <v>1909</v>
      </c>
      <c r="B911" s="26" t="s">
        <v>6305</v>
      </c>
      <c r="C911" s="7" t="str">
        <f t="shared" si="1"/>
        <v>🔊</v>
      </c>
      <c r="D911" s="8" t="s">
        <v>6306</v>
      </c>
      <c r="E911" s="6" t="s">
        <v>27</v>
      </c>
      <c r="F911" s="12" t="str">
        <f>IFERROR(__xludf.DUMMYFUNCTION("GOOGLETRANSLATE(B911,""zh_cn"",""vi"")"),"đám mây")</f>
        <v>đám mây</v>
      </c>
      <c r="G911" s="20" t="s">
        <v>6307</v>
      </c>
      <c r="I911" s="11" t="b">
        <f t="shared" si="5"/>
        <v>0</v>
      </c>
      <c r="J911" s="24"/>
      <c r="K911" s="11" t="b">
        <f t="shared" si="6"/>
        <v>0</v>
      </c>
    </row>
    <row r="912" ht="22.5" customHeight="1">
      <c r="A912" s="12">
        <f t="shared" si="4"/>
        <v>1910</v>
      </c>
      <c r="B912" s="26" t="s">
        <v>6308</v>
      </c>
      <c r="C912" s="7" t="str">
        <f t="shared" si="1"/>
        <v>🔊</v>
      </c>
      <c r="D912" s="8" t="s">
        <v>6309</v>
      </c>
      <c r="E912" s="6" t="s">
        <v>13</v>
      </c>
      <c r="F912" s="12" t="str">
        <f>IFERROR(__xludf.DUMMYFUNCTION("GOOGLETRANSLATE(B912,""zh_cn"",""vi"")"),"cho phép")</f>
        <v>cho phép</v>
      </c>
      <c r="G912" s="20" t="s">
        <v>6310</v>
      </c>
      <c r="I912" s="11" t="b">
        <f t="shared" si="5"/>
        <v>0</v>
      </c>
      <c r="J912" s="24"/>
      <c r="K912" s="11" t="b">
        <f t="shared" si="6"/>
        <v>0</v>
      </c>
    </row>
    <row r="913" ht="22.5" customHeight="1">
      <c r="A913" s="12">
        <f t="shared" si="4"/>
        <v>1911</v>
      </c>
      <c r="B913" s="26" t="s">
        <v>6311</v>
      </c>
      <c r="C913" s="7" t="str">
        <f t="shared" si="1"/>
        <v>🔊</v>
      </c>
      <c r="D913" s="8" t="s">
        <v>6312</v>
      </c>
      <c r="E913" s="6" t="s">
        <v>1132</v>
      </c>
      <c r="F913" s="5" t="s">
        <v>6313</v>
      </c>
      <c r="G913" s="20" t="s">
        <v>6314</v>
      </c>
      <c r="I913" s="11" t="b">
        <f t="shared" si="5"/>
        <v>0</v>
      </c>
      <c r="J913" s="24"/>
      <c r="K913" s="11" t="b">
        <f t="shared" si="6"/>
        <v>0</v>
      </c>
    </row>
    <row r="914" ht="22.5" customHeight="1">
      <c r="A914" s="12">
        <f t="shared" si="4"/>
        <v>1912</v>
      </c>
      <c r="B914" s="26" t="s">
        <v>6315</v>
      </c>
      <c r="C914" s="7" t="str">
        <f t="shared" si="1"/>
        <v>🔊</v>
      </c>
      <c r="D914" s="8" t="s">
        <v>6316</v>
      </c>
      <c r="E914" s="6" t="s">
        <v>13</v>
      </c>
      <c r="F914" s="12" t="str">
        <f>IFERROR(__xludf.DUMMYFUNCTION("GOOGLETRANSLATE(B914,""zh_cn"",""vi"")"),"Xem trước")</f>
        <v>Xem trước</v>
      </c>
      <c r="G914" s="20" t="s">
        <v>6317</v>
      </c>
      <c r="I914" s="11" t="b">
        <f t="shared" si="5"/>
        <v>0</v>
      </c>
      <c r="J914" s="24"/>
      <c r="K914" s="11" t="b">
        <f t="shared" si="6"/>
        <v>0</v>
      </c>
    </row>
    <row r="915" ht="22.5" customHeight="1">
      <c r="A915" s="12">
        <f t="shared" si="4"/>
        <v>1913</v>
      </c>
      <c r="B915" s="26" t="s">
        <v>6318</v>
      </c>
      <c r="C915" s="7" t="str">
        <f t="shared" si="1"/>
        <v>🔊</v>
      </c>
      <c r="D915" s="8" t="s">
        <v>6319</v>
      </c>
      <c r="E915" s="6" t="s">
        <v>61</v>
      </c>
      <c r="F915" s="5" t="s">
        <v>6320</v>
      </c>
      <c r="G915" s="20" t="s">
        <v>6321</v>
      </c>
      <c r="I915" s="11" t="b">
        <f t="shared" si="5"/>
        <v>0</v>
      </c>
      <c r="J915" s="24"/>
      <c r="K915" s="11" t="b">
        <f t="shared" si="6"/>
        <v>0</v>
      </c>
    </row>
    <row r="916" ht="22.5" customHeight="1">
      <c r="A916" s="12">
        <f t="shared" si="4"/>
        <v>1914</v>
      </c>
      <c r="B916" s="26" t="s">
        <v>6322</v>
      </c>
      <c r="C916" s="7" t="str">
        <f t="shared" si="1"/>
        <v>🔊</v>
      </c>
      <c r="D916" s="8" t="s">
        <v>6323</v>
      </c>
      <c r="E916" s="6" t="s">
        <v>6324</v>
      </c>
      <c r="F916" s="12" t="str">
        <f>IFERROR(__xludf.DUMMYFUNCTION("GOOGLETRANSLATE(B916,""zh_cn"",""vi"")"),"Hơn nữa")</f>
        <v>Hơn nữa</v>
      </c>
      <c r="G916" s="20" t="s">
        <v>6325</v>
      </c>
      <c r="I916" s="11" t="b">
        <f t="shared" si="5"/>
        <v>0</v>
      </c>
      <c r="J916" s="24"/>
      <c r="K916" s="11" t="b">
        <f t="shared" si="6"/>
        <v>0</v>
      </c>
    </row>
    <row r="917" ht="22.5" customHeight="1">
      <c r="A917" s="12">
        <f t="shared" si="4"/>
        <v>1915</v>
      </c>
      <c r="B917" s="26" t="s">
        <v>6326</v>
      </c>
      <c r="C917" s="7" t="str">
        <f t="shared" si="1"/>
        <v>🔊</v>
      </c>
      <c r="D917" s="8" t="s">
        <v>6327</v>
      </c>
      <c r="E917" s="6" t="s">
        <v>99</v>
      </c>
      <c r="F917" s="12" t="str">
        <f>IFERROR(__xludf.DUMMYFUNCTION("GOOGLETRANSLATE(B917,""zh_cn"",""vi"")"),"tạm thời")</f>
        <v>tạm thời</v>
      </c>
      <c r="G917" s="20" t="s">
        <v>6328</v>
      </c>
      <c r="I917" s="11" t="b">
        <f t="shared" si="5"/>
        <v>0</v>
      </c>
      <c r="J917" s="24"/>
      <c r="K917" s="11" t="b">
        <f t="shared" si="6"/>
        <v>0</v>
      </c>
    </row>
    <row r="918" ht="22.5" customHeight="1">
      <c r="A918" s="12">
        <f t="shared" si="4"/>
        <v>1916</v>
      </c>
      <c r="B918" s="26" t="s">
        <v>6329</v>
      </c>
      <c r="C918" s="7" t="str">
        <f t="shared" si="1"/>
        <v>🔊</v>
      </c>
      <c r="D918" s="8" t="s">
        <v>6330</v>
      </c>
      <c r="E918" s="6" t="s">
        <v>13</v>
      </c>
      <c r="F918" s="12" t="str">
        <f>IFERROR(__xludf.DUMMYFUNCTION("GOOGLETRANSLATE(B918,""zh_cn"",""vi"")"),"tạm dừng")</f>
        <v>tạm dừng</v>
      </c>
      <c r="G918" s="20" t="s">
        <v>6331</v>
      </c>
      <c r="I918" s="11" t="b">
        <f t="shared" si="5"/>
        <v>0</v>
      </c>
      <c r="J918" s="24"/>
      <c r="K918" s="11" t="b">
        <f t="shared" si="6"/>
        <v>0</v>
      </c>
    </row>
    <row r="919" ht="22.5" customHeight="1">
      <c r="A919" s="12">
        <f t="shared" si="4"/>
        <v>1917</v>
      </c>
      <c r="B919" s="26" t="s">
        <v>6332</v>
      </c>
      <c r="C919" s="7" t="str">
        <f t="shared" si="1"/>
        <v>🔊</v>
      </c>
      <c r="D919" s="8" t="s">
        <v>6333</v>
      </c>
      <c r="E919" s="6" t="s">
        <v>27</v>
      </c>
      <c r="F919" s="12" t="str">
        <f>IFERROR(__xludf.DUMMYFUNCTION("GOOGLETRANSLATE(B919,""zh_cn"",""vi"")"),"bữa sáng")</f>
        <v>bữa sáng</v>
      </c>
      <c r="G919" s="20" t="s">
        <v>6334</v>
      </c>
      <c r="I919" s="11" t="b">
        <f t="shared" si="5"/>
        <v>0</v>
      </c>
      <c r="J919" s="24"/>
      <c r="K919" s="11" t="b">
        <f t="shared" si="6"/>
        <v>0</v>
      </c>
    </row>
    <row r="920" ht="22.5" customHeight="1">
      <c r="A920" s="12">
        <f t="shared" si="4"/>
        <v>1918</v>
      </c>
      <c r="B920" s="26" t="s">
        <v>6335</v>
      </c>
      <c r="C920" s="7" t="str">
        <f t="shared" si="1"/>
        <v>🔊</v>
      </c>
      <c r="D920" s="8" t="s">
        <v>6336</v>
      </c>
      <c r="E920" s="6" t="s">
        <v>27</v>
      </c>
      <c r="F920" s="5" t="s">
        <v>6337</v>
      </c>
      <c r="G920" s="20" t="s">
        <v>6338</v>
      </c>
      <c r="I920" s="11" t="b">
        <f t="shared" si="5"/>
        <v>0</v>
      </c>
      <c r="J920" s="24"/>
      <c r="K920" s="11" t="b">
        <f t="shared" si="6"/>
        <v>0</v>
      </c>
    </row>
    <row r="921" ht="22.5" customHeight="1">
      <c r="A921" s="12">
        <f t="shared" si="4"/>
        <v>1919</v>
      </c>
      <c r="B921" s="26" t="s">
        <v>6339</v>
      </c>
      <c r="C921" s="7" t="str">
        <f t="shared" si="1"/>
        <v>🔊</v>
      </c>
      <c r="D921" s="8" t="s">
        <v>6340</v>
      </c>
      <c r="E921" s="6" t="s">
        <v>27</v>
      </c>
      <c r="F921" s="12" t="str">
        <f>IFERROR(__xludf.DUMMYFUNCTION("GOOGLETRANSLATE(B921,""zh_cn"",""vi"")"),"Tạp chí")</f>
        <v>Tạp chí</v>
      </c>
      <c r="G921" s="20" t="s">
        <v>6341</v>
      </c>
      <c r="I921" s="11" t="b">
        <f t="shared" si="5"/>
        <v>0</v>
      </c>
      <c r="J921" s="24"/>
      <c r="K921" s="11" t="b">
        <f t="shared" si="6"/>
        <v>0</v>
      </c>
    </row>
    <row r="922" ht="22.5" customHeight="1">
      <c r="A922" s="12">
        <f t="shared" si="4"/>
        <v>1920</v>
      </c>
      <c r="B922" s="26" t="s">
        <v>6342</v>
      </c>
      <c r="C922" s="7" t="str">
        <f t="shared" si="1"/>
        <v>🔊</v>
      </c>
      <c r="D922" s="8" t="s">
        <v>6343</v>
      </c>
      <c r="E922" s="6" t="s">
        <v>13</v>
      </c>
      <c r="F922" s="5" t="s">
        <v>6344</v>
      </c>
      <c r="G922" s="20" t="s">
        <v>6345</v>
      </c>
      <c r="I922" s="11" t="b">
        <f t="shared" si="5"/>
        <v>0</v>
      </c>
      <c r="J922" s="24"/>
      <c r="K922" s="11" t="b">
        <f t="shared" si="6"/>
        <v>0</v>
      </c>
    </row>
    <row r="923" ht="22.5" customHeight="1">
      <c r="A923" s="12">
        <f t="shared" si="4"/>
        <v>1921</v>
      </c>
      <c r="B923" s="26" t="s">
        <v>6346</v>
      </c>
      <c r="C923" s="7" t="str">
        <f t="shared" si="1"/>
        <v>🔊</v>
      </c>
      <c r="D923" s="8" t="s">
        <v>6347</v>
      </c>
      <c r="E923" s="6" t="s">
        <v>13</v>
      </c>
      <c r="F923" s="5" t="s">
        <v>6348</v>
      </c>
      <c r="G923" s="20" t="s">
        <v>6349</v>
      </c>
      <c r="I923" s="11" t="b">
        <f t="shared" si="5"/>
        <v>0</v>
      </c>
      <c r="J923" s="24"/>
      <c r="K923" s="11" t="b">
        <f t="shared" si="6"/>
        <v>0</v>
      </c>
    </row>
    <row r="924" ht="22.5" customHeight="1">
      <c r="A924" s="12">
        <f t="shared" si="4"/>
        <v>1922</v>
      </c>
      <c r="B924" s="26" t="s">
        <v>6350</v>
      </c>
      <c r="C924" s="7" t="str">
        <f t="shared" si="1"/>
        <v>🔊</v>
      </c>
      <c r="D924" s="8" t="s">
        <v>6351</v>
      </c>
      <c r="E924" s="6" t="s">
        <v>27</v>
      </c>
      <c r="F924" s="12" t="str">
        <f>IFERROR(__xludf.DUMMYFUNCTION("GOOGLETRANSLATE(B924,""zh_cn"",""vi"")"),"trách nhiệm")</f>
        <v>trách nhiệm</v>
      </c>
      <c r="G924" s="20" t="s">
        <v>6352</v>
      </c>
      <c r="I924" s="11" t="b">
        <f t="shared" si="5"/>
        <v>0</v>
      </c>
      <c r="J924" s="24"/>
      <c r="K924" s="11" t="b">
        <f t="shared" si="6"/>
        <v>0</v>
      </c>
    </row>
    <row r="925" ht="22.5" customHeight="1">
      <c r="A925" s="12">
        <f t="shared" si="4"/>
        <v>1923</v>
      </c>
      <c r="B925" s="26" t="s">
        <v>1661</v>
      </c>
      <c r="C925" s="7" t="str">
        <f t="shared" si="1"/>
        <v>🔊</v>
      </c>
      <c r="D925" s="8" t="s">
        <v>6353</v>
      </c>
      <c r="E925" s="6" t="s">
        <v>13</v>
      </c>
      <c r="F925" s="5" t="s">
        <v>6354</v>
      </c>
      <c r="G925" s="20" t="s">
        <v>6355</v>
      </c>
      <c r="I925" s="11" t="b">
        <f t="shared" si="5"/>
        <v>0</v>
      </c>
      <c r="J925" s="24"/>
      <c r="K925" s="11" t="b">
        <f t="shared" si="6"/>
        <v>0</v>
      </c>
    </row>
    <row r="926" ht="22.5" customHeight="1">
      <c r="A926" s="12">
        <f t="shared" si="4"/>
        <v>1924</v>
      </c>
      <c r="B926" s="26" t="s">
        <v>6356</v>
      </c>
      <c r="C926" s="7" t="str">
        <f t="shared" si="1"/>
        <v>🔊</v>
      </c>
      <c r="D926" s="8" t="s">
        <v>6357</v>
      </c>
      <c r="E926" s="6" t="s">
        <v>13</v>
      </c>
      <c r="F926" s="5" t="s">
        <v>6358</v>
      </c>
      <c r="G926" s="20" t="s">
        <v>6359</v>
      </c>
      <c r="I926" s="11" t="b">
        <f t="shared" si="5"/>
        <v>0</v>
      </c>
      <c r="J926" s="24"/>
      <c r="K926" s="11" t="b">
        <f t="shared" si="6"/>
        <v>0</v>
      </c>
    </row>
    <row r="927" ht="22.5" customHeight="1">
      <c r="A927" s="12">
        <f t="shared" si="4"/>
        <v>1925</v>
      </c>
      <c r="B927" s="26" t="s">
        <v>6360</v>
      </c>
      <c r="C927" s="7" t="str">
        <f t="shared" si="1"/>
        <v>🔊</v>
      </c>
      <c r="D927" s="8" t="s">
        <v>6361</v>
      </c>
      <c r="E927" s="6" t="s">
        <v>13</v>
      </c>
      <c r="F927" s="12" t="str">
        <f>IFERROR(__xludf.DUMMYFUNCTION("GOOGLETRANSLATE(B927,""zh_cn"",""vi"")"),"tuyển dụng")</f>
        <v>tuyển dụng</v>
      </c>
      <c r="G927" s="20" t="s">
        <v>6362</v>
      </c>
      <c r="I927" s="11" t="b">
        <f t="shared" si="5"/>
        <v>0</v>
      </c>
      <c r="J927" s="24"/>
      <c r="K927" s="11" t="b">
        <f t="shared" si="6"/>
        <v>0</v>
      </c>
    </row>
    <row r="928" ht="22.5" customHeight="1">
      <c r="A928" s="12">
        <f t="shared" si="4"/>
        <v>1926</v>
      </c>
      <c r="B928" s="26" t="s">
        <v>6363</v>
      </c>
      <c r="C928" s="7" t="str">
        <f t="shared" si="1"/>
        <v>🔊</v>
      </c>
      <c r="D928" s="8" t="s">
        <v>6364</v>
      </c>
      <c r="E928" s="6" t="s">
        <v>18</v>
      </c>
      <c r="F928" s="5" t="s">
        <v>6365</v>
      </c>
      <c r="G928" s="20" t="s">
        <v>6366</v>
      </c>
      <c r="I928" s="11" t="b">
        <f t="shared" si="5"/>
        <v>0</v>
      </c>
      <c r="J928" s="24"/>
      <c r="K928" s="11" t="b">
        <f t="shared" si="6"/>
        <v>0</v>
      </c>
    </row>
    <row r="929" ht="22.5" customHeight="1">
      <c r="A929" s="12">
        <f t="shared" si="4"/>
        <v>1927</v>
      </c>
      <c r="B929" s="26" t="s">
        <v>6367</v>
      </c>
      <c r="C929" s="7" t="str">
        <f t="shared" si="1"/>
        <v>🔊</v>
      </c>
      <c r="D929" s="8" t="s">
        <v>1672</v>
      </c>
      <c r="E929" s="6" t="s">
        <v>27</v>
      </c>
      <c r="F929" s="12" t="str">
        <f>IFERROR(__xludf.DUMMYFUNCTION("GOOGLETRANSLATE(B929,""zh_cn"",""vi"")"),"giấy chứng nhận")</f>
        <v>giấy chứng nhận</v>
      </c>
      <c r="G929" s="20" t="s">
        <v>6368</v>
      </c>
      <c r="I929" s="11" t="b">
        <f t="shared" si="5"/>
        <v>0</v>
      </c>
      <c r="J929" s="24"/>
      <c r="K929" s="11" t="b">
        <f t="shared" si="6"/>
        <v>0</v>
      </c>
    </row>
    <row r="930" ht="22.5" customHeight="1">
      <c r="A930" s="12">
        <f t="shared" si="4"/>
        <v>1928</v>
      </c>
      <c r="B930" s="26" t="s">
        <v>6369</v>
      </c>
      <c r="C930" s="7" t="str">
        <f t="shared" si="1"/>
        <v>🔊</v>
      </c>
      <c r="D930" s="8" t="s">
        <v>6370</v>
      </c>
      <c r="E930" s="6" t="s">
        <v>99</v>
      </c>
      <c r="F930" s="12" t="str">
        <f>IFERROR(__xludf.DUMMYFUNCTION("GOOGLETRANSLATE(B930,""zh_cn"",""vi"")"),"tất cả")</f>
        <v>tất cả</v>
      </c>
      <c r="G930" s="20" t="s">
        <v>6371</v>
      </c>
      <c r="I930" s="11" t="b">
        <f t="shared" si="5"/>
        <v>0</v>
      </c>
      <c r="J930" s="24"/>
      <c r="K930" s="11" t="b">
        <f t="shared" si="6"/>
        <v>0</v>
      </c>
    </row>
    <row r="931" ht="22.5" customHeight="1">
      <c r="A931" s="12">
        <f t="shared" si="4"/>
        <v>1929</v>
      </c>
      <c r="B931" s="26" t="s">
        <v>6372</v>
      </c>
      <c r="C931" s="7" t="str">
        <f t="shared" si="1"/>
        <v>🔊</v>
      </c>
      <c r="D931" s="8" t="s">
        <v>6373</v>
      </c>
      <c r="E931" s="6" t="s">
        <v>99</v>
      </c>
      <c r="F931" s="12" t="str">
        <f>IFERROR(__xludf.DUMMYFUNCTION("GOOGLETRANSLATE(B931,""zh_cn"",""vi"")"),"Bình thường")</f>
        <v>Bình thường</v>
      </c>
      <c r="G931" s="20" t="s">
        <v>6374</v>
      </c>
      <c r="I931" s="11" t="b">
        <f t="shared" si="5"/>
        <v>0</v>
      </c>
      <c r="J931" s="24"/>
      <c r="K931" s="11" t="b">
        <f t="shared" si="6"/>
        <v>0</v>
      </c>
    </row>
    <row r="932" ht="22.5" customHeight="1">
      <c r="A932" s="12">
        <f t="shared" si="4"/>
        <v>1930</v>
      </c>
      <c r="B932" s="26" t="s">
        <v>6375</v>
      </c>
      <c r="C932" s="7" t="str">
        <f t="shared" si="1"/>
        <v>🔊</v>
      </c>
      <c r="D932" s="8" t="s">
        <v>6376</v>
      </c>
      <c r="E932" s="6" t="s">
        <v>99</v>
      </c>
      <c r="F932" s="12" t="str">
        <f>IFERROR(__xludf.DUMMYFUNCTION("GOOGLETRANSLATE(B932,""zh_cn"",""vi"")"),"toàn bộ")</f>
        <v>toàn bộ</v>
      </c>
      <c r="G932" s="20" t="s">
        <v>6377</v>
      </c>
      <c r="I932" s="11" t="b">
        <f t="shared" si="5"/>
        <v>0</v>
      </c>
      <c r="J932" s="24"/>
      <c r="K932" s="11" t="b">
        <f t="shared" si="6"/>
        <v>0</v>
      </c>
    </row>
    <row r="933" ht="22.5" customHeight="1">
      <c r="A933" s="12">
        <f t="shared" si="4"/>
        <v>1931</v>
      </c>
      <c r="B933" s="26" t="s">
        <v>6378</v>
      </c>
      <c r="C933" s="7" t="str">
        <f t="shared" si="1"/>
        <v>🔊</v>
      </c>
      <c r="D933" s="8" t="s">
        <v>6379</v>
      </c>
      <c r="E933" s="6" t="s">
        <v>1308</v>
      </c>
      <c r="F933" s="5" t="s">
        <v>6380</v>
      </c>
      <c r="G933" s="20" t="s">
        <v>6381</v>
      </c>
      <c r="I933" s="11" t="b">
        <f t="shared" si="5"/>
        <v>0</v>
      </c>
      <c r="J933" s="24"/>
      <c r="K933" s="11" t="b">
        <f t="shared" si="6"/>
        <v>0</v>
      </c>
    </row>
    <row r="934" ht="22.5" customHeight="1">
      <c r="A934" s="12">
        <f t="shared" si="4"/>
        <v>1932</v>
      </c>
      <c r="B934" s="26" t="s">
        <v>6382</v>
      </c>
      <c r="C934" s="7" t="str">
        <f t="shared" si="1"/>
        <v>🔊</v>
      </c>
      <c r="D934" s="8" t="s">
        <v>6383</v>
      </c>
      <c r="E934" s="6" t="s">
        <v>27</v>
      </c>
      <c r="F934" s="5" t="s">
        <v>6384</v>
      </c>
      <c r="G934" s="20" t="s">
        <v>6385</v>
      </c>
      <c r="I934" s="11" t="b">
        <f t="shared" si="5"/>
        <v>0</v>
      </c>
      <c r="J934" s="24"/>
      <c r="K934" s="11" t="b">
        <f t="shared" si="6"/>
        <v>0</v>
      </c>
    </row>
    <row r="935" ht="22.5" customHeight="1">
      <c r="A935" s="12">
        <f t="shared" si="4"/>
        <v>1933</v>
      </c>
      <c r="B935" s="26" t="s">
        <v>6386</v>
      </c>
      <c r="C935" s="7" t="str">
        <f t="shared" si="1"/>
        <v>🔊</v>
      </c>
      <c r="D935" s="8" t="s">
        <v>6387</v>
      </c>
      <c r="E935" s="6" t="s">
        <v>13</v>
      </c>
      <c r="F935" s="5" t="s">
        <v>6388</v>
      </c>
      <c r="G935" s="20" t="s">
        <v>6389</v>
      </c>
      <c r="I935" s="11" t="b">
        <f t="shared" si="5"/>
        <v>0</v>
      </c>
      <c r="J935" s="24"/>
      <c r="K935" s="11" t="b">
        <f t="shared" si="6"/>
        <v>0</v>
      </c>
    </row>
    <row r="936" ht="22.5" customHeight="1">
      <c r="A936" s="12">
        <f t="shared" si="4"/>
        <v>1934</v>
      </c>
      <c r="B936" s="26" t="s">
        <v>6390</v>
      </c>
      <c r="C936" s="7" t="str">
        <f t="shared" si="1"/>
        <v>🔊</v>
      </c>
      <c r="D936" s="8" t="s">
        <v>6391</v>
      </c>
      <c r="E936" s="6" t="s">
        <v>232</v>
      </c>
      <c r="F936" s="12" t="str">
        <f>IFERROR(__xludf.DUMMYFUNCTION("GOOGLETRANSLATE(B936,""zh_cn"",""vi"")"),"chứng minh")</f>
        <v>chứng minh</v>
      </c>
      <c r="G936" s="20" t="s">
        <v>6392</v>
      </c>
      <c r="I936" s="11" t="b">
        <f t="shared" si="5"/>
        <v>0</v>
      </c>
      <c r="J936" s="24"/>
      <c r="K936" s="11" t="b">
        <f t="shared" si="6"/>
        <v>0</v>
      </c>
    </row>
    <row r="937" ht="22.5" customHeight="1">
      <c r="A937" s="12">
        <f t="shared" si="4"/>
        <v>1935</v>
      </c>
      <c r="B937" s="26" t="s">
        <v>6393</v>
      </c>
      <c r="C937" s="7" t="str">
        <f t="shared" si="1"/>
        <v>🔊</v>
      </c>
      <c r="D937" s="8" t="s">
        <v>6394</v>
      </c>
      <c r="E937" s="6" t="s">
        <v>99</v>
      </c>
      <c r="F937" s="12" t="str">
        <f>IFERROR(__xludf.DUMMYFUNCTION("GOOGLETRANSLATE(B937,""zh_cn"",""vi"")"),"Chính xác")</f>
        <v>Chính xác</v>
      </c>
      <c r="G937" s="20" t="s">
        <v>6395</v>
      </c>
      <c r="I937" s="11" t="b">
        <f t="shared" si="5"/>
        <v>0</v>
      </c>
      <c r="J937" s="24"/>
      <c r="K937" s="11" t="b">
        <f t="shared" si="6"/>
        <v>0</v>
      </c>
    </row>
    <row r="938" ht="22.5" customHeight="1">
      <c r="A938" s="12">
        <f t="shared" si="4"/>
        <v>1936</v>
      </c>
      <c r="B938" s="26" t="s">
        <v>6396</v>
      </c>
      <c r="C938" s="7" t="str">
        <f t="shared" si="1"/>
        <v>🔊</v>
      </c>
      <c r="D938" s="8" t="s">
        <v>6397</v>
      </c>
      <c r="E938" s="6" t="s">
        <v>99</v>
      </c>
      <c r="F938" s="12" t="str">
        <f>IFERROR(__xludf.DUMMYFUNCTION("GOOGLETRANSLATE(B938,""zh_cn"",""vi"")"),"chính thức")</f>
        <v>chính thức</v>
      </c>
      <c r="G938" s="20" t="s">
        <v>6398</v>
      </c>
      <c r="I938" s="11" t="b">
        <f t="shared" si="5"/>
        <v>0</v>
      </c>
      <c r="J938" s="24"/>
      <c r="K938" s="11" t="b">
        <f t="shared" si="6"/>
        <v>0</v>
      </c>
    </row>
    <row r="939" ht="22.5" customHeight="1">
      <c r="A939" s="12">
        <f t="shared" si="4"/>
        <v>1937</v>
      </c>
      <c r="B939" s="26" t="s">
        <v>6399</v>
      </c>
      <c r="C939" s="7" t="str">
        <f t="shared" si="1"/>
        <v>🔊</v>
      </c>
      <c r="D939" s="8" t="s">
        <v>6400</v>
      </c>
      <c r="E939" s="6" t="s">
        <v>1308</v>
      </c>
      <c r="F939" s="5" t="s">
        <v>6401</v>
      </c>
      <c r="G939" s="20" t="s">
        <v>6402</v>
      </c>
      <c r="I939" s="11" t="b">
        <f t="shared" si="5"/>
        <v>0</v>
      </c>
      <c r="J939" s="24"/>
      <c r="K939" s="11" t="b">
        <f t="shared" si="6"/>
        <v>0</v>
      </c>
    </row>
    <row r="940" ht="22.5" customHeight="1">
      <c r="A940" s="12">
        <f t="shared" si="4"/>
        <v>1938</v>
      </c>
      <c r="B940" s="26" t="s">
        <v>6403</v>
      </c>
      <c r="C940" s="7" t="str">
        <f t="shared" si="1"/>
        <v>🔊</v>
      </c>
      <c r="D940" s="8" t="s">
        <v>6404</v>
      </c>
      <c r="E940" s="6" t="s">
        <v>368</v>
      </c>
      <c r="F940" s="12" t="str">
        <f>IFERROR(__xludf.DUMMYFUNCTION("GOOGLETRANSLATE(B940,""zh_cn"",""vi"")"),"giá trị")</f>
        <v>giá trị</v>
      </c>
      <c r="G940" s="20" t="s">
        <v>6405</v>
      </c>
      <c r="I940" s="11" t="b">
        <f t="shared" si="5"/>
        <v>0</v>
      </c>
      <c r="J940" s="24"/>
      <c r="K940" s="11" t="b">
        <f t="shared" si="6"/>
        <v>0</v>
      </c>
    </row>
    <row r="941" ht="22.5" customHeight="1">
      <c r="A941" s="12">
        <f t="shared" si="4"/>
        <v>1939</v>
      </c>
      <c r="B941" s="26" t="s">
        <v>6406</v>
      </c>
      <c r="C941" s="7" t="str">
        <f t="shared" si="1"/>
        <v>🔊</v>
      </c>
      <c r="D941" s="8" t="s">
        <v>3232</v>
      </c>
      <c r="E941" s="6" t="s">
        <v>13</v>
      </c>
      <c r="F941" s="5" t="s">
        <v>6407</v>
      </c>
      <c r="G941" s="20" t="s">
        <v>6408</v>
      </c>
      <c r="I941" s="11" t="b">
        <f t="shared" si="5"/>
        <v>0</v>
      </c>
      <c r="J941" s="24"/>
      <c r="K941" s="11" t="b">
        <f t="shared" si="6"/>
        <v>0</v>
      </c>
    </row>
    <row r="942" ht="22.5" customHeight="1">
      <c r="A942" s="12">
        <f t="shared" si="4"/>
        <v>1940</v>
      </c>
      <c r="B942" s="26" t="s">
        <v>6409</v>
      </c>
      <c r="C942" s="7" t="str">
        <f t="shared" si="1"/>
        <v>🔊</v>
      </c>
      <c r="D942" s="8" t="s">
        <v>977</v>
      </c>
      <c r="E942" s="6" t="s">
        <v>18</v>
      </c>
      <c r="F942" s="12" t="str">
        <f>IFERROR(__xludf.DUMMYFUNCTION("GOOGLETRANSLATE(B942,""zh_cn"",""vi"")"),"Của")</f>
        <v>Của</v>
      </c>
      <c r="G942" s="20" t="s">
        <v>6410</v>
      </c>
      <c r="I942" s="11" t="b">
        <f t="shared" si="5"/>
        <v>0</v>
      </c>
      <c r="J942" s="24"/>
      <c r="K942" s="11" t="b">
        <f t="shared" si="6"/>
        <v>0</v>
      </c>
    </row>
    <row r="943" ht="22.5" customHeight="1">
      <c r="A943" s="12">
        <f t="shared" si="4"/>
        <v>1941</v>
      </c>
      <c r="B943" s="26" t="s">
        <v>6411</v>
      </c>
      <c r="C943" s="7" t="str">
        <f t="shared" si="1"/>
        <v>🔊</v>
      </c>
      <c r="D943" s="8" t="s">
        <v>6412</v>
      </c>
      <c r="E943" s="6" t="s">
        <v>13</v>
      </c>
      <c r="F943" s="12" t="str">
        <f>IFERROR(__xludf.DUMMYFUNCTION("GOOGLETRANSLATE(B943,""zh_cn"",""vi"")"),"ủng hộ")</f>
        <v>ủng hộ</v>
      </c>
      <c r="G943" s="20" t="s">
        <v>6413</v>
      </c>
      <c r="I943" s="11" t="b">
        <f t="shared" si="5"/>
        <v>0</v>
      </c>
      <c r="J943" s="24"/>
      <c r="K943" s="11" t="b">
        <f t="shared" si="6"/>
        <v>0</v>
      </c>
    </row>
    <row r="944" ht="22.5" customHeight="1">
      <c r="A944" s="12">
        <f t="shared" si="4"/>
        <v>1942</v>
      </c>
      <c r="B944" s="26" t="s">
        <v>6414</v>
      </c>
      <c r="C944" s="7" t="str">
        <f t="shared" si="1"/>
        <v>🔊</v>
      </c>
      <c r="D944" s="8" t="s">
        <v>6415</v>
      </c>
      <c r="E944" s="6" t="s">
        <v>13</v>
      </c>
      <c r="F944" s="12" t="str">
        <f>IFERROR(__xludf.DUMMYFUNCTION("GOOGLETRANSLATE(B944,""zh_cn"",""vi"")"),"Chỉ ra")</f>
        <v>Chỉ ra</v>
      </c>
      <c r="G944" s="20" t="s">
        <v>6416</v>
      </c>
      <c r="I944" s="11" t="b">
        <f t="shared" si="5"/>
        <v>0</v>
      </c>
      <c r="J944" s="24"/>
      <c r="K944" s="11" t="b">
        <f t="shared" si="6"/>
        <v>0</v>
      </c>
    </row>
    <row r="945" ht="22.5" customHeight="1">
      <c r="A945" s="12">
        <f t="shared" si="4"/>
        <v>1943</v>
      </c>
      <c r="B945" s="26" t="s">
        <v>6417</v>
      </c>
      <c r="C945" s="7" t="str">
        <f t="shared" si="1"/>
        <v>🔊</v>
      </c>
      <c r="D945" s="8" t="s">
        <v>6418</v>
      </c>
      <c r="E945" s="6" t="s">
        <v>13</v>
      </c>
      <c r="F945" s="5" t="s">
        <v>6419</v>
      </c>
      <c r="G945" s="20" t="s">
        <v>6420</v>
      </c>
      <c r="I945" s="11" t="b">
        <f t="shared" si="5"/>
        <v>0</v>
      </c>
      <c r="J945" s="24"/>
      <c r="K945" s="11" t="b">
        <f t="shared" si="6"/>
        <v>0</v>
      </c>
    </row>
    <row r="946" ht="22.5" customHeight="1">
      <c r="A946" s="12">
        <f t="shared" si="4"/>
        <v>1944</v>
      </c>
      <c r="B946" s="26" t="s">
        <v>6421</v>
      </c>
      <c r="C946" s="7" t="str">
        <f t="shared" si="1"/>
        <v>🔊</v>
      </c>
      <c r="D946" s="8" t="s">
        <v>6422</v>
      </c>
      <c r="E946" s="6" t="s">
        <v>13</v>
      </c>
      <c r="F946" s="5" t="s">
        <v>6423</v>
      </c>
      <c r="G946" s="20" t="s">
        <v>6424</v>
      </c>
      <c r="I946" s="11" t="b">
        <f t="shared" si="5"/>
        <v>0</v>
      </c>
      <c r="J946" s="24"/>
      <c r="K946" s="11" t="b">
        <f t="shared" si="6"/>
        <v>0</v>
      </c>
    </row>
    <row r="947" ht="22.5" customHeight="1">
      <c r="A947" s="12">
        <f t="shared" si="4"/>
        <v>1945</v>
      </c>
      <c r="B947" s="26" t="s">
        <v>6425</v>
      </c>
      <c r="C947" s="7" t="str">
        <f t="shared" si="1"/>
        <v>🔊</v>
      </c>
      <c r="D947" s="8" t="s">
        <v>6426</v>
      </c>
      <c r="E947" s="6" t="s">
        <v>61</v>
      </c>
      <c r="F947" s="5" t="s">
        <v>6427</v>
      </c>
      <c r="G947" s="20" t="s">
        <v>6428</v>
      </c>
      <c r="I947" s="11" t="b">
        <f t="shared" si="5"/>
        <v>0</v>
      </c>
      <c r="J947" s="24"/>
      <c r="K947" s="11" t="b">
        <f t="shared" si="6"/>
        <v>0</v>
      </c>
    </row>
    <row r="948" ht="22.5" customHeight="1">
      <c r="A948" s="12">
        <f t="shared" si="4"/>
        <v>1946</v>
      </c>
      <c r="B948" s="26" t="s">
        <v>6429</v>
      </c>
      <c r="C948" s="7" t="str">
        <f t="shared" si="1"/>
        <v>🔊</v>
      </c>
      <c r="D948" s="8" t="s">
        <v>6430</v>
      </c>
      <c r="E948" s="6" t="s">
        <v>27</v>
      </c>
      <c r="F948" s="12" t="str">
        <f>IFERROR(__xludf.DUMMYFUNCTION("GOOGLETRANSLATE(B948,""zh_cn"",""vi"")"),"sau đó")</f>
        <v>sau đó</v>
      </c>
      <c r="G948" s="20" t="s">
        <v>6431</v>
      </c>
      <c r="I948" s="11" t="b">
        <f t="shared" si="5"/>
        <v>0</v>
      </c>
      <c r="J948" s="24"/>
      <c r="K948" s="11" t="b">
        <f t="shared" si="6"/>
        <v>0</v>
      </c>
    </row>
    <row r="949" ht="22.5" customHeight="1">
      <c r="A949" s="12">
        <f t="shared" si="4"/>
        <v>1947</v>
      </c>
      <c r="B949" s="26" t="s">
        <v>6432</v>
      </c>
      <c r="C949" s="7" t="str">
        <f t="shared" si="1"/>
        <v>🔊</v>
      </c>
      <c r="D949" s="8" t="s">
        <v>6433</v>
      </c>
      <c r="E949" s="6" t="s">
        <v>27</v>
      </c>
      <c r="F949" s="12" t="str">
        <f>IFERROR(__xludf.DUMMYFUNCTION("GOOGLETRANSLATE(B949,""zh_cn"",""vi"")"),"giữa")</f>
        <v>giữa</v>
      </c>
      <c r="G949" s="20" t="s">
        <v>6434</v>
      </c>
      <c r="I949" s="11" t="b">
        <f t="shared" si="5"/>
        <v>0</v>
      </c>
      <c r="J949" s="24"/>
      <c r="K949" s="11" t="b">
        <f t="shared" si="6"/>
        <v>0</v>
      </c>
    </row>
    <row r="950" ht="22.5" customHeight="1">
      <c r="A950" s="12">
        <f t="shared" si="4"/>
        <v>1948</v>
      </c>
      <c r="B950" s="26" t="s">
        <v>6435</v>
      </c>
      <c r="C950" s="7" t="str">
        <f t="shared" si="1"/>
        <v>🔊</v>
      </c>
      <c r="D950" s="8" t="s">
        <v>6436</v>
      </c>
      <c r="E950" s="6" t="s">
        <v>99</v>
      </c>
      <c r="F950" s="12" t="str">
        <f>IFERROR(__xludf.DUMMYFUNCTION("GOOGLETRANSLATE(B950,""zh_cn"",""vi"")"),"trực tiếp")</f>
        <v>trực tiếp</v>
      </c>
      <c r="G950" s="20" t="s">
        <v>6437</v>
      </c>
      <c r="I950" s="11" t="b">
        <f t="shared" si="5"/>
        <v>0</v>
      </c>
      <c r="J950" s="24"/>
      <c r="K950" s="11" t="b">
        <f t="shared" si="6"/>
        <v>0</v>
      </c>
    </row>
    <row r="951" ht="22.5" customHeight="1">
      <c r="A951" s="12">
        <f t="shared" si="4"/>
        <v>1949</v>
      </c>
      <c r="B951" s="26" t="s">
        <v>6438</v>
      </c>
      <c r="C951" s="7" t="str">
        <f t="shared" si="1"/>
        <v>🔊</v>
      </c>
      <c r="D951" s="8" t="s">
        <v>6439</v>
      </c>
      <c r="E951" s="6" t="s">
        <v>27</v>
      </c>
      <c r="F951" s="5" t="s">
        <v>6440</v>
      </c>
      <c r="G951" s="20" t="s">
        <v>6441</v>
      </c>
      <c r="I951" s="11" t="b">
        <f t="shared" si="5"/>
        <v>0</v>
      </c>
      <c r="J951" s="24"/>
      <c r="K951" s="11" t="b">
        <f t="shared" si="6"/>
        <v>0</v>
      </c>
    </row>
    <row r="952" ht="22.5" customHeight="1">
      <c r="A952" s="12">
        <f t="shared" si="4"/>
        <v>1950</v>
      </c>
      <c r="B952" s="26" t="s">
        <v>6442</v>
      </c>
      <c r="C952" s="7" t="str">
        <f t="shared" si="1"/>
        <v>🔊</v>
      </c>
      <c r="D952" s="8" t="s">
        <v>6443</v>
      </c>
      <c r="E952" s="6" t="s">
        <v>27</v>
      </c>
      <c r="F952" s="12" t="str">
        <f>IFERROR(__xludf.DUMMYFUNCTION("GOOGLETRANSLATE(B952,""zh_cn"",""vi"")"),"chất lượng")</f>
        <v>chất lượng</v>
      </c>
      <c r="G952" s="20" t="s">
        <v>6444</v>
      </c>
      <c r="I952" s="11" t="b">
        <f t="shared" si="5"/>
        <v>0</v>
      </c>
      <c r="J952" s="24"/>
      <c r="K952" s="11" t="b">
        <f t="shared" si="6"/>
        <v>0</v>
      </c>
    </row>
    <row r="953" ht="22.5" customHeight="1">
      <c r="A953" s="12">
        <f t="shared" si="4"/>
        <v>1951</v>
      </c>
      <c r="B953" s="26" t="s">
        <v>6445</v>
      </c>
      <c r="C953" s="7" t="str">
        <f t="shared" si="1"/>
        <v>🔊</v>
      </c>
      <c r="D953" s="8" t="s">
        <v>6446</v>
      </c>
      <c r="E953" s="6" t="s">
        <v>27</v>
      </c>
      <c r="F953" s="5" t="s">
        <v>6447</v>
      </c>
      <c r="G953" s="20" t="s">
        <v>6448</v>
      </c>
      <c r="I953" s="11" t="b">
        <f t="shared" si="5"/>
        <v>0</v>
      </c>
      <c r="J953" s="24"/>
      <c r="K953" s="11" t="b">
        <f t="shared" si="6"/>
        <v>0</v>
      </c>
    </row>
    <row r="954" ht="22.5" customHeight="1">
      <c r="A954" s="12">
        <f t="shared" si="4"/>
        <v>1952</v>
      </c>
      <c r="B954" s="26" t="s">
        <v>6449</v>
      </c>
      <c r="C954" s="7" t="str">
        <f t="shared" si="1"/>
        <v>🔊</v>
      </c>
      <c r="D954" s="8" t="s">
        <v>6450</v>
      </c>
      <c r="E954" s="6" t="s">
        <v>61</v>
      </c>
      <c r="F954" s="5" t="s">
        <v>6451</v>
      </c>
      <c r="G954" s="20" t="s">
        <v>6452</v>
      </c>
      <c r="I954" s="11" t="b">
        <f t="shared" si="5"/>
        <v>0</v>
      </c>
      <c r="J954" s="24"/>
      <c r="K954" s="11" t="b">
        <f t="shared" si="6"/>
        <v>0</v>
      </c>
    </row>
    <row r="955" ht="22.5" customHeight="1">
      <c r="A955" s="12">
        <f t="shared" si="4"/>
        <v>1953</v>
      </c>
      <c r="B955" s="26" t="s">
        <v>6453</v>
      </c>
      <c r="C955" s="7" t="str">
        <f t="shared" si="1"/>
        <v>🔊</v>
      </c>
      <c r="D955" s="8" t="s">
        <v>6454</v>
      </c>
      <c r="E955" s="6" t="s">
        <v>27</v>
      </c>
      <c r="F955" s="12" t="str">
        <f>IFERROR(__xludf.DUMMYFUNCTION("GOOGLETRANSLATE(B955,""zh_cn"",""vi"")"),"Kiến thức")</f>
        <v>Kiến thức</v>
      </c>
      <c r="G955" s="20" t="s">
        <v>6455</v>
      </c>
      <c r="I955" s="11" t="b">
        <f t="shared" si="5"/>
        <v>0</v>
      </c>
      <c r="J955" s="24"/>
      <c r="K955" s="11" t="b">
        <f t="shared" si="6"/>
        <v>0</v>
      </c>
    </row>
    <row r="956" ht="22.5" customHeight="1">
      <c r="A956" s="12">
        <f t="shared" si="4"/>
        <v>1954</v>
      </c>
      <c r="B956" s="26" t="s">
        <v>6456</v>
      </c>
      <c r="C956" s="7" t="str">
        <f t="shared" si="1"/>
        <v>🔊</v>
      </c>
      <c r="D956" s="8" t="s">
        <v>6457</v>
      </c>
      <c r="E956" s="6" t="s">
        <v>27</v>
      </c>
      <c r="F956" s="12" t="str">
        <f>IFERROR(__xludf.DUMMYFUNCTION("GOOGLETRANSLATE(B956,""zh_cn"",""vi"")"),"thực vật")</f>
        <v>thực vật</v>
      </c>
      <c r="G956" s="20" t="s">
        <v>6458</v>
      </c>
      <c r="I956" s="11" t="b">
        <f t="shared" si="5"/>
        <v>0</v>
      </c>
      <c r="J956" s="24"/>
      <c r="K956" s="11" t="b">
        <f t="shared" si="6"/>
        <v>0</v>
      </c>
    </row>
    <row r="957" ht="22.5" customHeight="1">
      <c r="A957" s="12">
        <f t="shared" si="4"/>
        <v>1955</v>
      </c>
      <c r="B957" s="26" t="s">
        <v>6459</v>
      </c>
      <c r="C957" s="7" t="str">
        <f t="shared" si="1"/>
        <v>🔊</v>
      </c>
      <c r="D957" s="8" t="s">
        <v>6460</v>
      </c>
      <c r="E957" s="6" t="s">
        <v>27</v>
      </c>
      <c r="F957" s="12" t="str">
        <f>IFERROR(__xludf.DUMMYFUNCTION("GOOGLETRANSLATE(B957,""zh_cn"",""vi"")"),"Nghề nghiệp")</f>
        <v>Nghề nghiệp</v>
      </c>
      <c r="G957" s="20" t="s">
        <v>6461</v>
      </c>
      <c r="I957" s="11" t="b">
        <f t="shared" si="5"/>
        <v>0</v>
      </c>
      <c r="J957" s="24"/>
      <c r="K957" s="11" t="b">
        <f t="shared" si="6"/>
        <v>0</v>
      </c>
    </row>
    <row r="958" ht="22.5" customHeight="1">
      <c r="A958" s="12">
        <f t="shared" si="4"/>
        <v>1956</v>
      </c>
      <c r="B958" s="26" t="s">
        <v>6462</v>
      </c>
      <c r="C958" s="7" t="str">
        <f t="shared" si="1"/>
        <v>🔊</v>
      </c>
      <c r="D958" s="8" t="s">
        <v>6463</v>
      </c>
      <c r="E958" s="6" t="s">
        <v>27</v>
      </c>
      <c r="F958" s="5" t="s">
        <v>6464</v>
      </c>
      <c r="G958" s="20" t="s">
        <v>6465</v>
      </c>
      <c r="I958" s="11" t="b">
        <f t="shared" si="5"/>
        <v>0</v>
      </c>
      <c r="J958" s="24"/>
      <c r="K958" s="11" t="b">
        <f t="shared" si="6"/>
        <v>0</v>
      </c>
    </row>
    <row r="959" ht="22.5" customHeight="1">
      <c r="A959" s="12">
        <f t="shared" si="4"/>
        <v>1957</v>
      </c>
      <c r="B959" s="26" t="s">
        <v>3255</v>
      </c>
      <c r="C959" s="7" t="str">
        <f t="shared" si="1"/>
        <v>🔊</v>
      </c>
      <c r="D959" s="8" t="s">
        <v>6466</v>
      </c>
      <c r="E959" s="6" t="s">
        <v>13</v>
      </c>
      <c r="F959" s="12" t="str">
        <f>IFERROR(__xludf.DUMMYFUNCTION("GOOGLETRANSLATE(B959,""zh_cn"",""vi"")"),"loại")</f>
        <v>loại</v>
      </c>
      <c r="G959" s="20" t="s">
        <v>6467</v>
      </c>
      <c r="I959" s="11" t="b">
        <f t="shared" si="5"/>
        <v>0</v>
      </c>
      <c r="J959" s="24"/>
      <c r="K959" s="11" t="b">
        <f t="shared" si="6"/>
        <v>0</v>
      </c>
    </row>
    <row r="960" ht="22.5" customHeight="1">
      <c r="A960" s="12">
        <f t="shared" si="4"/>
        <v>1958</v>
      </c>
      <c r="B960" s="26" t="s">
        <v>3606</v>
      </c>
      <c r="C960" s="7" t="str">
        <f t="shared" si="1"/>
        <v>🔊</v>
      </c>
      <c r="D960" s="8" t="s">
        <v>6466</v>
      </c>
      <c r="E960" s="6" t="s">
        <v>3430</v>
      </c>
      <c r="F960" s="12" t="str">
        <f>IFERROR(__xludf.DUMMYFUNCTION("GOOGLETRANSLATE(B960,""zh_cn"",""vi"")"),"Nặng")</f>
        <v>Nặng</v>
      </c>
      <c r="G960" s="20" t="s">
        <v>6468</v>
      </c>
      <c r="I960" s="11" t="b">
        <f t="shared" si="5"/>
        <v>0</v>
      </c>
      <c r="J960" s="24"/>
      <c r="K960" s="11" t="b">
        <f t="shared" si="6"/>
        <v>0</v>
      </c>
    </row>
    <row r="961" ht="22.5" customHeight="1">
      <c r="A961" s="12">
        <f t="shared" si="4"/>
        <v>1959</v>
      </c>
      <c r="B961" s="26" t="s">
        <v>6469</v>
      </c>
      <c r="C961" s="7" t="str">
        <f t="shared" si="1"/>
        <v>🔊</v>
      </c>
      <c r="D961" s="8" t="s">
        <v>6470</v>
      </c>
      <c r="E961" s="6" t="s">
        <v>27</v>
      </c>
      <c r="F961" s="12" t="str">
        <f>IFERROR(__xludf.DUMMYFUNCTION("GOOGLETRANSLATE(B961,""zh_cn"",""vi"")"),"Đồ ăn Trung Quốc")</f>
        <v>Đồ ăn Trung Quốc</v>
      </c>
      <c r="G961" s="20" t="s">
        <v>6471</v>
      </c>
      <c r="I961" s="11" t="b">
        <f t="shared" si="5"/>
        <v>0</v>
      </c>
      <c r="J961" s="24"/>
      <c r="K961" s="11" t="b">
        <f t="shared" si="6"/>
        <v>0</v>
      </c>
    </row>
    <row r="962" ht="22.5" customHeight="1">
      <c r="A962" s="12">
        <f t="shared" si="4"/>
        <v>1960</v>
      </c>
      <c r="B962" s="26" t="s">
        <v>6472</v>
      </c>
      <c r="C962" s="7" t="str">
        <f t="shared" si="1"/>
        <v>🔊</v>
      </c>
      <c r="D962" s="8" t="s">
        <v>6473</v>
      </c>
      <c r="E962" s="6" t="s">
        <v>3089</v>
      </c>
      <c r="F962" s="12" t="str">
        <f>IFERROR(__xludf.DUMMYFUNCTION("GOOGLETRANSLATE(B962,""zh_cn"",""vi"")"),"Điểm chính")</f>
        <v>Điểm chính</v>
      </c>
      <c r="G962" s="20" t="s">
        <v>6474</v>
      </c>
      <c r="I962" s="11" t="b">
        <f t="shared" si="5"/>
        <v>0</v>
      </c>
      <c r="J962" s="24"/>
      <c r="K962" s="11" t="b">
        <f t="shared" si="6"/>
        <v>0</v>
      </c>
    </row>
    <row r="963" ht="22.5" customHeight="1">
      <c r="A963" s="12">
        <f t="shared" si="4"/>
        <v>1961</v>
      </c>
      <c r="B963" s="26" t="s">
        <v>6475</v>
      </c>
      <c r="C963" s="7" t="str">
        <f t="shared" si="1"/>
        <v>🔊</v>
      </c>
      <c r="D963" s="8" t="s">
        <v>6476</v>
      </c>
      <c r="E963" s="6" t="s">
        <v>27</v>
      </c>
      <c r="F963" s="12" t="str">
        <f>IFERROR(__xludf.DUMMYFUNCTION("GOOGLETRANSLATE(B963,""zh_cn"",""vi"")"),"trung niên")</f>
        <v>trung niên</v>
      </c>
      <c r="G963" s="20" t="s">
        <v>6477</v>
      </c>
      <c r="I963" s="11" t="b">
        <f t="shared" si="5"/>
        <v>0</v>
      </c>
      <c r="J963" s="24"/>
      <c r="K963" s="11" t="b">
        <f t="shared" si="6"/>
        <v>0</v>
      </c>
    </row>
    <row r="964" ht="22.5" customHeight="1">
      <c r="A964" s="12">
        <f t="shared" si="4"/>
        <v>1962</v>
      </c>
      <c r="B964" s="26" t="s">
        <v>6478</v>
      </c>
      <c r="C964" s="7" t="str">
        <f t="shared" si="1"/>
        <v>🔊</v>
      </c>
      <c r="D964" s="8" t="s">
        <v>6479</v>
      </c>
      <c r="E964" s="6" t="s">
        <v>13</v>
      </c>
      <c r="F964" s="12" t="str">
        <f>IFERROR(__xludf.DUMMYFUNCTION("GOOGLETRANSLATE(B964,""zh_cn"",""vi"")"),"Hãy chú ý đến")</f>
        <v>Hãy chú ý đến</v>
      </c>
      <c r="G964" s="20" t="s">
        <v>6480</v>
      </c>
      <c r="I964" s="11" t="b">
        <f t="shared" si="5"/>
        <v>0</v>
      </c>
      <c r="J964" s="24"/>
      <c r="K964" s="11" t="b">
        <f t="shared" si="6"/>
        <v>0</v>
      </c>
    </row>
    <row r="965" ht="22.5" customHeight="1">
      <c r="A965" s="12">
        <f t="shared" si="4"/>
        <v>1963</v>
      </c>
      <c r="B965" s="26" t="s">
        <v>6481</v>
      </c>
      <c r="C965" s="7" t="str">
        <f t="shared" si="1"/>
        <v>🔊</v>
      </c>
      <c r="D965" s="8" t="s">
        <v>6482</v>
      </c>
      <c r="E965" s="6" t="s">
        <v>27</v>
      </c>
      <c r="F965" s="12" t="str">
        <f>IFERROR(__xludf.DUMMYFUNCTION("GOOGLETRANSLATE(B965,""zh_cn"",""vi"")"),"xung quanh")</f>
        <v>xung quanh</v>
      </c>
      <c r="G965" s="20" t="s">
        <v>6483</v>
      </c>
      <c r="I965" s="11" t="b">
        <f t="shared" si="5"/>
        <v>0</v>
      </c>
      <c r="J965" s="24"/>
      <c r="K965" s="11" t="b">
        <f t="shared" si="6"/>
        <v>0</v>
      </c>
    </row>
    <row r="966" ht="22.5" customHeight="1">
      <c r="A966" s="12">
        <f t="shared" si="4"/>
        <v>1964</v>
      </c>
      <c r="B966" s="26" t="s">
        <v>6484</v>
      </c>
      <c r="C966" s="7" t="str">
        <f t="shared" si="1"/>
        <v>🔊</v>
      </c>
      <c r="D966" s="8" t="s">
        <v>999</v>
      </c>
      <c r="E966" s="6" t="s">
        <v>13</v>
      </c>
      <c r="F966" s="5" t="s">
        <v>6485</v>
      </c>
      <c r="G966" s="20" t="s">
        <v>6486</v>
      </c>
      <c r="I966" s="11" t="b">
        <f t="shared" si="5"/>
        <v>0</v>
      </c>
      <c r="J966" s="24"/>
      <c r="K966" s="11" t="b">
        <f t="shared" si="6"/>
        <v>0</v>
      </c>
    </row>
    <row r="967" ht="22.5" customHeight="1">
      <c r="A967" s="12">
        <f t="shared" si="4"/>
        <v>1965</v>
      </c>
      <c r="B967" s="26" t="s">
        <v>6487</v>
      </c>
      <c r="C967" s="7" t="str">
        <f t="shared" si="1"/>
        <v>🔊</v>
      </c>
      <c r="D967" s="8" t="s">
        <v>6488</v>
      </c>
      <c r="E967" s="6" t="s">
        <v>13</v>
      </c>
      <c r="F967" s="12" t="str">
        <f>IFERROR(__xludf.DUMMYFUNCTION("GOOGLETRANSLATE(B967,""zh_cn"",""vi"")"),"kiếm")</f>
        <v>kiếm</v>
      </c>
      <c r="G967" s="20" t="s">
        <v>6489</v>
      </c>
      <c r="I967" s="11" t="b">
        <f t="shared" si="5"/>
        <v>0</v>
      </c>
      <c r="J967" s="24"/>
      <c r="K967" s="11" t="b">
        <f t="shared" si="6"/>
        <v>0</v>
      </c>
    </row>
    <row r="968" ht="22.5" customHeight="1">
      <c r="A968" s="12">
        <f t="shared" si="4"/>
        <v>1966</v>
      </c>
      <c r="B968" s="26" t="s">
        <v>1665</v>
      </c>
      <c r="C968" s="7" t="str">
        <f t="shared" si="1"/>
        <v>🔊</v>
      </c>
      <c r="D968" s="8" t="s">
        <v>6490</v>
      </c>
      <c r="E968" s="6" t="s">
        <v>13</v>
      </c>
      <c r="F968" s="5" t="s">
        <v>6491</v>
      </c>
      <c r="G968" s="20" t="s">
        <v>6492</v>
      </c>
      <c r="I968" s="11" t="b">
        <f t="shared" si="5"/>
        <v>0</v>
      </c>
      <c r="J968" s="24"/>
      <c r="K968" s="11" t="b">
        <f t="shared" si="6"/>
        <v>0</v>
      </c>
    </row>
    <row r="969" ht="22.5" customHeight="1">
      <c r="A969" s="12">
        <f t="shared" si="4"/>
        <v>1967</v>
      </c>
      <c r="B969" s="26" t="s">
        <v>6493</v>
      </c>
      <c r="C969" s="7" t="str">
        <f t="shared" si="1"/>
        <v>🔊</v>
      </c>
      <c r="D969" s="8" t="s">
        <v>6494</v>
      </c>
      <c r="E969" s="6" t="s">
        <v>13</v>
      </c>
      <c r="F969" s="5" t="s">
        <v>6495</v>
      </c>
      <c r="G969" s="20" t="s">
        <v>6496</v>
      </c>
      <c r="I969" s="11" t="b">
        <f t="shared" si="5"/>
        <v>0</v>
      </c>
      <c r="J969" s="24"/>
      <c r="K969" s="11" t="b">
        <f t="shared" si="6"/>
        <v>0</v>
      </c>
    </row>
    <row r="970" ht="22.5" customHeight="1">
      <c r="A970" s="12">
        <f t="shared" si="4"/>
        <v>1968</v>
      </c>
      <c r="B970" s="26" t="s">
        <v>6497</v>
      </c>
      <c r="C970" s="7" t="str">
        <f t="shared" si="1"/>
        <v>🔊</v>
      </c>
      <c r="D970" s="8" t="s">
        <v>6498</v>
      </c>
      <c r="E970" s="6" t="s">
        <v>13</v>
      </c>
      <c r="F970" s="5" t="s">
        <v>6499</v>
      </c>
      <c r="G970" s="20" t="s">
        <v>6500</v>
      </c>
      <c r="I970" s="11" t="b">
        <f t="shared" si="5"/>
        <v>0</v>
      </c>
      <c r="J970" s="24"/>
      <c r="K970" s="11" t="b">
        <f t="shared" si="6"/>
        <v>0</v>
      </c>
    </row>
    <row r="971" ht="22.5" customHeight="1">
      <c r="A971" s="12">
        <f t="shared" si="4"/>
        <v>1969</v>
      </c>
      <c r="B971" s="26" t="s">
        <v>6501</v>
      </c>
      <c r="C971" s="7" t="str">
        <f t="shared" si="1"/>
        <v>🔊</v>
      </c>
      <c r="D971" s="8" t="s">
        <v>6502</v>
      </c>
      <c r="E971" s="6" t="s">
        <v>13</v>
      </c>
      <c r="F971" s="12" t="str">
        <f>IFERROR(__xludf.DUMMYFUNCTION("GOOGLETRANSLATE(B971,""zh_cn"",""vi"")"),"Bước ngoặt")</f>
        <v>Bước ngoặt</v>
      </c>
      <c r="G971" s="20" t="s">
        <v>6503</v>
      </c>
      <c r="I971" s="11" t="b">
        <f t="shared" si="5"/>
        <v>0</v>
      </c>
      <c r="J971" s="24"/>
      <c r="K971" s="11" t="b">
        <f t="shared" si="6"/>
        <v>0</v>
      </c>
    </row>
    <row r="972" ht="22.5" customHeight="1">
      <c r="A972" s="12">
        <f t="shared" si="4"/>
        <v>1970</v>
      </c>
      <c r="B972" s="26" t="s">
        <v>6504</v>
      </c>
      <c r="C972" s="7" t="str">
        <f t="shared" si="1"/>
        <v>🔊</v>
      </c>
      <c r="D972" s="8" t="s">
        <v>6505</v>
      </c>
      <c r="E972" s="6" t="s">
        <v>5100</v>
      </c>
      <c r="F972" s="5" t="s">
        <v>6506</v>
      </c>
      <c r="G972" s="20" t="s">
        <v>6507</v>
      </c>
      <c r="I972" s="11" t="b">
        <f t="shared" si="5"/>
        <v>0</v>
      </c>
      <c r="J972" s="24"/>
      <c r="K972" s="11" t="b">
        <f t="shared" si="6"/>
        <v>0</v>
      </c>
    </row>
    <row r="973" ht="22.5" customHeight="1">
      <c r="A973" s="12">
        <f t="shared" si="4"/>
        <v>1971</v>
      </c>
      <c r="B973" s="26" t="s">
        <v>6508</v>
      </c>
      <c r="C973" s="7" t="str">
        <f t="shared" si="1"/>
        <v>🔊</v>
      </c>
      <c r="D973" s="8" t="s">
        <v>6509</v>
      </c>
      <c r="E973" s="6" t="s">
        <v>3430</v>
      </c>
      <c r="F973" s="5" t="s">
        <v>6510</v>
      </c>
      <c r="G973" s="20" t="s">
        <v>6511</v>
      </c>
      <c r="I973" s="11" t="b">
        <f t="shared" si="5"/>
        <v>0</v>
      </c>
      <c r="J973" s="24"/>
      <c r="K973" s="11" t="b">
        <f t="shared" si="6"/>
        <v>0</v>
      </c>
    </row>
    <row r="974" ht="22.5" customHeight="1">
      <c r="A974" s="12">
        <f t="shared" si="4"/>
        <v>1972</v>
      </c>
      <c r="B974" s="26" t="s">
        <v>6512</v>
      </c>
      <c r="C974" s="7" t="str">
        <f t="shared" si="1"/>
        <v>🔊</v>
      </c>
      <c r="D974" s="8" t="s">
        <v>6513</v>
      </c>
      <c r="E974" s="6" t="s">
        <v>13</v>
      </c>
      <c r="F974" s="12" t="str">
        <f>IFERROR(__xludf.DUMMYFUNCTION("GOOGLETRANSLATE(B974,""zh_cn"",""vi"")"),"chúc mừng")</f>
        <v>chúc mừng</v>
      </c>
      <c r="G974" s="20" t="s">
        <v>6514</v>
      </c>
      <c r="I974" s="11" t="b">
        <f t="shared" si="5"/>
        <v>0</v>
      </c>
      <c r="J974" s="24"/>
      <c r="K974" s="11" t="b">
        <f t="shared" si="6"/>
        <v>0</v>
      </c>
    </row>
    <row r="975" ht="22.5" customHeight="1">
      <c r="A975" s="12">
        <f t="shared" si="4"/>
        <v>1973</v>
      </c>
      <c r="B975" s="26" t="s">
        <v>6515</v>
      </c>
      <c r="C975" s="7" t="str">
        <f t="shared" si="1"/>
        <v>🔊</v>
      </c>
      <c r="D975" s="8" t="s">
        <v>6516</v>
      </c>
      <c r="E975" s="6" t="s">
        <v>99</v>
      </c>
      <c r="F975" s="12" t="str">
        <f>IFERROR(__xludf.DUMMYFUNCTION("GOOGLETRANSLATE(B975,""zh_cn"",""vi"")"),"Nổi tiếng")</f>
        <v>Nổi tiếng</v>
      </c>
      <c r="G975" s="20" t="s">
        <v>6517</v>
      </c>
      <c r="I975" s="11" t="b">
        <f t="shared" si="5"/>
        <v>0</v>
      </c>
      <c r="J975" s="24"/>
      <c r="K975" s="11" t="b">
        <f t="shared" si="6"/>
        <v>0</v>
      </c>
    </row>
    <row r="976" ht="22.5" customHeight="1">
      <c r="A976" s="12">
        <f t="shared" si="4"/>
        <v>1974</v>
      </c>
      <c r="B976" s="26" t="s">
        <v>6518</v>
      </c>
      <c r="C976" s="7" t="str">
        <f t="shared" si="1"/>
        <v>🔊</v>
      </c>
      <c r="D976" s="8" t="s">
        <v>6519</v>
      </c>
      <c r="E976" s="6" t="s">
        <v>4761</v>
      </c>
      <c r="F976" s="5" t="s">
        <v>6520</v>
      </c>
      <c r="G976" s="20" t="s">
        <v>6521</v>
      </c>
      <c r="I976" s="11" t="b">
        <f t="shared" si="5"/>
        <v>0</v>
      </c>
      <c r="J976" s="24"/>
      <c r="K976" s="11" t="b">
        <f t="shared" si="6"/>
        <v>0</v>
      </c>
    </row>
    <row r="977" ht="22.5" customHeight="1">
      <c r="A977" s="12">
        <f t="shared" si="4"/>
        <v>1975</v>
      </c>
      <c r="B977" s="26" t="s">
        <v>6522</v>
      </c>
      <c r="C977" s="7" t="str">
        <f t="shared" si="1"/>
        <v>🔊</v>
      </c>
      <c r="D977" s="8" t="s">
        <v>6523</v>
      </c>
      <c r="E977" s="6" t="s">
        <v>99</v>
      </c>
      <c r="F977" s="12" t="str">
        <f>IFERROR(__xludf.DUMMYFUNCTION("GOOGLETRANSLATE(B977,""zh_cn"",""vi"")"),"chính xác")</f>
        <v>chính xác</v>
      </c>
      <c r="G977" s="20" t="s">
        <v>6524</v>
      </c>
      <c r="I977" s="11" t="b">
        <f t="shared" si="5"/>
        <v>0</v>
      </c>
      <c r="J977" s="24"/>
      <c r="K977" s="11" t="b">
        <f t="shared" si="6"/>
        <v>0</v>
      </c>
    </row>
    <row r="978" ht="22.5" customHeight="1">
      <c r="A978" s="12">
        <f t="shared" si="4"/>
        <v>1976</v>
      </c>
      <c r="B978" s="26" t="s">
        <v>6525</v>
      </c>
      <c r="C978" s="7" t="str">
        <f t="shared" si="1"/>
        <v>🔊</v>
      </c>
      <c r="D978" s="8" t="s">
        <v>6526</v>
      </c>
      <c r="E978" s="6" t="s">
        <v>99</v>
      </c>
      <c r="F978" s="12" t="str">
        <f>IFERROR(__xludf.DUMMYFUNCTION("GOOGLETRANSLATE(B978,""zh_cn"",""vi"")"),"đúng giờ")</f>
        <v>đúng giờ</v>
      </c>
      <c r="G978" s="20" t="s">
        <v>6527</v>
      </c>
      <c r="I978" s="11" t="b">
        <f t="shared" si="5"/>
        <v>0</v>
      </c>
      <c r="J978" s="24"/>
      <c r="K978" s="11" t="b">
        <f t="shared" si="6"/>
        <v>0</v>
      </c>
    </row>
    <row r="979" ht="22.5" customHeight="1">
      <c r="A979" s="12">
        <f t="shared" si="4"/>
        <v>1977</v>
      </c>
      <c r="B979" s="26" t="s">
        <v>6528</v>
      </c>
      <c r="C979" s="7" t="str">
        <f t="shared" si="1"/>
        <v>🔊</v>
      </c>
      <c r="D979" s="8" t="s">
        <v>6529</v>
      </c>
      <c r="E979" s="6" t="s">
        <v>27</v>
      </c>
      <c r="F979" s="12" t="str">
        <f>IFERROR(__xludf.DUMMYFUNCTION("GOOGLETRANSLATE(B979,""zh_cn"",""vi"")"),"ý tưởng")</f>
        <v>ý tưởng</v>
      </c>
      <c r="G979" s="20" t="s">
        <v>6530</v>
      </c>
      <c r="I979" s="11" t="b">
        <f t="shared" si="5"/>
        <v>0</v>
      </c>
      <c r="J979" s="24"/>
      <c r="K979" s="11" t="b">
        <f t="shared" si="6"/>
        <v>0</v>
      </c>
    </row>
    <row r="980" ht="22.5" customHeight="1">
      <c r="A980" s="12">
        <f t="shared" si="4"/>
        <v>1978</v>
      </c>
      <c r="B980" s="26" t="s">
        <v>6531</v>
      </c>
      <c r="C980" s="7" t="str">
        <f t="shared" si="1"/>
        <v>🔊</v>
      </c>
      <c r="D980" s="8" t="s">
        <v>1006</v>
      </c>
      <c r="E980" s="6" t="s">
        <v>1766</v>
      </c>
      <c r="F980" s="12" t="str">
        <f>IFERROR(__xludf.DUMMYFUNCTION("GOOGLETRANSLATE(B980,""zh_cn"",""vi"")"),"từ")</f>
        <v>từ</v>
      </c>
      <c r="G980" s="20" t="s">
        <v>6532</v>
      </c>
      <c r="I980" s="11" t="b">
        <f t="shared" si="5"/>
        <v>0</v>
      </c>
      <c r="J980" s="24"/>
      <c r="K980" s="11" t="b">
        <f t="shared" si="6"/>
        <v>0</v>
      </c>
    </row>
    <row r="981" ht="22.5" customHeight="1">
      <c r="A981" s="12">
        <f t="shared" si="4"/>
        <v>1979</v>
      </c>
      <c r="B981" s="26" t="s">
        <v>6533</v>
      </c>
      <c r="C981" s="7" t="str">
        <f t="shared" si="1"/>
        <v>🔊</v>
      </c>
      <c r="D981" s="8" t="s">
        <v>6534</v>
      </c>
      <c r="E981" s="6" t="s">
        <v>27</v>
      </c>
      <c r="F981" s="12" t="str">
        <f>IFERROR(__xludf.DUMMYFUNCTION("GOOGLETRANSLATE(B981,""zh_cn"",""vi"")"),"vật liệu")</f>
        <v>vật liệu</v>
      </c>
      <c r="G981" s="20" t="s">
        <v>6535</v>
      </c>
      <c r="I981" s="11" t="b">
        <f t="shared" si="5"/>
        <v>0</v>
      </c>
      <c r="J981" s="24"/>
      <c r="K981" s="11" t="b">
        <f t="shared" si="6"/>
        <v>0</v>
      </c>
    </row>
    <row r="982" ht="22.5" customHeight="1">
      <c r="A982" s="12">
        <f t="shared" si="4"/>
        <v>1980</v>
      </c>
      <c r="B982" s="26" t="s">
        <v>6536</v>
      </c>
      <c r="C982" s="7" t="str">
        <f t="shared" si="1"/>
        <v>🔊</v>
      </c>
      <c r="D982" s="8" t="s">
        <v>6537</v>
      </c>
      <c r="E982" s="6" t="s">
        <v>6264</v>
      </c>
      <c r="F982" s="5" t="s">
        <v>6538</v>
      </c>
      <c r="G982" s="20" t="s">
        <v>6539</v>
      </c>
      <c r="I982" s="11" t="b">
        <f t="shared" si="5"/>
        <v>0</v>
      </c>
      <c r="J982" s="24"/>
      <c r="K982" s="11" t="b">
        <f t="shared" si="6"/>
        <v>0</v>
      </c>
    </row>
    <row r="983" ht="22.5" customHeight="1">
      <c r="A983" s="12">
        <f t="shared" si="4"/>
        <v>1981</v>
      </c>
      <c r="B983" s="26" t="s">
        <v>6540</v>
      </c>
      <c r="C983" s="7" t="str">
        <f t="shared" si="1"/>
        <v>🔊</v>
      </c>
      <c r="D983" s="8" t="s">
        <v>6541</v>
      </c>
      <c r="E983" s="6" t="s">
        <v>13</v>
      </c>
      <c r="F983" s="12" t="str">
        <f>IFERROR(__xludf.DUMMYFUNCTION("GOOGLETRANSLATE(B983,""zh_cn"",""vi"")"),"Tự học")</f>
        <v>Tự học</v>
      </c>
      <c r="G983" s="20" t="s">
        <v>6542</v>
      </c>
      <c r="I983" s="11" t="b">
        <f t="shared" si="5"/>
        <v>0</v>
      </c>
      <c r="J983" s="24"/>
      <c r="K983" s="11" t="b">
        <f t="shared" si="6"/>
        <v>0</v>
      </c>
    </row>
    <row r="984" ht="22.5" customHeight="1">
      <c r="A984" s="12">
        <f t="shared" si="4"/>
        <v>1982</v>
      </c>
      <c r="B984" s="26" t="s">
        <v>6543</v>
      </c>
      <c r="C984" s="7" t="str">
        <f t="shared" si="1"/>
        <v>🔊</v>
      </c>
      <c r="D984" s="8" t="s">
        <v>6544</v>
      </c>
      <c r="E984" s="6" t="s">
        <v>99</v>
      </c>
      <c r="F984" s="5" t="s">
        <v>6545</v>
      </c>
      <c r="G984" s="20" t="s">
        <v>6546</v>
      </c>
      <c r="I984" s="11" t="b">
        <f t="shared" si="5"/>
        <v>0</v>
      </c>
      <c r="J984" s="24"/>
      <c r="K984" s="11" t="b">
        <f t="shared" si="6"/>
        <v>0</v>
      </c>
    </row>
    <row r="985" ht="22.5" customHeight="1">
      <c r="A985" s="12">
        <f t="shared" si="4"/>
        <v>1983</v>
      </c>
      <c r="B985" s="26" t="s">
        <v>6547</v>
      </c>
      <c r="C985" s="7" t="str">
        <f t="shared" si="1"/>
        <v>🔊</v>
      </c>
      <c r="D985" s="8" t="s">
        <v>6548</v>
      </c>
      <c r="E985" s="6" t="s">
        <v>6549</v>
      </c>
      <c r="F985" s="5" t="s">
        <v>6550</v>
      </c>
      <c r="G985" s="20" t="s">
        <v>6551</v>
      </c>
      <c r="I985" s="11" t="b">
        <f t="shared" si="5"/>
        <v>0</v>
      </c>
      <c r="J985" s="24"/>
      <c r="K985" s="11" t="b">
        <f t="shared" si="6"/>
        <v>0</v>
      </c>
    </row>
    <row r="986" ht="22.5" customHeight="1">
      <c r="A986" s="12">
        <f t="shared" si="4"/>
        <v>1984</v>
      </c>
      <c r="B986" s="26" t="s">
        <v>6552</v>
      </c>
      <c r="C986" s="7" t="str">
        <f t="shared" si="1"/>
        <v>🔊</v>
      </c>
      <c r="D986" s="8" t="s">
        <v>6553</v>
      </c>
      <c r="E986" s="6" t="s">
        <v>13</v>
      </c>
      <c r="F986" s="12" t="str">
        <f>IFERROR(__xludf.DUMMYFUNCTION("GOOGLETRANSLATE(B986,""zh_cn"",""vi"")"),"Tự học")</f>
        <v>Tự học</v>
      </c>
      <c r="G986" s="20" t="s">
        <v>6554</v>
      </c>
      <c r="I986" s="11" t="b">
        <f t="shared" si="5"/>
        <v>0</v>
      </c>
      <c r="J986" s="24"/>
      <c r="K986" s="11" t="b">
        <f t="shared" si="6"/>
        <v>0</v>
      </c>
    </row>
    <row r="987" ht="22.5" customHeight="1">
      <c r="A987" s="12">
        <f t="shared" si="4"/>
        <v>1985</v>
      </c>
      <c r="B987" s="26" t="s">
        <v>6555</v>
      </c>
      <c r="C987" s="7" t="str">
        <f t="shared" si="1"/>
        <v>🔊</v>
      </c>
      <c r="D987" s="8" t="s">
        <v>6556</v>
      </c>
      <c r="E987" s="6" t="s">
        <v>232</v>
      </c>
      <c r="F987" s="12" t="str">
        <f>IFERROR(__xludf.DUMMYFUNCTION("GOOGLETRANSLATE(B987,""zh_cn"",""vi"")"),"Tóm tắt")</f>
        <v>Tóm tắt</v>
      </c>
      <c r="G987" s="20" t="s">
        <v>6557</v>
      </c>
      <c r="I987" s="11" t="b">
        <f t="shared" si="5"/>
        <v>0</v>
      </c>
      <c r="J987" s="24"/>
      <c r="K987" s="11" t="b">
        <f t="shared" si="6"/>
        <v>0</v>
      </c>
    </row>
    <row r="988" ht="22.5" customHeight="1">
      <c r="A988" s="12">
        <f t="shared" si="4"/>
        <v>1986</v>
      </c>
      <c r="B988" s="26" t="s">
        <v>6558</v>
      </c>
      <c r="C988" s="7" t="str">
        <f t="shared" si="1"/>
        <v>🔊</v>
      </c>
      <c r="D988" s="8" t="s">
        <v>6559</v>
      </c>
      <c r="E988" s="6" t="s">
        <v>6560</v>
      </c>
      <c r="F988" s="5" t="s">
        <v>6561</v>
      </c>
      <c r="G988" s="20" t="s">
        <v>6562</v>
      </c>
      <c r="I988" s="11" t="b">
        <f t="shared" si="5"/>
        <v>0</v>
      </c>
      <c r="J988" s="24"/>
      <c r="K988" s="11" t="b">
        <f t="shared" si="6"/>
        <v>0</v>
      </c>
    </row>
    <row r="989" ht="22.5" customHeight="1">
      <c r="A989" s="12">
        <f t="shared" si="4"/>
        <v>1987</v>
      </c>
      <c r="B989" s="26" t="s">
        <v>6563</v>
      </c>
      <c r="C989" s="7" t="str">
        <f t="shared" si="1"/>
        <v>🔊</v>
      </c>
      <c r="D989" s="8" t="s">
        <v>6564</v>
      </c>
      <c r="E989" s="6" t="s">
        <v>13</v>
      </c>
      <c r="F989" s="12" t="str">
        <f>IFERROR(__xludf.DUMMYFUNCTION("GOOGLETRANSLATE(B989,""zh_cn"",""vi"")"),"thuê")</f>
        <v>thuê</v>
      </c>
      <c r="G989" s="20" t="s">
        <v>6565</v>
      </c>
      <c r="I989" s="11" t="b">
        <f t="shared" si="5"/>
        <v>0</v>
      </c>
      <c r="J989" s="24"/>
      <c r="K989" s="11" t="b">
        <f t="shared" si="6"/>
        <v>0</v>
      </c>
    </row>
    <row r="990" ht="22.5" customHeight="1">
      <c r="A990" s="12">
        <f t="shared" si="4"/>
        <v>1988</v>
      </c>
      <c r="B990" s="26" t="s">
        <v>6566</v>
      </c>
      <c r="C990" s="7" t="str">
        <f t="shared" si="1"/>
        <v>🔊</v>
      </c>
      <c r="D990" s="8" t="s">
        <v>6567</v>
      </c>
      <c r="E990" s="6" t="s">
        <v>27</v>
      </c>
      <c r="F990" s="12" t="str">
        <f>IFERROR(__xludf.DUMMYFUNCTION("GOOGLETRANSLATE(B990,""zh_cn"",""vi"")"),"cuối cùng")</f>
        <v>cuối cùng</v>
      </c>
      <c r="G990" s="20" t="s">
        <v>6568</v>
      </c>
      <c r="I990" s="11" t="b">
        <f t="shared" si="5"/>
        <v>0</v>
      </c>
      <c r="J990" s="24"/>
      <c r="K990" s="11" t="b">
        <f t="shared" si="6"/>
        <v>0</v>
      </c>
    </row>
    <row r="991" ht="22.5" customHeight="1">
      <c r="A991" s="12">
        <f t="shared" si="4"/>
        <v>1989</v>
      </c>
      <c r="B991" s="26" t="s">
        <v>6569</v>
      </c>
      <c r="C991" s="7" t="str">
        <f t="shared" si="1"/>
        <v>🔊</v>
      </c>
      <c r="D991" s="8" t="s">
        <v>6570</v>
      </c>
      <c r="E991" s="6" t="s">
        <v>368</v>
      </c>
      <c r="F991" s="5" t="s">
        <v>6571</v>
      </c>
      <c r="G991" s="20" t="s">
        <v>6572</v>
      </c>
      <c r="I991" s="11" t="b">
        <f t="shared" si="5"/>
        <v>0</v>
      </c>
      <c r="J991" s="24"/>
      <c r="K991" s="11" t="b">
        <f t="shared" si="6"/>
        <v>0</v>
      </c>
    </row>
    <row r="992" ht="22.5" customHeight="1">
      <c r="A992" s="12">
        <f t="shared" si="4"/>
        <v>1990</v>
      </c>
      <c r="B992" s="26" t="s">
        <v>6573</v>
      </c>
      <c r="C992" s="7" t="str">
        <f t="shared" si="1"/>
        <v>🔊</v>
      </c>
      <c r="D992" s="8" t="s">
        <v>1010</v>
      </c>
      <c r="E992" s="6" t="s">
        <v>259</v>
      </c>
      <c r="F992" s="12" t="str">
        <f>IFERROR(__xludf.DUMMYFUNCTION("GOOGLETRANSLATE(B992,""zh_cn"",""vi"")"),"ghế")</f>
        <v>ghế</v>
      </c>
      <c r="G992" s="20" t="s">
        <v>6574</v>
      </c>
      <c r="I992" s="11" t="b">
        <f t="shared" si="5"/>
        <v>0</v>
      </c>
      <c r="J992" s="24"/>
      <c r="K992" s="11" t="b">
        <f t="shared" si="6"/>
        <v>0</v>
      </c>
    </row>
    <row r="993" ht="22.5" customHeight="1">
      <c r="A993" s="12">
        <f t="shared" si="4"/>
        <v>1991</v>
      </c>
      <c r="B993" s="26" t="s">
        <v>6575</v>
      </c>
      <c r="C993" s="7" t="str">
        <f t="shared" si="1"/>
        <v>🔊</v>
      </c>
      <c r="D993" s="8" t="s">
        <v>6576</v>
      </c>
      <c r="E993" s="6" t="s">
        <v>27</v>
      </c>
      <c r="F993" s="5" t="s">
        <v>6577</v>
      </c>
      <c r="G993" s="20" t="s">
        <v>6578</v>
      </c>
      <c r="I993" s="11" t="b">
        <f t="shared" si="5"/>
        <v>0</v>
      </c>
      <c r="J993" s="24"/>
      <c r="K993" s="11" t="b">
        <f t="shared" si="6"/>
        <v>0</v>
      </c>
    </row>
    <row r="994" ht="22.5" customHeight="1">
      <c r="A994" s="12">
        <f t="shared" si="4"/>
        <v>1992</v>
      </c>
      <c r="B994" s="26" t="s">
        <v>6579</v>
      </c>
      <c r="C994" s="7" t="str">
        <f t="shared" si="1"/>
        <v>🔊</v>
      </c>
      <c r="D994" s="8" t="s">
        <v>6580</v>
      </c>
      <c r="E994" s="6" t="s">
        <v>27</v>
      </c>
      <c r="F994" s="12" t="str">
        <f>IFERROR(__xludf.DUMMYFUNCTION("GOOGLETRANSLATE(B994,""zh_cn"",""vi"")"),"nhà văn")</f>
        <v>nhà văn</v>
      </c>
      <c r="G994" s="20" t="s">
        <v>6581</v>
      </c>
      <c r="I994" s="11" t="b">
        <f t="shared" si="5"/>
        <v>0</v>
      </c>
      <c r="J994" s="24"/>
      <c r="K994" s="11" t="b">
        <f t="shared" si="6"/>
        <v>0</v>
      </c>
    </row>
    <row r="995" ht="22.5" customHeight="1">
      <c r="A995" s="12">
        <f t="shared" si="4"/>
        <v>1993</v>
      </c>
      <c r="B995" s="26" t="s">
        <v>6582</v>
      </c>
      <c r="C995" s="7" t="str">
        <f t="shared" si="1"/>
        <v>🔊</v>
      </c>
      <c r="D995" s="8" t="s">
        <v>6583</v>
      </c>
      <c r="E995" s="6" t="s">
        <v>13</v>
      </c>
      <c r="F995" s="5" t="s">
        <v>6584</v>
      </c>
      <c r="G995" s="20" t="s">
        <v>6585</v>
      </c>
      <c r="I995" s="11" t="b">
        <f t="shared" si="5"/>
        <v>0</v>
      </c>
      <c r="J995" s="24"/>
      <c r="K995" s="11" t="b">
        <f t="shared" si="6"/>
        <v>0</v>
      </c>
    </row>
    <row r="996" ht="22.5" customHeight="1">
      <c r="A996" s="12">
        <f t="shared" si="4"/>
        <v>1994</v>
      </c>
      <c r="B996" s="26" t="s">
        <v>6586</v>
      </c>
      <c r="C996" s="7" t="str">
        <f t="shared" si="1"/>
        <v>🔊</v>
      </c>
      <c r="D996" s="8" t="s">
        <v>6587</v>
      </c>
      <c r="E996" s="6" t="s">
        <v>27</v>
      </c>
      <c r="F996" s="5" t="s">
        <v>6588</v>
      </c>
      <c r="G996" s="20" t="s">
        <v>6589</v>
      </c>
      <c r="I996" s="11" t="b">
        <f t="shared" si="5"/>
        <v>0</v>
      </c>
      <c r="J996" s="24"/>
      <c r="K996" s="11" t="b">
        <f t="shared" si="6"/>
        <v>0</v>
      </c>
    </row>
    <row r="997" ht="22.5" customHeight="1">
      <c r="A997" s="12">
        <f t="shared" si="4"/>
        <v>1995</v>
      </c>
      <c r="B997" s="26" t="s">
        <v>6590</v>
      </c>
      <c r="C997" s="7" t="str">
        <f t="shared" si="1"/>
        <v>🔊</v>
      </c>
      <c r="D997" s="8" t="s">
        <v>6591</v>
      </c>
      <c r="E997" s="6" t="s">
        <v>1054</v>
      </c>
      <c r="F997" s="5" t="s">
        <v>6592</v>
      </c>
      <c r="G997" s="20" t="s">
        <v>6593</v>
      </c>
      <c r="I997" s="11" t="b">
        <f t="shared" si="5"/>
        <v>0</v>
      </c>
      <c r="J997" s="24"/>
      <c r="K997" s="11" t="b">
        <f t="shared" si="6"/>
        <v>0</v>
      </c>
    </row>
    <row r="998" ht="22.5" customHeight="1">
      <c r="A998" s="12">
        <f t="shared" si="4"/>
        <v>1996</v>
      </c>
      <c r="B998" s="26" t="s">
        <v>6594</v>
      </c>
      <c r="C998" s="7" t="str">
        <f t="shared" si="1"/>
        <v>🔊</v>
      </c>
      <c r="D998" s="8" t="s">
        <v>6595</v>
      </c>
      <c r="E998" s="6" t="s">
        <v>27</v>
      </c>
      <c r="F998" s="12" t="str">
        <f>IFERROR(__xludf.DUMMYFUNCTION("GOOGLETRANSLATE(B998,""zh_cn"",""vi"")"),"ghế")</f>
        <v>ghế</v>
      </c>
      <c r="G998" s="20" t="s">
        <v>6596</v>
      </c>
      <c r="I998" s="11" t="b">
        <f t="shared" si="5"/>
        <v>0</v>
      </c>
      <c r="J998" s="24"/>
      <c r="K998" s="11" t="b">
        <f t="shared" si="6"/>
        <v>0</v>
      </c>
    </row>
    <row r="999" ht="22.5" customHeight="1">
      <c r="A999" s="12">
        <f t="shared" si="4"/>
        <v>1997</v>
      </c>
      <c r="B999" s="26" t="s">
        <v>6597</v>
      </c>
      <c r="C999" s="7" t="str">
        <f t="shared" si="1"/>
        <v>🔊</v>
      </c>
      <c r="D999" s="8" t="s">
        <v>6598</v>
      </c>
      <c r="E999" s="6" t="s">
        <v>232</v>
      </c>
      <c r="F999" s="5" t="s">
        <v>6599</v>
      </c>
      <c r="G999" s="20" t="s">
        <v>6600</v>
      </c>
      <c r="I999" s="11" t="b">
        <f t="shared" si="5"/>
        <v>0</v>
      </c>
      <c r="J999" s="24"/>
      <c r="K999" s="11" t="b">
        <f t="shared" si="6"/>
        <v>0</v>
      </c>
    </row>
    <row r="1000" ht="22.5" customHeight="1">
      <c r="A1000" s="12">
        <f t="shared" si="4"/>
        <v>1998</v>
      </c>
      <c r="B1000" s="26" t="s">
        <v>6601</v>
      </c>
      <c r="C1000" s="7" t="str">
        <f t="shared" si="1"/>
        <v>🔊</v>
      </c>
      <c r="D1000" s="8" t="s">
        <v>6602</v>
      </c>
      <c r="E1000" s="6" t="s">
        <v>1813</v>
      </c>
      <c r="F1000" s="12" t="str">
        <f>IFERROR(__xludf.DUMMYFUNCTION("GOOGLETRANSLATE(B1000,""zh_cn"",""vi"")"),"tác dụng")</f>
        <v>tác dụng</v>
      </c>
      <c r="G1000" s="20" t="s">
        <v>6603</v>
      </c>
      <c r="I1000" s="11" t="b">
        <f t="shared" si="5"/>
        <v>0</v>
      </c>
      <c r="J1000" s="24"/>
      <c r="K1000" s="11" t="b">
        <f t="shared" si="6"/>
        <v>0</v>
      </c>
    </row>
    <row r="1001" ht="22.5" customHeight="1">
      <c r="A1001" s="12">
        <f t="shared" si="4"/>
        <v>1999</v>
      </c>
      <c r="B1001" s="26" t="s">
        <v>6604</v>
      </c>
      <c r="C1001" s="7" t="str">
        <f t="shared" si="1"/>
        <v>🔊</v>
      </c>
      <c r="D1001" s="8" t="s">
        <v>6605</v>
      </c>
      <c r="E1001" s="6" t="s">
        <v>1813</v>
      </c>
      <c r="F1001" s="5" t="s">
        <v>6606</v>
      </c>
      <c r="G1001" s="20" t="s">
        <v>6607</v>
      </c>
      <c r="I1001" s="11" t="b">
        <f t="shared" si="5"/>
        <v>0</v>
      </c>
      <c r="J1001" s="24"/>
      <c r="K1001" s="11" t="b">
        <f t="shared" si="6"/>
        <v>0</v>
      </c>
    </row>
    <row r="1002" ht="22.5" customHeight="1">
      <c r="A1002" s="12">
        <f t="shared" si="4"/>
        <v>2000</v>
      </c>
      <c r="B1002" s="26" t="s">
        <v>6608</v>
      </c>
      <c r="C1002" s="7" t="str">
        <f t="shared" si="1"/>
        <v>🔊</v>
      </c>
      <c r="D1002" s="8" t="s">
        <v>6609</v>
      </c>
      <c r="E1002" s="6" t="s">
        <v>27</v>
      </c>
      <c r="F1002" s="12" t="str">
        <f>IFERROR(__xludf.DUMMYFUNCTION("GOOGLETRANSLATE(B1002,""zh_cn"",""vi"")"),"tác giả")</f>
        <v>tác giả</v>
      </c>
      <c r="G1002" s="20" t="s">
        <v>6610</v>
      </c>
      <c r="I1002" s="11" t="b">
        <f t="shared" si="5"/>
        <v>0</v>
      </c>
      <c r="J1002" s="24"/>
      <c r="K1002" s="11" t="b">
        <f t="shared" si="6"/>
        <v>0</v>
      </c>
    </row>
  </sheetData>
  <conditionalFormatting sqref="I3:I1002 K3:K1002">
    <cfRule type="expression" dxfId="5" priority="1">
      <formula>I3=TRUE</formula>
    </cfRule>
  </conditionalFormatting>
  <conditionalFormatting sqref="I3:I1002 K3:K1002">
    <cfRule type="expression" dxfId="6" priority="2">
      <formula>I3=FALSE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0"/>
    <col customWidth="1" min="3" max="3" width="10.38"/>
    <col customWidth="1" min="4" max="4" width="17.75"/>
    <col customWidth="1" min="5" max="5" width="22.0"/>
    <col customWidth="1" min="6" max="6" width="16.13"/>
    <col customWidth="1" min="7" max="7" width="22.63"/>
    <col customWidth="1" min="8" max="8" width="15.63"/>
    <col customWidth="1" min="10" max="10" width="18.5"/>
  </cols>
  <sheetData>
    <row r="1" ht="22.5" customHeight="1">
      <c r="A1" s="1" t="s">
        <v>0</v>
      </c>
      <c r="B1" s="28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.5" customHeight="1">
      <c r="A2" s="1"/>
      <c r="B2" s="29" t="s">
        <v>6611</v>
      </c>
      <c r="C2" s="1"/>
      <c r="D2" s="2"/>
      <c r="E2" s="1"/>
      <c r="F2" s="1"/>
      <c r="G2" s="20"/>
      <c r="H2" s="21"/>
      <c r="I2" s="21"/>
      <c r="J2" s="21"/>
      <c r="K2" s="21"/>
    </row>
    <row r="3" ht="22.5" customHeight="1">
      <c r="A3" s="5">
        <v>2001.0</v>
      </c>
      <c r="B3" s="30" t="s">
        <v>6612</v>
      </c>
      <c r="C3" s="7" t="str">
        <f t="shared" ref="C3:C302" si="1">HYPERLINK("https://translate.google.com/translate_tts?ie=UTF-8&amp;client=tw-ob&amp;tl=zh-CN&amp;q="&amp;ENCODEURL(B3),"🔊")</f>
        <v>🔊</v>
      </c>
      <c r="D3" s="8" t="s">
        <v>12</v>
      </c>
      <c r="E3" s="6" t="s">
        <v>747</v>
      </c>
      <c r="F3" s="5" t="s">
        <v>6613</v>
      </c>
      <c r="G3" s="20" t="s">
        <v>6614</v>
      </c>
      <c r="H3" s="6"/>
      <c r="I3" s="11" t="b">
        <f t="shared" ref="I3:I1602" si="2">H3=B3</f>
        <v>0</v>
      </c>
      <c r="J3" s="6"/>
      <c r="K3" s="11" t="b">
        <f t="shared" ref="K3:K1602" si="3">J3=F3</f>
        <v>0</v>
      </c>
    </row>
    <row r="4" ht="22.5" customHeight="1">
      <c r="A4" s="12">
        <f t="shared" ref="A4:A1602" si="4">A3+1</f>
        <v>2002</v>
      </c>
      <c r="B4" s="30" t="s">
        <v>6615</v>
      </c>
      <c r="C4" s="7" t="str">
        <f t="shared" si="1"/>
        <v>🔊</v>
      </c>
      <c r="D4" s="8" t="s">
        <v>6616</v>
      </c>
      <c r="E4" s="6" t="s">
        <v>747</v>
      </c>
      <c r="F4" s="5" t="s">
        <v>6617</v>
      </c>
      <c r="G4" s="5" t="s">
        <v>6618</v>
      </c>
      <c r="H4" s="6"/>
      <c r="I4" s="11" t="b">
        <f t="shared" si="2"/>
        <v>0</v>
      </c>
      <c r="J4" s="6"/>
      <c r="K4" s="11" t="b">
        <f t="shared" si="3"/>
        <v>0</v>
      </c>
    </row>
    <row r="5" ht="22.5" customHeight="1">
      <c r="A5" s="12">
        <f t="shared" si="4"/>
        <v>2003</v>
      </c>
      <c r="B5" s="30" t="s">
        <v>6619</v>
      </c>
      <c r="C5" s="7" t="str">
        <f t="shared" si="1"/>
        <v>🔊</v>
      </c>
      <c r="D5" s="8" t="s">
        <v>6620</v>
      </c>
      <c r="E5" s="6" t="s">
        <v>13</v>
      </c>
      <c r="F5" s="12" t="str">
        <f>IFERROR(__xludf.DUMMYFUNCTION("GOOGLETRANSLATE(B5,""zh_cn"",""vi"")"),"trân trọng")</f>
        <v>trân trọng</v>
      </c>
      <c r="G5" s="20" t="s">
        <v>6621</v>
      </c>
      <c r="H5" s="6"/>
      <c r="I5" s="11" t="b">
        <f t="shared" si="2"/>
        <v>0</v>
      </c>
      <c r="J5" s="6"/>
      <c r="K5" s="11" t="b">
        <f t="shared" si="3"/>
        <v>0</v>
      </c>
    </row>
    <row r="6" ht="22.5" customHeight="1">
      <c r="A6" s="12">
        <f t="shared" si="4"/>
        <v>2004</v>
      </c>
      <c r="B6" s="30" t="s">
        <v>6622</v>
      </c>
      <c r="C6" s="7" t="str">
        <f t="shared" si="1"/>
        <v>🔊</v>
      </c>
      <c r="D6" s="8" t="s">
        <v>6623</v>
      </c>
      <c r="E6" s="6" t="s">
        <v>747</v>
      </c>
      <c r="F6" s="12" t="str">
        <f>IFERROR(__xludf.DUMMYFUNCTION("GOOGLETRANSLATE(B6,""zh_cn"",""vi"")"),"Ối")</f>
        <v>Ối</v>
      </c>
      <c r="G6" s="20" t="s">
        <v>6624</v>
      </c>
      <c r="H6" s="6"/>
      <c r="I6" s="11" t="b">
        <f t="shared" si="2"/>
        <v>0</v>
      </c>
      <c r="K6" s="11" t="b">
        <f t="shared" si="3"/>
        <v>0</v>
      </c>
    </row>
    <row r="7" ht="22.5" customHeight="1">
      <c r="A7" s="12">
        <f t="shared" si="4"/>
        <v>2005</v>
      </c>
      <c r="B7" s="30" t="s">
        <v>6625</v>
      </c>
      <c r="C7" s="7" t="str">
        <f t="shared" si="1"/>
        <v>🔊</v>
      </c>
      <c r="D7" s="8" t="s">
        <v>3332</v>
      </c>
      <c r="E7" s="6" t="s">
        <v>99</v>
      </c>
      <c r="F7" s="12" t="str">
        <f>IFERROR(__xludf.DUMMYFUNCTION("GOOGLETRANSLATE(B7,""zh_cn"",""vi"")"),"tối tăm")</f>
        <v>tối tăm</v>
      </c>
      <c r="G7" s="20" t="s">
        <v>6626</v>
      </c>
      <c r="H7" s="6"/>
      <c r="I7" s="11" t="b">
        <f t="shared" si="2"/>
        <v>0</v>
      </c>
      <c r="K7" s="11" t="b">
        <f t="shared" si="3"/>
        <v>0</v>
      </c>
    </row>
    <row r="8" ht="22.5" customHeight="1">
      <c r="A8" s="12">
        <f t="shared" si="4"/>
        <v>2006</v>
      </c>
      <c r="B8" s="30" t="s">
        <v>6627</v>
      </c>
      <c r="C8" s="7" t="str">
        <f t="shared" si="1"/>
        <v>🔊</v>
      </c>
      <c r="D8" s="8" t="s">
        <v>6628</v>
      </c>
      <c r="E8" s="6" t="s">
        <v>416</v>
      </c>
      <c r="F8" s="5" t="s">
        <v>6629</v>
      </c>
      <c r="G8" s="20" t="s">
        <v>6630</v>
      </c>
      <c r="H8" s="6"/>
      <c r="I8" s="11" t="b">
        <f t="shared" si="2"/>
        <v>0</v>
      </c>
      <c r="K8" s="11" t="b">
        <f t="shared" si="3"/>
        <v>0</v>
      </c>
    </row>
    <row r="9" ht="22.5" customHeight="1">
      <c r="A9" s="12">
        <f t="shared" si="4"/>
        <v>2007</v>
      </c>
      <c r="B9" s="30" t="s">
        <v>6631</v>
      </c>
      <c r="C9" s="7" t="str">
        <f t="shared" si="1"/>
        <v>🔊</v>
      </c>
      <c r="D9" s="8" t="s">
        <v>6632</v>
      </c>
      <c r="E9" s="6" t="s">
        <v>27</v>
      </c>
      <c r="F9" s="12" t="str">
        <f>IFERROR(__xludf.DUMMYFUNCTION("GOOGLETRANSLATE(B9,""zh_cn"",""vi"")"),"dây an toàn")</f>
        <v>dây an toàn</v>
      </c>
      <c r="G9" s="20" t="s">
        <v>6633</v>
      </c>
      <c r="H9" s="6"/>
      <c r="I9" s="11" t="b">
        <f t="shared" si="2"/>
        <v>0</v>
      </c>
      <c r="K9" s="11" t="b">
        <f t="shared" si="3"/>
        <v>0</v>
      </c>
    </row>
    <row r="10" ht="22.5" customHeight="1">
      <c r="A10" s="12">
        <f t="shared" si="4"/>
        <v>2008</v>
      </c>
      <c r="B10" s="30" t="s">
        <v>6634</v>
      </c>
      <c r="C10" s="7" t="str">
        <f t="shared" si="1"/>
        <v>🔊</v>
      </c>
      <c r="D10" s="8" t="s">
        <v>6635</v>
      </c>
      <c r="E10" s="6" t="s">
        <v>368</v>
      </c>
      <c r="F10" s="12" t="str">
        <f>IFERROR(__xludf.DUMMYFUNCTION("GOOGLETRANSLATE(B10,""zh_cn"",""vi"")"),"an ủi")</f>
        <v>an ủi</v>
      </c>
      <c r="G10" s="20" t="s">
        <v>6636</v>
      </c>
      <c r="H10" s="6"/>
      <c r="I10" s="11" t="b">
        <f t="shared" si="2"/>
        <v>0</v>
      </c>
      <c r="K10" s="11" t="b">
        <f t="shared" si="3"/>
        <v>0</v>
      </c>
    </row>
    <row r="11" ht="22.5" customHeight="1">
      <c r="A11" s="12">
        <f t="shared" si="4"/>
        <v>2009</v>
      </c>
      <c r="B11" s="30" t="s">
        <v>6637</v>
      </c>
      <c r="C11" s="7" t="str">
        <f t="shared" si="1"/>
        <v>🔊</v>
      </c>
      <c r="D11" s="8" t="s">
        <v>6638</v>
      </c>
      <c r="E11" s="6" t="s">
        <v>13</v>
      </c>
      <c r="F11" s="12" t="str">
        <f>IFERROR(__xludf.DUMMYFUNCTION("GOOGLETRANSLATE(B11,""zh_cn"",""vi"")"),"Cài đặt")</f>
        <v>Cài đặt</v>
      </c>
      <c r="G11" s="20" t="s">
        <v>6639</v>
      </c>
      <c r="H11" s="6"/>
      <c r="I11" s="11" t="b">
        <f t="shared" si="2"/>
        <v>0</v>
      </c>
      <c r="K11" s="11" t="b">
        <f t="shared" si="3"/>
        <v>0</v>
      </c>
    </row>
    <row r="12" ht="22.5" customHeight="1">
      <c r="A12" s="12">
        <f t="shared" si="4"/>
        <v>2010</v>
      </c>
      <c r="B12" s="30" t="s">
        <v>6640</v>
      </c>
      <c r="C12" s="7" t="str">
        <f t="shared" si="1"/>
        <v>🔊</v>
      </c>
      <c r="D12" s="8" t="s">
        <v>6641</v>
      </c>
      <c r="E12" s="6" t="s">
        <v>13</v>
      </c>
      <c r="F12" s="12" t="str">
        <f>IFERROR(__xludf.DUMMYFUNCTION("GOOGLETRANSLATE(B12,""zh_cn"",""vi"")"),"thức khuya")</f>
        <v>thức khuya</v>
      </c>
      <c r="G12" s="20" t="s">
        <v>6642</v>
      </c>
      <c r="H12" s="6"/>
      <c r="I12" s="11" t="b">
        <f t="shared" si="2"/>
        <v>0</v>
      </c>
      <c r="K12" s="11" t="b">
        <f t="shared" si="3"/>
        <v>0</v>
      </c>
    </row>
    <row r="13" ht="22.5" customHeight="1">
      <c r="A13" s="12">
        <f t="shared" si="4"/>
        <v>2011</v>
      </c>
      <c r="B13" s="30" t="s">
        <v>6643</v>
      </c>
      <c r="C13" s="7" t="str">
        <f t="shared" si="1"/>
        <v>🔊</v>
      </c>
      <c r="D13" s="8" t="s">
        <v>6644</v>
      </c>
      <c r="E13" s="6" t="s">
        <v>1308</v>
      </c>
      <c r="F13" s="12" t="str">
        <f>IFERROR(__xludf.DUMMYFUNCTION("GOOGLETRANSLATE(B13,""zh_cn"",""vi"")"),"trắng")</f>
        <v>trắng</v>
      </c>
      <c r="G13" s="20" t="s">
        <v>6645</v>
      </c>
      <c r="H13" s="6"/>
      <c r="I13" s="11" t="b">
        <f t="shared" si="2"/>
        <v>0</v>
      </c>
      <c r="K13" s="11" t="b">
        <f t="shared" si="3"/>
        <v>0</v>
      </c>
    </row>
    <row r="14" ht="22.5" customHeight="1">
      <c r="A14" s="12">
        <f t="shared" si="4"/>
        <v>2012</v>
      </c>
      <c r="B14" s="30" t="s">
        <v>6646</v>
      </c>
      <c r="C14" s="7" t="str">
        <f t="shared" si="1"/>
        <v>🔊</v>
      </c>
      <c r="D14" s="8" t="s">
        <v>6647</v>
      </c>
      <c r="E14" s="6" t="s">
        <v>27</v>
      </c>
      <c r="F14" s="12" t="str">
        <f>IFERROR(__xludf.DUMMYFUNCTION("GOOGLETRANSLATE(B14,""zh_cn"",""vi"")"),"buổi tối")</f>
        <v>buổi tối</v>
      </c>
      <c r="G14" s="20" t="s">
        <v>6648</v>
      </c>
      <c r="H14" s="6"/>
      <c r="I14" s="11" t="b">
        <f t="shared" si="2"/>
        <v>0</v>
      </c>
      <c r="K14" s="11" t="b">
        <f t="shared" si="3"/>
        <v>0</v>
      </c>
    </row>
    <row r="15" ht="22.5" customHeight="1">
      <c r="A15" s="12">
        <f t="shared" si="4"/>
        <v>2013</v>
      </c>
      <c r="B15" s="30" t="s">
        <v>6649</v>
      </c>
      <c r="C15" s="7" t="str">
        <f t="shared" si="1"/>
        <v>🔊</v>
      </c>
      <c r="D15" s="8" t="s">
        <v>6650</v>
      </c>
      <c r="E15" s="6" t="s">
        <v>6651</v>
      </c>
      <c r="F15" s="12" t="str">
        <f>IFERROR(__xludf.DUMMYFUNCTION("GOOGLETRANSLATE(B15,""zh_cn"",""vi"")"),"nửa đêm")</f>
        <v>nửa đêm</v>
      </c>
      <c r="G15" s="20" t="s">
        <v>6652</v>
      </c>
      <c r="H15" s="6"/>
      <c r="I15" s="11" t="b">
        <f t="shared" si="2"/>
        <v>0</v>
      </c>
      <c r="K15" s="11" t="b">
        <f t="shared" si="3"/>
        <v>0</v>
      </c>
    </row>
    <row r="16" ht="22.5" customHeight="1">
      <c r="A16" s="12">
        <f t="shared" si="4"/>
        <v>2014</v>
      </c>
      <c r="B16" s="30" t="s">
        <v>6653</v>
      </c>
      <c r="C16" s="7" t="str">
        <f t="shared" si="1"/>
        <v>🔊</v>
      </c>
      <c r="D16" s="8" t="s">
        <v>6654</v>
      </c>
      <c r="E16" s="6" t="s">
        <v>99</v>
      </c>
      <c r="F16" s="5" t="s">
        <v>6655</v>
      </c>
      <c r="G16" s="20" t="s">
        <v>6656</v>
      </c>
      <c r="H16" s="6"/>
      <c r="I16" s="11" t="b">
        <f t="shared" si="2"/>
        <v>0</v>
      </c>
      <c r="K16" s="11" t="b">
        <f t="shared" si="3"/>
        <v>0</v>
      </c>
    </row>
    <row r="17" ht="22.5" customHeight="1">
      <c r="A17" s="12">
        <f t="shared" si="4"/>
        <v>2015</v>
      </c>
      <c r="B17" s="30" t="s">
        <v>6657</v>
      </c>
      <c r="C17" s="7" t="str">
        <f t="shared" si="1"/>
        <v>🔊</v>
      </c>
      <c r="D17" s="8" t="s">
        <v>1757</v>
      </c>
      <c r="E17" s="6" t="s">
        <v>27</v>
      </c>
      <c r="F17" s="12" t="str">
        <f>IFERROR(__xludf.DUMMYFUNCTION("GOOGLETRANSLATE(B17,""zh_cn"",""vi"")"),"quý giá")</f>
        <v>quý giá</v>
      </c>
      <c r="G17" s="20" t="s">
        <v>6658</v>
      </c>
      <c r="H17" s="6"/>
      <c r="I17" s="11" t="b">
        <f t="shared" si="2"/>
        <v>0</v>
      </c>
      <c r="K17" s="11" t="b">
        <f t="shared" si="3"/>
        <v>0</v>
      </c>
    </row>
    <row r="18" ht="22.5" customHeight="1">
      <c r="A18" s="12">
        <f t="shared" si="4"/>
        <v>2016</v>
      </c>
      <c r="B18" s="30" t="s">
        <v>6659</v>
      </c>
      <c r="C18" s="7" t="str">
        <f t="shared" si="1"/>
        <v>🔊</v>
      </c>
      <c r="D18" s="8" t="s">
        <v>1757</v>
      </c>
      <c r="E18" s="6" t="s">
        <v>232</v>
      </c>
      <c r="F18" s="5" t="s">
        <v>6660</v>
      </c>
      <c r="G18" s="20" t="s">
        <v>6661</v>
      </c>
      <c r="H18" s="6"/>
      <c r="I18" s="11" t="b">
        <f t="shared" si="2"/>
        <v>0</v>
      </c>
      <c r="K18" s="11" t="b">
        <f t="shared" si="3"/>
        <v>0</v>
      </c>
    </row>
    <row r="19" ht="22.5" customHeight="1">
      <c r="A19" s="12">
        <f t="shared" si="4"/>
        <v>2017</v>
      </c>
      <c r="B19" s="30" t="s">
        <v>6662</v>
      </c>
      <c r="C19" s="7" t="str">
        <f t="shared" si="1"/>
        <v>🔊</v>
      </c>
      <c r="D19" s="8" t="s">
        <v>6663</v>
      </c>
      <c r="E19" s="6" t="s">
        <v>232</v>
      </c>
      <c r="F19" s="12" t="str">
        <f>IFERROR(__xludf.DUMMYFUNCTION("GOOGLETRANSLATE(B19,""zh_cn"",""vi"")"),"bảo vệ")</f>
        <v>bảo vệ</v>
      </c>
      <c r="G19" s="20" t="s">
        <v>6664</v>
      </c>
      <c r="H19" s="6"/>
      <c r="I19" s="11" t="b">
        <f t="shared" si="2"/>
        <v>0</v>
      </c>
      <c r="K19" s="11" t="b">
        <f t="shared" si="3"/>
        <v>0</v>
      </c>
    </row>
    <row r="20" ht="22.5" customHeight="1">
      <c r="A20" s="12">
        <f t="shared" si="4"/>
        <v>2018</v>
      </c>
      <c r="B20" s="30" t="s">
        <v>6665</v>
      </c>
      <c r="C20" s="7" t="str">
        <f t="shared" si="1"/>
        <v>🔊</v>
      </c>
      <c r="D20" s="8" t="s">
        <v>6666</v>
      </c>
      <c r="E20" s="6" t="s">
        <v>27</v>
      </c>
      <c r="F20" s="5" t="s">
        <v>6667</v>
      </c>
      <c r="G20" s="20" t="s">
        <v>6668</v>
      </c>
      <c r="H20" s="6"/>
      <c r="I20" s="11" t="b">
        <f t="shared" si="2"/>
        <v>0</v>
      </c>
      <c r="K20" s="11" t="b">
        <f t="shared" si="3"/>
        <v>0</v>
      </c>
    </row>
    <row r="21" ht="22.5" customHeight="1">
      <c r="A21" s="12">
        <f t="shared" si="4"/>
        <v>2019</v>
      </c>
      <c r="B21" s="30" t="s">
        <v>6669</v>
      </c>
      <c r="C21" s="7" t="str">
        <f t="shared" si="1"/>
        <v>🔊</v>
      </c>
      <c r="D21" s="8" t="s">
        <v>6670</v>
      </c>
      <c r="E21" s="6" t="s">
        <v>13</v>
      </c>
      <c r="F21" s="5" t="s">
        <v>6671</v>
      </c>
      <c r="G21" s="20" t="s">
        <v>6672</v>
      </c>
      <c r="H21" s="6"/>
      <c r="I21" s="11" t="b">
        <f t="shared" si="2"/>
        <v>0</v>
      </c>
      <c r="K21" s="11" t="b">
        <f t="shared" si="3"/>
        <v>0</v>
      </c>
    </row>
    <row r="22" ht="22.5" customHeight="1">
      <c r="A22" s="12">
        <f t="shared" si="4"/>
        <v>2020</v>
      </c>
      <c r="B22" s="30" t="s">
        <v>6673</v>
      </c>
      <c r="C22" s="7" t="str">
        <f t="shared" si="1"/>
        <v>🔊</v>
      </c>
      <c r="D22" s="8" t="s">
        <v>6674</v>
      </c>
      <c r="E22" s="6" t="s">
        <v>13</v>
      </c>
      <c r="F22" s="5" t="s">
        <v>6675</v>
      </c>
      <c r="G22" s="20" t="s">
        <v>6676</v>
      </c>
      <c r="H22" s="6"/>
      <c r="I22" s="11" t="b">
        <f t="shared" si="2"/>
        <v>0</v>
      </c>
      <c r="K22" s="11" t="b">
        <f t="shared" si="3"/>
        <v>0</v>
      </c>
    </row>
    <row r="23" ht="22.5" customHeight="1">
      <c r="A23" s="12">
        <f t="shared" si="4"/>
        <v>2021</v>
      </c>
      <c r="B23" s="30" t="s">
        <v>6677</v>
      </c>
      <c r="C23" s="7" t="str">
        <f t="shared" si="1"/>
        <v>🔊</v>
      </c>
      <c r="D23" s="8" t="s">
        <v>6678</v>
      </c>
      <c r="E23" s="6" t="s">
        <v>13</v>
      </c>
      <c r="F23" s="5" t="s">
        <v>6679</v>
      </c>
      <c r="G23" s="20" t="s">
        <v>6680</v>
      </c>
      <c r="H23" s="6"/>
      <c r="I23" s="11" t="b">
        <f t="shared" si="2"/>
        <v>0</v>
      </c>
      <c r="K23" s="11" t="b">
        <f t="shared" si="3"/>
        <v>0</v>
      </c>
    </row>
    <row r="24" ht="22.5" customHeight="1">
      <c r="A24" s="12">
        <f t="shared" si="4"/>
        <v>2022</v>
      </c>
      <c r="B24" s="30" t="s">
        <v>6681</v>
      </c>
      <c r="C24" s="7" t="str">
        <f t="shared" si="1"/>
        <v>🔊</v>
      </c>
      <c r="D24" s="8" t="s">
        <v>6678</v>
      </c>
      <c r="E24" s="6" t="s">
        <v>232</v>
      </c>
      <c r="F24" s="5" t="s">
        <v>6682</v>
      </c>
      <c r="G24" s="20" t="s">
        <v>6683</v>
      </c>
      <c r="H24" s="6"/>
      <c r="I24" s="11" t="b">
        <f t="shared" si="2"/>
        <v>0</v>
      </c>
      <c r="K24" s="11" t="b">
        <f t="shared" si="3"/>
        <v>0</v>
      </c>
    </row>
    <row r="25" ht="22.5" customHeight="1">
      <c r="A25" s="12">
        <f t="shared" si="4"/>
        <v>2023</v>
      </c>
      <c r="B25" s="30" t="s">
        <v>6684</v>
      </c>
      <c r="C25" s="7" t="str">
        <f t="shared" si="1"/>
        <v>🔊</v>
      </c>
      <c r="D25" s="8" t="s">
        <v>6685</v>
      </c>
      <c r="E25" s="6" t="s">
        <v>232</v>
      </c>
      <c r="F25" s="12" t="str">
        <f>IFERROR(__xludf.DUMMYFUNCTION("GOOGLETRANSLATE(B25,""zh_cn"",""vi"")"),"Báo cáo")</f>
        <v>Báo cáo</v>
      </c>
      <c r="G25" s="20" t="s">
        <v>6686</v>
      </c>
      <c r="H25" s="6"/>
      <c r="I25" s="11" t="b">
        <f t="shared" si="2"/>
        <v>0</v>
      </c>
      <c r="K25" s="11" t="b">
        <f t="shared" si="3"/>
        <v>0</v>
      </c>
    </row>
    <row r="26" ht="22.5" customHeight="1">
      <c r="A26" s="12">
        <f t="shared" si="4"/>
        <v>2024</v>
      </c>
      <c r="B26" s="30" t="s">
        <v>6687</v>
      </c>
      <c r="C26" s="7" t="str">
        <f t="shared" si="1"/>
        <v>🔊</v>
      </c>
      <c r="D26" s="8" t="s">
        <v>6688</v>
      </c>
      <c r="E26" s="6" t="s">
        <v>99</v>
      </c>
      <c r="F26" s="5" t="s">
        <v>6689</v>
      </c>
      <c r="G26" s="20" t="s">
        <v>6690</v>
      </c>
      <c r="H26" s="6"/>
      <c r="I26" s="11" t="b">
        <f t="shared" si="2"/>
        <v>0</v>
      </c>
      <c r="K26" s="11" t="b">
        <f t="shared" si="3"/>
        <v>0</v>
      </c>
    </row>
    <row r="27" ht="22.5" customHeight="1">
      <c r="A27" s="12">
        <f t="shared" si="4"/>
        <v>2025</v>
      </c>
      <c r="B27" s="30" t="s">
        <v>6691</v>
      </c>
      <c r="C27" s="7" t="str">
        <f t="shared" si="1"/>
        <v>🔊</v>
      </c>
      <c r="D27" s="8" t="s">
        <v>6692</v>
      </c>
      <c r="E27" s="6" t="s">
        <v>232</v>
      </c>
      <c r="F27" s="5" t="s">
        <v>6693</v>
      </c>
      <c r="G27" s="20" t="s">
        <v>6694</v>
      </c>
      <c r="H27" s="6"/>
      <c r="I27" s="11" t="b">
        <f t="shared" si="2"/>
        <v>0</v>
      </c>
      <c r="K27" s="11" t="b">
        <f t="shared" si="3"/>
        <v>0</v>
      </c>
    </row>
    <row r="28" ht="22.5" customHeight="1">
      <c r="A28" s="12">
        <f t="shared" si="4"/>
        <v>2026</v>
      </c>
      <c r="B28" s="30" t="s">
        <v>6695</v>
      </c>
      <c r="C28" s="7" t="str">
        <f t="shared" si="1"/>
        <v>🔊</v>
      </c>
      <c r="D28" s="8" t="s">
        <v>6696</v>
      </c>
      <c r="E28" s="6" t="s">
        <v>13</v>
      </c>
      <c r="F28" s="12" t="str">
        <f>IFERROR(__xludf.DUMMYFUNCTION("GOOGLETRANSLATE(B28,""zh_cn"",""vi"")"),"Bao gồm")</f>
        <v>Bao gồm</v>
      </c>
      <c r="G28" s="20" t="s">
        <v>6697</v>
      </c>
      <c r="H28" s="6"/>
      <c r="I28" s="11" t="b">
        <f t="shared" si="2"/>
        <v>0</v>
      </c>
      <c r="K28" s="11" t="b">
        <f t="shared" si="3"/>
        <v>0</v>
      </c>
    </row>
    <row r="29" ht="22.5" customHeight="1">
      <c r="A29" s="12">
        <f t="shared" si="4"/>
        <v>2027</v>
      </c>
      <c r="B29" s="30" t="s">
        <v>6698</v>
      </c>
      <c r="C29" s="7" t="str">
        <f t="shared" si="1"/>
        <v>🔊</v>
      </c>
      <c r="D29" s="8" t="s">
        <v>6699</v>
      </c>
      <c r="E29" s="6" t="s">
        <v>13</v>
      </c>
      <c r="F29" s="12" t="str">
        <f>IFERROR(__xludf.DUMMYFUNCTION("GOOGLETRANSLATE(B29,""zh_cn"",""vi"")"),"Gọi cảnh sát")</f>
        <v>Gọi cảnh sát</v>
      </c>
      <c r="G29" s="20" t="s">
        <v>6700</v>
      </c>
      <c r="H29" s="6"/>
      <c r="I29" s="11" t="b">
        <f t="shared" si="2"/>
        <v>0</v>
      </c>
      <c r="K29" s="11" t="b">
        <f t="shared" si="3"/>
        <v>0</v>
      </c>
    </row>
    <row r="30" ht="22.5" customHeight="1">
      <c r="A30" s="12">
        <f t="shared" si="4"/>
        <v>2028</v>
      </c>
      <c r="B30" s="30" t="s">
        <v>6701</v>
      </c>
      <c r="C30" s="7" t="str">
        <f t="shared" si="1"/>
        <v>🔊</v>
      </c>
      <c r="D30" s="8" t="s">
        <v>6702</v>
      </c>
      <c r="E30" s="6" t="s">
        <v>13</v>
      </c>
      <c r="F30" s="12" t="str">
        <f>IFERROR(__xludf.DUMMYFUNCTION("GOOGLETRANSLATE(B30,""zh_cn"",""vi"")"),"bao gồm")</f>
        <v>bao gồm</v>
      </c>
      <c r="G30" s="20" t="s">
        <v>6703</v>
      </c>
      <c r="H30" s="6"/>
      <c r="I30" s="11" t="b">
        <f t="shared" si="2"/>
        <v>0</v>
      </c>
      <c r="K30" s="11" t="b">
        <f t="shared" si="3"/>
        <v>0</v>
      </c>
    </row>
    <row r="31" ht="22.5" customHeight="1">
      <c r="A31" s="12">
        <f t="shared" si="4"/>
        <v>2029</v>
      </c>
      <c r="B31" s="30" t="s">
        <v>6704</v>
      </c>
      <c r="C31" s="7" t="str">
        <f t="shared" si="1"/>
        <v>🔊</v>
      </c>
      <c r="D31" s="8" t="s">
        <v>6705</v>
      </c>
      <c r="E31" s="6" t="s">
        <v>13</v>
      </c>
      <c r="F31" s="5" t="s">
        <v>6706</v>
      </c>
      <c r="G31" s="20" t="s">
        <v>6707</v>
      </c>
      <c r="H31" s="6"/>
      <c r="I31" s="11" t="b">
        <f t="shared" si="2"/>
        <v>0</v>
      </c>
      <c r="K31" s="11" t="b">
        <f t="shared" si="3"/>
        <v>0</v>
      </c>
    </row>
    <row r="32" ht="22.5" customHeight="1">
      <c r="A32" s="12">
        <f t="shared" si="4"/>
        <v>2030</v>
      </c>
      <c r="B32" s="30" t="s">
        <v>6708</v>
      </c>
      <c r="C32" s="7" t="str">
        <f t="shared" si="1"/>
        <v>🔊</v>
      </c>
      <c r="D32" s="8" t="s">
        <v>6709</v>
      </c>
      <c r="E32" s="6" t="s">
        <v>3430</v>
      </c>
      <c r="F32" s="12" t="str">
        <f>IFERROR(__xludf.DUMMYFUNCTION("GOOGLETRANSLATE(B32,""zh_cn"",""vi"")"),"Bảo hiểm")</f>
        <v>Bảo hiểm</v>
      </c>
      <c r="G32" s="20" t="s">
        <v>6710</v>
      </c>
      <c r="H32" s="6"/>
      <c r="I32" s="11" t="b">
        <f t="shared" si="2"/>
        <v>0</v>
      </c>
      <c r="K32" s="11" t="b">
        <f t="shared" si="3"/>
        <v>0</v>
      </c>
    </row>
    <row r="33" ht="22.5" customHeight="1">
      <c r="A33" s="12">
        <f t="shared" si="4"/>
        <v>2031</v>
      </c>
      <c r="B33" s="30" t="s">
        <v>6711</v>
      </c>
      <c r="C33" s="7" t="str">
        <f t="shared" si="1"/>
        <v>🔊</v>
      </c>
      <c r="D33" s="8" t="s">
        <v>6712</v>
      </c>
      <c r="E33" s="6" t="s">
        <v>27</v>
      </c>
      <c r="F33" s="12" t="str">
        <f>IFERROR(__xludf.DUMMYFUNCTION("GOOGLETRANSLATE(B33,""zh_cn"",""vi"")"),"cơn mưa bão")</f>
        <v>cơn mưa bão</v>
      </c>
      <c r="G33" s="20" t="s">
        <v>6713</v>
      </c>
      <c r="H33" s="6"/>
      <c r="I33" s="11" t="b">
        <f t="shared" si="2"/>
        <v>0</v>
      </c>
      <c r="K33" s="11" t="b">
        <f t="shared" si="3"/>
        <v>0</v>
      </c>
    </row>
    <row r="34" ht="22.5" customHeight="1">
      <c r="A34" s="12">
        <f t="shared" si="4"/>
        <v>2032</v>
      </c>
      <c r="B34" s="30" t="s">
        <v>6714</v>
      </c>
      <c r="C34" s="7" t="str">
        <f t="shared" si="1"/>
        <v>🔊</v>
      </c>
      <c r="D34" s="8" t="s">
        <v>6715</v>
      </c>
      <c r="E34" s="6" t="s">
        <v>13</v>
      </c>
      <c r="F34" s="12" t="str">
        <f>IFERROR(__xludf.DUMMYFUNCTION("GOOGLETRANSLATE(B34,""zh_cn"",""vi"")"),"phàn nàn")</f>
        <v>phàn nàn</v>
      </c>
      <c r="G34" s="20" t="s">
        <v>6716</v>
      </c>
      <c r="H34" s="6"/>
      <c r="I34" s="11" t="b">
        <f t="shared" si="2"/>
        <v>0</v>
      </c>
      <c r="K34" s="11" t="b">
        <f t="shared" si="3"/>
        <v>0</v>
      </c>
    </row>
    <row r="35" ht="22.5" customHeight="1">
      <c r="A35" s="12">
        <f t="shared" si="4"/>
        <v>2033</v>
      </c>
      <c r="B35" s="30" t="s">
        <v>6717</v>
      </c>
      <c r="C35" s="7" t="str">
        <f t="shared" si="1"/>
        <v>🔊</v>
      </c>
      <c r="D35" s="8" t="s">
        <v>6718</v>
      </c>
      <c r="E35" s="6" t="s">
        <v>27</v>
      </c>
      <c r="F35" s="12" t="str">
        <f>IFERROR(__xludf.DUMMYFUNCTION("GOOGLETRANSLATE(B35,""zh_cn"",""vi"")"),"Hạn sử dụng")</f>
        <v>Hạn sử dụng</v>
      </c>
      <c r="G35" s="20" t="s">
        <v>6719</v>
      </c>
      <c r="H35" s="6"/>
      <c r="I35" s="11" t="b">
        <f t="shared" si="2"/>
        <v>0</v>
      </c>
      <c r="K35" s="11" t="b">
        <f t="shared" si="3"/>
        <v>0</v>
      </c>
    </row>
    <row r="36" ht="22.5" customHeight="1">
      <c r="A36" s="12">
        <f t="shared" si="4"/>
        <v>2034</v>
      </c>
      <c r="B36" s="30" t="s">
        <v>6720</v>
      </c>
      <c r="C36" s="7" t="str">
        <f t="shared" si="1"/>
        <v>🔊</v>
      </c>
      <c r="D36" s="8" t="s">
        <v>6721</v>
      </c>
      <c r="E36" s="6" t="s">
        <v>232</v>
      </c>
      <c r="F36" s="5" t="s">
        <v>6722</v>
      </c>
      <c r="G36" s="20" t="s">
        <v>6723</v>
      </c>
      <c r="H36" s="6"/>
      <c r="I36" s="11" t="b">
        <f t="shared" si="2"/>
        <v>0</v>
      </c>
      <c r="K36" s="11" t="b">
        <f t="shared" si="3"/>
        <v>0</v>
      </c>
    </row>
    <row r="37" ht="22.5" customHeight="1">
      <c r="A37" s="12">
        <f t="shared" si="4"/>
        <v>2035</v>
      </c>
      <c r="B37" s="30" t="s">
        <v>6724</v>
      </c>
      <c r="C37" s="7" t="str">
        <f t="shared" si="1"/>
        <v>🔊</v>
      </c>
      <c r="D37" s="8" t="s">
        <v>6725</v>
      </c>
      <c r="E37" s="6" t="s">
        <v>232</v>
      </c>
      <c r="F37" s="12" t="str">
        <f>IFERROR(__xludf.DUMMYFUNCTION("GOOGLETRANSLATE(B37,""zh_cn"",""vi"")"),"nắm bắt")</f>
        <v>nắm bắt</v>
      </c>
      <c r="G37" s="20" t="s">
        <v>6726</v>
      </c>
      <c r="H37" s="6"/>
      <c r="I37" s="11" t="b">
        <f t="shared" si="2"/>
        <v>0</v>
      </c>
      <c r="K37" s="11" t="b">
        <f t="shared" si="3"/>
        <v>0</v>
      </c>
    </row>
    <row r="38" ht="22.5" customHeight="1">
      <c r="A38" s="12">
        <f t="shared" si="4"/>
        <v>2036</v>
      </c>
      <c r="B38" s="30" t="s">
        <v>3385</v>
      </c>
      <c r="C38" s="7" t="str">
        <f t="shared" si="1"/>
        <v>🔊</v>
      </c>
      <c r="D38" s="8" t="s">
        <v>1765</v>
      </c>
      <c r="E38" s="6" t="s">
        <v>6727</v>
      </c>
      <c r="F38" s="12" t="str">
        <f>IFERROR(__xludf.DUMMYFUNCTION("GOOGLETRANSLATE(B38,""zh_cn"",""vi"")"),"mặt sau")</f>
        <v>mặt sau</v>
      </c>
      <c r="G38" s="20" t="s">
        <v>6728</v>
      </c>
      <c r="H38" s="6"/>
      <c r="I38" s="11" t="b">
        <f t="shared" si="2"/>
        <v>0</v>
      </c>
      <c r="K38" s="11" t="b">
        <f t="shared" si="3"/>
        <v>0</v>
      </c>
    </row>
    <row r="39" ht="22.5" customHeight="1">
      <c r="A39" s="12">
        <f t="shared" si="4"/>
        <v>2037</v>
      </c>
      <c r="B39" s="30" t="s">
        <v>6729</v>
      </c>
      <c r="C39" s="7" t="str">
        <f t="shared" si="1"/>
        <v>🔊</v>
      </c>
      <c r="D39" s="8" t="s">
        <v>6730</v>
      </c>
      <c r="E39" s="6" t="s">
        <v>27</v>
      </c>
      <c r="F39" s="12" t="str">
        <f>IFERROR(__xludf.DUMMYFUNCTION("GOOGLETRANSLATE(B39,""zh_cn"",""vi"")"),"phía sau")</f>
        <v>phía sau</v>
      </c>
      <c r="G39" s="20" t="s">
        <v>6731</v>
      </c>
      <c r="H39" s="6"/>
      <c r="I39" s="11" t="b">
        <f t="shared" si="2"/>
        <v>0</v>
      </c>
      <c r="K39" s="11" t="b">
        <f t="shared" si="3"/>
        <v>0</v>
      </c>
    </row>
    <row r="40" ht="22.5" customHeight="1">
      <c r="A40" s="12">
        <f t="shared" si="4"/>
        <v>2038</v>
      </c>
      <c r="B40" s="30" t="s">
        <v>6732</v>
      </c>
      <c r="C40" s="7" t="str">
        <f t="shared" si="1"/>
        <v>🔊</v>
      </c>
      <c r="D40" s="8" t="s">
        <v>6733</v>
      </c>
      <c r="E40" s="6" t="s">
        <v>27</v>
      </c>
      <c r="F40" s="5" t="s">
        <v>6734</v>
      </c>
      <c r="G40" s="20" t="s">
        <v>6735</v>
      </c>
      <c r="H40" s="6"/>
      <c r="I40" s="11" t="b">
        <f t="shared" si="2"/>
        <v>0</v>
      </c>
      <c r="K40" s="11" t="b">
        <f t="shared" si="3"/>
        <v>0</v>
      </c>
    </row>
    <row r="41" ht="22.5" customHeight="1">
      <c r="A41" s="12">
        <f t="shared" si="4"/>
        <v>2039</v>
      </c>
      <c r="B41" s="30" t="s">
        <v>6736</v>
      </c>
      <c r="C41" s="7" t="str">
        <f t="shared" si="1"/>
        <v>🔊</v>
      </c>
      <c r="D41" s="8" t="s">
        <v>6737</v>
      </c>
      <c r="E41" s="6" t="s">
        <v>27</v>
      </c>
      <c r="F41" s="12" t="str">
        <f>IFERROR(__xludf.DUMMYFUNCTION("GOOGLETRANSLATE(B41,""zh_cn"",""vi"")"),"Chăn bông")</f>
        <v>Chăn bông</v>
      </c>
      <c r="G41" s="20" t="s">
        <v>6738</v>
      </c>
      <c r="H41" s="6"/>
      <c r="I41" s="11" t="b">
        <f t="shared" si="2"/>
        <v>0</v>
      </c>
      <c r="K41" s="11" t="b">
        <f t="shared" si="3"/>
        <v>0</v>
      </c>
    </row>
    <row r="42" ht="22.5" customHeight="1">
      <c r="A42" s="12">
        <f t="shared" si="4"/>
        <v>2040</v>
      </c>
      <c r="B42" s="30" t="s">
        <v>45</v>
      </c>
      <c r="C42" s="7" t="str">
        <f t="shared" si="1"/>
        <v>🔊</v>
      </c>
      <c r="D42" s="8" t="s">
        <v>46</v>
      </c>
      <c r="E42" s="6" t="s">
        <v>5586</v>
      </c>
      <c r="F42" s="5" t="s">
        <v>6739</v>
      </c>
      <c r="G42" s="20" t="s">
        <v>6740</v>
      </c>
      <c r="H42" s="6"/>
      <c r="I42" s="11" t="b">
        <f t="shared" si="2"/>
        <v>0</v>
      </c>
      <c r="K42" s="11" t="b">
        <f t="shared" si="3"/>
        <v>0</v>
      </c>
    </row>
    <row r="43" ht="22.5" customHeight="1">
      <c r="A43" s="12">
        <f t="shared" si="4"/>
        <v>2041</v>
      </c>
      <c r="B43" s="30" t="s">
        <v>6741</v>
      </c>
      <c r="C43" s="7" t="str">
        <f t="shared" si="1"/>
        <v>🔊</v>
      </c>
      <c r="D43" s="8" t="s">
        <v>6742</v>
      </c>
      <c r="E43" s="6" t="s">
        <v>27</v>
      </c>
      <c r="F43" s="5" t="s">
        <v>6743</v>
      </c>
      <c r="G43" s="20" t="s">
        <v>6744</v>
      </c>
      <c r="H43" s="6"/>
      <c r="I43" s="11" t="b">
        <f t="shared" si="2"/>
        <v>0</v>
      </c>
      <c r="K43" s="11" t="b">
        <f t="shared" si="3"/>
        <v>0</v>
      </c>
    </row>
    <row r="44" ht="22.5" customHeight="1">
      <c r="A44" s="12">
        <f t="shared" si="4"/>
        <v>2042</v>
      </c>
      <c r="B44" s="30" t="s">
        <v>6745</v>
      </c>
      <c r="C44" s="7" t="str">
        <f t="shared" si="1"/>
        <v>🔊</v>
      </c>
      <c r="D44" s="8" t="s">
        <v>6746</v>
      </c>
      <c r="E44" s="6" t="s">
        <v>27</v>
      </c>
      <c r="F44" s="5" t="s">
        <v>6747</v>
      </c>
      <c r="G44" s="20" t="s">
        <v>6748</v>
      </c>
      <c r="H44" s="6"/>
      <c r="I44" s="11" t="b">
        <f t="shared" si="2"/>
        <v>0</v>
      </c>
      <c r="K44" s="11" t="b">
        <f t="shared" si="3"/>
        <v>0</v>
      </c>
    </row>
    <row r="45" ht="22.5" customHeight="1">
      <c r="A45" s="12">
        <f t="shared" si="4"/>
        <v>2043</v>
      </c>
      <c r="B45" s="30" t="s">
        <v>6749</v>
      </c>
      <c r="C45" s="7" t="str">
        <f t="shared" si="1"/>
        <v>🔊</v>
      </c>
      <c r="D45" s="8" t="s">
        <v>6750</v>
      </c>
      <c r="E45" s="6" t="s">
        <v>106</v>
      </c>
      <c r="F45" s="12" t="str">
        <f>IFERROR(__xludf.DUMMYFUNCTION("GOOGLETRANSLATE(B45,""zh_cn"",""vi"")"),"Chính tôi")</f>
        <v>Chính tôi</v>
      </c>
      <c r="G45" s="20" t="s">
        <v>6751</v>
      </c>
      <c r="H45" s="6"/>
      <c r="I45" s="11" t="b">
        <f t="shared" si="2"/>
        <v>0</v>
      </c>
      <c r="K45" s="11" t="b">
        <f t="shared" si="3"/>
        <v>0</v>
      </c>
    </row>
    <row r="46" ht="22.5" customHeight="1">
      <c r="A46" s="12">
        <f t="shared" si="4"/>
        <v>2044</v>
      </c>
      <c r="B46" s="30" t="s">
        <v>6752</v>
      </c>
      <c r="C46" s="7" t="str">
        <f t="shared" si="1"/>
        <v>🔊</v>
      </c>
      <c r="D46" s="8" t="s">
        <v>6753</v>
      </c>
      <c r="E46" s="6" t="s">
        <v>27</v>
      </c>
      <c r="F46" s="5" t="s">
        <v>6754</v>
      </c>
      <c r="G46" s="20" t="s">
        <v>6755</v>
      </c>
      <c r="H46" s="6"/>
      <c r="I46" s="11" t="b">
        <f t="shared" si="2"/>
        <v>0</v>
      </c>
      <c r="K46" s="11" t="b">
        <f t="shared" si="3"/>
        <v>0</v>
      </c>
    </row>
    <row r="47" ht="22.5" customHeight="1">
      <c r="A47" s="12">
        <f t="shared" si="4"/>
        <v>2045</v>
      </c>
      <c r="B47" s="30" t="s">
        <v>6756</v>
      </c>
      <c r="C47" s="7" t="str">
        <f t="shared" si="1"/>
        <v>🔊</v>
      </c>
      <c r="D47" s="8" t="s">
        <v>6757</v>
      </c>
      <c r="E47" s="6" t="s">
        <v>61</v>
      </c>
      <c r="F47" s="12" t="str">
        <f>IFERROR(__xludf.DUMMYFUNCTION("GOOGLETRANSLATE(B47,""zh_cn"",""vi"")"),"phải")</f>
        <v>phải</v>
      </c>
      <c r="G47" s="20" t="s">
        <v>6758</v>
      </c>
      <c r="H47" s="6"/>
      <c r="I47" s="11" t="b">
        <f t="shared" si="2"/>
        <v>0</v>
      </c>
      <c r="K47" s="11" t="b">
        <f t="shared" si="3"/>
        <v>0</v>
      </c>
    </row>
    <row r="48" ht="22.5" customHeight="1">
      <c r="A48" s="12">
        <f t="shared" si="4"/>
        <v>2046</v>
      </c>
      <c r="B48" s="30" t="s">
        <v>6759</v>
      </c>
      <c r="C48" s="7" t="str">
        <f t="shared" si="1"/>
        <v>🔊</v>
      </c>
      <c r="D48" s="8" t="s">
        <v>1777</v>
      </c>
      <c r="E48" s="6" t="s">
        <v>61</v>
      </c>
      <c r="F48" s="5" t="s">
        <v>6760</v>
      </c>
      <c r="G48" s="20" t="s">
        <v>6761</v>
      </c>
      <c r="H48" s="6"/>
      <c r="I48" s="11" t="b">
        <f t="shared" si="2"/>
        <v>0</v>
      </c>
      <c r="K48" s="11" t="b">
        <f t="shared" si="3"/>
        <v>0</v>
      </c>
    </row>
    <row r="49" ht="22.5" customHeight="1">
      <c r="A49" s="12">
        <f t="shared" si="4"/>
        <v>2047</v>
      </c>
      <c r="B49" s="30" t="s">
        <v>6762</v>
      </c>
      <c r="C49" s="7" t="str">
        <f t="shared" si="1"/>
        <v>🔊</v>
      </c>
      <c r="D49" s="8" t="s">
        <v>6763</v>
      </c>
      <c r="E49" s="6" t="s">
        <v>13</v>
      </c>
      <c r="F49" s="5" t="s">
        <v>6764</v>
      </c>
      <c r="G49" s="20" t="s">
        <v>6765</v>
      </c>
      <c r="H49" s="6"/>
      <c r="I49" s="11" t="b">
        <f t="shared" si="2"/>
        <v>0</v>
      </c>
      <c r="K49" s="11" t="b">
        <f t="shared" si="3"/>
        <v>0</v>
      </c>
    </row>
    <row r="50" ht="22.5" customHeight="1">
      <c r="A50" s="12">
        <f t="shared" si="4"/>
        <v>2048</v>
      </c>
      <c r="B50" s="30" t="s">
        <v>6766</v>
      </c>
      <c r="C50" s="7" t="str">
        <f t="shared" si="1"/>
        <v>🔊</v>
      </c>
      <c r="D50" s="8" t="s">
        <v>6767</v>
      </c>
      <c r="E50" s="6" t="s">
        <v>416</v>
      </c>
      <c r="F50" s="5" t="s">
        <v>6760</v>
      </c>
      <c r="G50" s="20" t="s">
        <v>6768</v>
      </c>
      <c r="H50" s="6"/>
      <c r="I50" s="11" t="b">
        <f t="shared" si="2"/>
        <v>0</v>
      </c>
      <c r="K50" s="11" t="b">
        <f t="shared" si="3"/>
        <v>0</v>
      </c>
    </row>
    <row r="51" ht="22.5" customHeight="1">
      <c r="A51" s="12">
        <f t="shared" si="4"/>
        <v>2049</v>
      </c>
      <c r="B51" s="30" t="s">
        <v>6769</v>
      </c>
      <c r="C51" s="7" t="str">
        <f t="shared" si="1"/>
        <v>🔊</v>
      </c>
      <c r="D51" s="8" t="s">
        <v>6770</v>
      </c>
      <c r="E51" s="6" t="s">
        <v>27</v>
      </c>
      <c r="F51" s="12" t="str">
        <f>IFERROR(__xludf.DUMMYFUNCTION("GOOGLETRANSLATE(B51,""zh_cn"",""vi"")"),"cửa hàng tiện lợi")</f>
        <v>cửa hàng tiện lợi</v>
      </c>
      <c r="G51" s="20" t="s">
        <v>6771</v>
      </c>
      <c r="H51" s="6"/>
      <c r="I51" s="11" t="b">
        <f t="shared" si="2"/>
        <v>0</v>
      </c>
      <c r="K51" s="11" t="b">
        <f t="shared" si="3"/>
        <v>0</v>
      </c>
    </row>
    <row r="52" ht="22.5" customHeight="1">
      <c r="A52" s="12">
        <f t="shared" si="4"/>
        <v>2050</v>
      </c>
      <c r="B52" s="30" t="s">
        <v>6772</v>
      </c>
      <c r="C52" s="7" t="str">
        <f t="shared" si="1"/>
        <v>🔊</v>
      </c>
      <c r="D52" s="8" t="s">
        <v>6773</v>
      </c>
      <c r="E52" s="6" t="s">
        <v>13</v>
      </c>
      <c r="F52" s="12" t="str">
        <f>IFERROR(__xludf.DUMMYFUNCTION("GOOGLETRANSLATE(B52,""zh_cn"",""vi"")"),"Thể hiện")</f>
        <v>Thể hiện</v>
      </c>
      <c r="G52" s="20" t="s">
        <v>6774</v>
      </c>
      <c r="H52" s="6"/>
      <c r="I52" s="11" t="b">
        <f t="shared" si="2"/>
        <v>0</v>
      </c>
      <c r="K52" s="11" t="b">
        <f t="shared" si="3"/>
        <v>0</v>
      </c>
    </row>
    <row r="53" ht="22.5" customHeight="1">
      <c r="A53" s="12">
        <f t="shared" si="4"/>
        <v>2051</v>
      </c>
      <c r="B53" s="30" t="s">
        <v>6775</v>
      </c>
      <c r="C53" s="7" t="str">
        <f t="shared" si="1"/>
        <v>🔊</v>
      </c>
      <c r="D53" s="8" t="s">
        <v>6776</v>
      </c>
      <c r="E53" s="6" t="s">
        <v>27</v>
      </c>
      <c r="F53" s="12" t="str">
        <f>IFERROR(__xludf.DUMMYFUNCTION("GOOGLETRANSLATE(B53,""zh_cn"",""vi"")"),"bề mặt")</f>
        <v>bề mặt</v>
      </c>
      <c r="G53" s="20" t="s">
        <v>6777</v>
      </c>
      <c r="H53" s="6"/>
      <c r="I53" s="11" t="b">
        <f t="shared" si="2"/>
        <v>0</v>
      </c>
      <c r="K53" s="11" t="b">
        <f t="shared" si="3"/>
        <v>0</v>
      </c>
    </row>
    <row r="54" ht="22.5" customHeight="1">
      <c r="A54" s="12">
        <f t="shared" si="4"/>
        <v>2052</v>
      </c>
      <c r="B54" s="30" t="s">
        <v>6778</v>
      </c>
      <c r="C54" s="7" t="str">
        <f t="shared" si="1"/>
        <v>🔊</v>
      </c>
      <c r="D54" s="8" t="s">
        <v>6779</v>
      </c>
      <c r="E54" s="6" t="s">
        <v>13</v>
      </c>
      <c r="F54" s="5" t="s">
        <v>6780</v>
      </c>
      <c r="G54" s="20" t="s">
        <v>6781</v>
      </c>
      <c r="H54" s="6"/>
      <c r="I54" s="11" t="b">
        <f t="shared" si="2"/>
        <v>0</v>
      </c>
      <c r="K54" s="11" t="b">
        <f t="shared" si="3"/>
        <v>0</v>
      </c>
    </row>
    <row r="55" ht="22.5" customHeight="1">
      <c r="A55" s="12">
        <f t="shared" si="4"/>
        <v>2053</v>
      </c>
      <c r="B55" s="30" t="s">
        <v>6782</v>
      </c>
      <c r="C55" s="7" t="str">
        <f t="shared" si="1"/>
        <v>🔊</v>
      </c>
      <c r="D55" s="8" t="s">
        <v>6783</v>
      </c>
      <c r="E55" s="6" t="s">
        <v>27</v>
      </c>
      <c r="F55" s="5" t="s">
        <v>6784</v>
      </c>
      <c r="G55" s="20" t="s">
        <v>6785</v>
      </c>
      <c r="H55" s="6"/>
      <c r="I55" s="11" t="b">
        <f t="shared" si="2"/>
        <v>0</v>
      </c>
      <c r="K55" s="11" t="b">
        <f t="shared" si="3"/>
        <v>0</v>
      </c>
    </row>
    <row r="56" ht="22.5" customHeight="1">
      <c r="A56" s="12">
        <f t="shared" si="4"/>
        <v>2054</v>
      </c>
      <c r="B56" s="30" t="s">
        <v>6786</v>
      </c>
      <c r="C56" s="7" t="str">
        <f t="shared" si="1"/>
        <v>🔊</v>
      </c>
      <c r="D56" s="8" t="s">
        <v>6787</v>
      </c>
      <c r="E56" s="6" t="s">
        <v>27</v>
      </c>
      <c r="F56" s="12" t="str">
        <f>IFERROR(__xludf.DUMMYFUNCTION("GOOGLETRANSLATE(B56,""zh_cn"",""vi"")"),"tiêu đề")</f>
        <v>tiêu đề</v>
      </c>
      <c r="G56" s="20" t="s">
        <v>6788</v>
      </c>
      <c r="H56" s="6"/>
      <c r="I56" s="11" t="b">
        <f t="shared" si="2"/>
        <v>0</v>
      </c>
      <c r="K56" s="11" t="b">
        <f t="shared" si="3"/>
        <v>0</v>
      </c>
    </row>
    <row r="57" ht="22.5" customHeight="1">
      <c r="A57" s="12">
        <f t="shared" si="4"/>
        <v>2055</v>
      </c>
      <c r="B57" s="30" t="s">
        <v>6789</v>
      </c>
      <c r="C57" s="7" t="str">
        <f t="shared" si="1"/>
        <v>🔊</v>
      </c>
      <c r="D57" s="8" t="s">
        <v>6790</v>
      </c>
      <c r="E57" s="6" t="s">
        <v>57</v>
      </c>
      <c r="F57" s="12" t="str">
        <f>IFERROR(__xludf.DUMMYFUNCTION("GOOGLETRANSLATE(B57,""zh_cn"",""vi"")"),"logo")</f>
        <v>logo</v>
      </c>
      <c r="G57" s="20" t="s">
        <v>6791</v>
      </c>
      <c r="H57" s="6"/>
      <c r="I57" s="11" t="b">
        <f t="shared" si="2"/>
        <v>0</v>
      </c>
      <c r="K57" s="11" t="b">
        <f t="shared" si="3"/>
        <v>0</v>
      </c>
    </row>
    <row r="58" ht="22.5" customHeight="1">
      <c r="A58" s="12">
        <f t="shared" si="4"/>
        <v>2056</v>
      </c>
      <c r="B58" s="30" t="s">
        <v>6792</v>
      </c>
      <c r="C58" s="7" t="str">
        <f t="shared" si="1"/>
        <v>🔊</v>
      </c>
      <c r="D58" s="8" t="s">
        <v>6793</v>
      </c>
      <c r="E58" s="6" t="s">
        <v>106</v>
      </c>
      <c r="F58" s="5" t="s">
        <v>4369</v>
      </c>
      <c r="G58" s="20" t="s">
        <v>6794</v>
      </c>
      <c r="H58" s="6"/>
      <c r="I58" s="11" t="b">
        <f t="shared" si="2"/>
        <v>0</v>
      </c>
      <c r="K58" s="11" t="b">
        <f t="shared" si="3"/>
        <v>0</v>
      </c>
    </row>
    <row r="59" ht="22.5" customHeight="1">
      <c r="A59" s="12">
        <f t="shared" si="4"/>
        <v>2057</v>
      </c>
      <c r="B59" s="30" t="s">
        <v>1058</v>
      </c>
      <c r="C59" s="7" t="str">
        <f t="shared" si="1"/>
        <v>🔊</v>
      </c>
      <c r="D59" s="8" t="s">
        <v>1059</v>
      </c>
      <c r="E59" s="6" t="s">
        <v>13</v>
      </c>
      <c r="F59" s="12" t="str">
        <f>IFERROR(__xludf.DUMMYFUNCTION("GOOGLETRANSLATE(B59,""zh_cn"",""vi"")"),"Đừng")</f>
        <v>Đừng</v>
      </c>
      <c r="G59" s="20" t="s">
        <v>6795</v>
      </c>
      <c r="H59" s="6"/>
      <c r="I59" s="11" t="b">
        <f t="shared" si="2"/>
        <v>0</v>
      </c>
      <c r="K59" s="11" t="b">
        <f t="shared" si="3"/>
        <v>0</v>
      </c>
    </row>
    <row r="60" ht="22.5" customHeight="1">
      <c r="A60" s="12">
        <f t="shared" si="4"/>
        <v>2058</v>
      </c>
      <c r="B60" s="30" t="s">
        <v>6796</v>
      </c>
      <c r="C60" s="7" t="str">
        <f t="shared" si="1"/>
        <v>🔊</v>
      </c>
      <c r="D60" s="8" t="s">
        <v>6797</v>
      </c>
      <c r="E60" s="6" t="s">
        <v>27</v>
      </c>
      <c r="F60" s="5" t="s">
        <v>6798</v>
      </c>
      <c r="G60" s="20" t="s">
        <v>6799</v>
      </c>
      <c r="H60" s="6"/>
      <c r="I60" s="11" t="b">
        <f t="shared" si="2"/>
        <v>0</v>
      </c>
      <c r="K60" s="11" t="b">
        <f t="shared" si="3"/>
        <v>0</v>
      </c>
    </row>
    <row r="61" ht="22.5" customHeight="1">
      <c r="A61" s="12">
        <f t="shared" si="4"/>
        <v>2059</v>
      </c>
      <c r="B61" s="30" t="s">
        <v>6800</v>
      </c>
      <c r="C61" s="7" t="str">
        <f t="shared" si="1"/>
        <v>🔊</v>
      </c>
      <c r="D61" s="8" t="s">
        <v>6801</v>
      </c>
      <c r="E61" s="6" t="s">
        <v>61</v>
      </c>
      <c r="F61" s="12" t="str">
        <f>IFERROR(__xludf.DUMMYFUNCTION("GOOGLETRANSLATE(B61,""zh_cn"",""vi"")"),"sau tất cả")</f>
        <v>sau tất cả</v>
      </c>
      <c r="G61" s="20" t="s">
        <v>6802</v>
      </c>
      <c r="H61" s="6"/>
      <c r="I61" s="11" t="b">
        <f t="shared" si="2"/>
        <v>0</v>
      </c>
      <c r="K61" s="11" t="b">
        <f t="shared" si="3"/>
        <v>0</v>
      </c>
    </row>
    <row r="62" ht="22.5" customHeight="1">
      <c r="A62" s="12">
        <f t="shared" si="4"/>
        <v>2060</v>
      </c>
      <c r="B62" s="30" t="s">
        <v>6803</v>
      </c>
      <c r="C62" s="7" t="str">
        <f t="shared" si="1"/>
        <v>🔊</v>
      </c>
      <c r="D62" s="8" t="s">
        <v>6804</v>
      </c>
      <c r="E62" s="6" t="s">
        <v>27</v>
      </c>
      <c r="F62" s="12" t="str">
        <f>IFERROR(__xludf.DUMMYFUNCTION("GOOGLETRANSLATE(B62,""zh_cn"",""vi"")"),"Tỷ lệ")</f>
        <v>Tỷ lệ</v>
      </c>
      <c r="G62" s="20" t="s">
        <v>6805</v>
      </c>
      <c r="H62" s="6"/>
      <c r="I62" s="11" t="b">
        <f t="shared" si="2"/>
        <v>0</v>
      </c>
      <c r="K62" s="11" t="b">
        <f t="shared" si="3"/>
        <v>0</v>
      </c>
    </row>
    <row r="63" ht="22.5" customHeight="1">
      <c r="A63" s="12">
        <f t="shared" si="4"/>
        <v>2061</v>
      </c>
      <c r="B63" s="30" t="s">
        <v>6806</v>
      </c>
      <c r="C63" s="7" t="str">
        <f t="shared" si="1"/>
        <v>🔊</v>
      </c>
      <c r="D63" s="8" t="s">
        <v>6807</v>
      </c>
      <c r="E63" s="6" t="s">
        <v>13</v>
      </c>
      <c r="F63" s="12" t="str">
        <f>IFERROR(__xludf.DUMMYFUNCTION("GOOGLETRANSLATE(B63,""zh_cn"",""vi"")"),"tránh xa")</f>
        <v>tránh xa</v>
      </c>
      <c r="G63" s="20" t="s">
        <v>6808</v>
      </c>
      <c r="H63" s="6"/>
      <c r="I63" s="11" t="b">
        <f t="shared" si="2"/>
        <v>0</v>
      </c>
      <c r="K63" s="11" t="b">
        <f t="shared" si="3"/>
        <v>0</v>
      </c>
    </row>
    <row r="64" ht="22.5" customHeight="1">
      <c r="A64" s="12">
        <f t="shared" si="4"/>
        <v>2062</v>
      </c>
      <c r="B64" s="30" t="s">
        <v>6809</v>
      </c>
      <c r="C64" s="7" t="str">
        <f t="shared" si="1"/>
        <v>🔊</v>
      </c>
      <c r="D64" s="8" t="s">
        <v>6810</v>
      </c>
      <c r="E64" s="6" t="s">
        <v>27</v>
      </c>
      <c r="F64" s="12" t="str">
        <f>IFERROR(__xludf.DUMMYFUNCTION("GOOGLETRANSLATE(B64,""zh_cn"",""vi"")"),"Lễ bế mạc")</f>
        <v>Lễ bế mạc</v>
      </c>
      <c r="G64" s="20" t="s">
        <v>6811</v>
      </c>
      <c r="H64" s="6"/>
      <c r="I64" s="11" t="b">
        <f t="shared" si="2"/>
        <v>0</v>
      </c>
      <c r="K64" s="11" t="b">
        <f t="shared" si="3"/>
        <v>0</v>
      </c>
    </row>
    <row r="65" ht="22.5" customHeight="1">
      <c r="A65" s="12">
        <f t="shared" si="4"/>
        <v>2063</v>
      </c>
      <c r="B65" s="30" t="s">
        <v>6812</v>
      </c>
      <c r="C65" s="7" t="str">
        <f t="shared" si="1"/>
        <v>🔊</v>
      </c>
      <c r="D65" s="8" t="s">
        <v>6813</v>
      </c>
      <c r="E65" s="6" t="s">
        <v>27</v>
      </c>
      <c r="F65" s="5" t="s">
        <v>6814</v>
      </c>
      <c r="G65" s="20" t="s">
        <v>6815</v>
      </c>
      <c r="H65" s="6"/>
      <c r="I65" s="11" t="b">
        <f t="shared" si="2"/>
        <v>0</v>
      </c>
      <c r="K65" s="11" t="b">
        <f t="shared" si="3"/>
        <v>0</v>
      </c>
    </row>
    <row r="66" ht="22.5" customHeight="1">
      <c r="A66" s="12">
        <f t="shared" si="4"/>
        <v>2064</v>
      </c>
      <c r="B66" s="30" t="s">
        <v>6816</v>
      </c>
      <c r="C66" s="7" t="str">
        <f t="shared" si="1"/>
        <v>🔊</v>
      </c>
      <c r="D66" s="8" t="s">
        <v>6817</v>
      </c>
      <c r="E66" s="6" t="s">
        <v>27</v>
      </c>
      <c r="F66" s="5" t="s">
        <v>6818</v>
      </c>
      <c r="G66" s="20" t="s">
        <v>6819</v>
      </c>
      <c r="H66" s="6"/>
      <c r="I66" s="11" t="b">
        <f t="shared" si="2"/>
        <v>0</v>
      </c>
      <c r="K66" s="11" t="b">
        <f t="shared" si="3"/>
        <v>0</v>
      </c>
    </row>
    <row r="67" ht="22.5" customHeight="1">
      <c r="A67" s="12">
        <f t="shared" si="4"/>
        <v>2065</v>
      </c>
      <c r="B67" s="30" t="s">
        <v>6820</v>
      </c>
      <c r="C67" s="7" t="str">
        <f t="shared" si="1"/>
        <v>🔊</v>
      </c>
      <c r="D67" s="8" t="s">
        <v>6821</v>
      </c>
      <c r="E67" s="6" t="s">
        <v>27</v>
      </c>
      <c r="F67" s="5" t="s">
        <v>6822</v>
      </c>
      <c r="G67" s="20" t="s">
        <v>6823</v>
      </c>
      <c r="H67" s="6"/>
      <c r="I67" s="11" t="b">
        <f t="shared" si="2"/>
        <v>0</v>
      </c>
      <c r="K67" s="11" t="b">
        <f t="shared" si="3"/>
        <v>0</v>
      </c>
    </row>
    <row r="68" ht="22.5" customHeight="1">
      <c r="A68" s="12">
        <f t="shared" si="4"/>
        <v>2066</v>
      </c>
      <c r="B68" s="30" t="s">
        <v>6824</v>
      </c>
      <c r="C68" s="7" t="str">
        <f t="shared" si="1"/>
        <v>🔊</v>
      </c>
      <c r="D68" s="8" t="s">
        <v>6825</v>
      </c>
      <c r="E68" s="6" t="s">
        <v>1164</v>
      </c>
      <c r="F68" s="5" t="s">
        <v>6826</v>
      </c>
      <c r="G68" s="20" t="s">
        <v>6827</v>
      </c>
      <c r="H68" s="6"/>
      <c r="I68" s="11" t="b">
        <f t="shared" si="2"/>
        <v>0</v>
      </c>
      <c r="K68" s="11" t="b">
        <f t="shared" si="3"/>
        <v>0</v>
      </c>
    </row>
    <row r="69" ht="22.5" customHeight="1">
      <c r="A69" s="12">
        <f t="shared" si="4"/>
        <v>2067</v>
      </c>
      <c r="B69" s="30" t="s">
        <v>6828</v>
      </c>
      <c r="C69" s="7" t="str">
        <f t="shared" si="1"/>
        <v>🔊</v>
      </c>
      <c r="D69" s="8" t="s">
        <v>1834</v>
      </c>
      <c r="E69" s="6" t="s">
        <v>13</v>
      </c>
      <c r="F69" s="5" t="s">
        <v>6829</v>
      </c>
      <c r="G69" s="20" t="s">
        <v>6830</v>
      </c>
      <c r="H69" s="6"/>
      <c r="I69" s="11" t="b">
        <f t="shared" si="2"/>
        <v>0</v>
      </c>
      <c r="K69" s="11" t="b">
        <f t="shared" si="3"/>
        <v>0</v>
      </c>
    </row>
    <row r="70" ht="22.5" customHeight="1">
      <c r="A70" s="12">
        <f t="shared" si="4"/>
        <v>2068</v>
      </c>
      <c r="B70" s="30" t="s">
        <v>6831</v>
      </c>
      <c r="C70" s="7" t="str">
        <f t="shared" si="1"/>
        <v>🔊</v>
      </c>
      <c r="D70" s="8" t="s">
        <v>6832</v>
      </c>
      <c r="E70" s="6" t="s">
        <v>99</v>
      </c>
      <c r="F70" s="12" t="str">
        <f>IFERROR(__xludf.DUMMYFUNCTION("GOOGLETRANSLATE(B70,""zh_cn"",""vi"")"),"cần thiết")</f>
        <v>cần thiết</v>
      </c>
      <c r="G70" s="20" t="s">
        <v>6833</v>
      </c>
      <c r="H70" s="6"/>
      <c r="I70" s="11" t="b">
        <f t="shared" si="2"/>
        <v>0</v>
      </c>
      <c r="K70" s="11" t="b">
        <f t="shared" si="3"/>
        <v>0</v>
      </c>
    </row>
    <row r="71" ht="22.5" customHeight="1">
      <c r="A71" s="12">
        <f t="shared" si="4"/>
        <v>2069</v>
      </c>
      <c r="B71" s="30" t="s">
        <v>6834</v>
      </c>
      <c r="C71" s="7" t="str">
        <f t="shared" si="1"/>
        <v>🔊</v>
      </c>
      <c r="D71" s="8" t="s">
        <v>6835</v>
      </c>
      <c r="E71" s="6" t="s">
        <v>232</v>
      </c>
      <c r="F71" s="12" t="str">
        <f>IFERROR(__xludf.DUMMYFUNCTION("GOOGLETRANSLATE(B71,""zh_cn"",""vi"")"),"so sánh")</f>
        <v>so sánh</v>
      </c>
      <c r="G71" s="20" t="s">
        <v>6836</v>
      </c>
      <c r="H71" s="6"/>
      <c r="I71" s="11" t="b">
        <f t="shared" si="2"/>
        <v>0</v>
      </c>
      <c r="K71" s="11" t="b">
        <f t="shared" si="3"/>
        <v>0</v>
      </c>
    </row>
    <row r="72" ht="22.5" customHeight="1">
      <c r="A72" s="12">
        <f t="shared" si="4"/>
        <v>2070</v>
      </c>
      <c r="B72" s="31" t="s">
        <v>6837</v>
      </c>
      <c r="C72" s="7" t="str">
        <f t="shared" si="1"/>
        <v>🔊</v>
      </c>
      <c r="D72" s="8" t="s">
        <v>6838</v>
      </c>
      <c r="E72" s="6" t="s">
        <v>13</v>
      </c>
      <c r="F72" s="5" t="s">
        <v>6839</v>
      </c>
      <c r="G72" s="20" t="s">
        <v>6840</v>
      </c>
      <c r="H72" s="6"/>
      <c r="I72" s="11" t="b">
        <f t="shared" si="2"/>
        <v>0</v>
      </c>
      <c r="K72" s="11" t="b">
        <f t="shared" si="3"/>
        <v>0</v>
      </c>
    </row>
    <row r="73" ht="22.5" customHeight="1">
      <c r="A73" s="12">
        <f t="shared" si="4"/>
        <v>2071</v>
      </c>
      <c r="B73" s="30" t="s">
        <v>6841</v>
      </c>
      <c r="C73" s="7" t="str">
        <f t="shared" si="1"/>
        <v>🔊</v>
      </c>
      <c r="D73" s="8" t="s">
        <v>6842</v>
      </c>
      <c r="E73" s="6" t="s">
        <v>27</v>
      </c>
      <c r="F73" s="12" t="str">
        <f>IFERROR(__xludf.DUMMYFUNCTION("GOOGLETRANSLATE(B73,""zh_cn"",""vi"")"),"Thủy tinh")</f>
        <v>Thủy tinh</v>
      </c>
      <c r="G73" s="20" t="s">
        <v>6843</v>
      </c>
      <c r="H73" s="6"/>
      <c r="I73" s="11" t="b">
        <f t="shared" si="2"/>
        <v>0</v>
      </c>
      <c r="K73" s="11" t="b">
        <f t="shared" si="3"/>
        <v>0</v>
      </c>
    </row>
    <row r="74" ht="22.5" customHeight="1">
      <c r="A74" s="12">
        <f t="shared" si="4"/>
        <v>2072</v>
      </c>
      <c r="B74" s="30" t="s">
        <v>6844</v>
      </c>
      <c r="C74" s="7" t="str">
        <f t="shared" si="1"/>
        <v>🔊</v>
      </c>
      <c r="D74" s="8" t="s">
        <v>6845</v>
      </c>
      <c r="E74" s="6" t="s">
        <v>27</v>
      </c>
      <c r="F74" s="12" t="str">
        <f>IFERROR(__xludf.DUMMYFUNCTION("GOOGLETRANSLATE(B74,""zh_cn"",""vi"")"),"bảo tàng")</f>
        <v>bảo tàng</v>
      </c>
      <c r="G74" s="20" t="s">
        <v>6846</v>
      </c>
      <c r="H74" s="6"/>
      <c r="I74" s="11" t="b">
        <f t="shared" si="2"/>
        <v>0</v>
      </c>
      <c r="K74" s="11" t="b">
        <f t="shared" si="3"/>
        <v>0</v>
      </c>
    </row>
    <row r="75" ht="22.5" customHeight="1">
      <c r="A75" s="12">
        <f t="shared" si="4"/>
        <v>2073</v>
      </c>
      <c r="B75" s="30" t="s">
        <v>6847</v>
      </c>
      <c r="C75" s="7" t="str">
        <f t="shared" si="1"/>
        <v>🔊</v>
      </c>
      <c r="D75" s="8" t="s">
        <v>6848</v>
      </c>
      <c r="E75" s="6" t="s">
        <v>13</v>
      </c>
      <c r="F75" s="12" t="str">
        <f>IFERROR(__xludf.DUMMYFUNCTION("GOOGLETRANSLATE(B75,""zh_cn"",""vi"")"),"Bổ sung")</f>
        <v>Bổ sung</v>
      </c>
      <c r="G75" s="20" t="s">
        <v>6849</v>
      </c>
      <c r="H75" s="6"/>
      <c r="I75" s="11" t="b">
        <f t="shared" si="2"/>
        <v>0</v>
      </c>
      <c r="K75" s="11" t="b">
        <f t="shared" si="3"/>
        <v>0</v>
      </c>
    </row>
    <row r="76" ht="22.5" customHeight="1">
      <c r="A76" s="12">
        <f t="shared" si="4"/>
        <v>2074</v>
      </c>
      <c r="B76" s="30" t="s">
        <v>6850</v>
      </c>
      <c r="C76" s="7" t="str">
        <f t="shared" si="1"/>
        <v>🔊</v>
      </c>
      <c r="D76" s="8" t="s">
        <v>6851</v>
      </c>
      <c r="E76" s="6" t="s">
        <v>99</v>
      </c>
      <c r="F76" s="12" t="str">
        <f>IFERROR(__xludf.DUMMYFUNCTION("GOOGLETRANSLATE(B76,""zh_cn"",""vi"")"),"Thật không thể tin được!")</f>
        <v>Thật không thể tin được!</v>
      </c>
      <c r="G76" s="20" t="s">
        <v>6852</v>
      </c>
      <c r="H76" s="6"/>
      <c r="I76" s="11" t="b">
        <f t="shared" si="2"/>
        <v>0</v>
      </c>
      <c r="K76" s="11" t="b">
        <f t="shared" si="3"/>
        <v>0</v>
      </c>
    </row>
    <row r="77" ht="22.5" customHeight="1">
      <c r="A77" s="12">
        <f t="shared" si="4"/>
        <v>2075</v>
      </c>
      <c r="B77" s="30" t="s">
        <v>6853</v>
      </c>
      <c r="C77" s="7" t="str">
        <f t="shared" si="1"/>
        <v>🔊</v>
      </c>
      <c r="D77" s="8" t="s">
        <v>6854</v>
      </c>
      <c r="E77" s="6" t="s">
        <v>13</v>
      </c>
      <c r="F77" s="12" t="str">
        <f>IFERROR(__xludf.DUMMYFUNCTION("GOOGLETRANSLATE(B77,""zh_cn"",""vi"")"),"Không nhất quán")</f>
        <v>Không nhất quán</v>
      </c>
      <c r="G77" s="20" t="s">
        <v>6855</v>
      </c>
      <c r="H77" s="6"/>
      <c r="I77" s="11" t="b">
        <f t="shared" si="2"/>
        <v>0</v>
      </c>
      <c r="K77" s="11" t="b">
        <f t="shared" si="3"/>
        <v>0</v>
      </c>
    </row>
    <row r="78" ht="22.5" customHeight="1">
      <c r="A78" s="12">
        <f t="shared" si="4"/>
        <v>2076</v>
      </c>
      <c r="B78" s="30" t="s">
        <v>6856</v>
      </c>
      <c r="C78" s="7" t="str">
        <f t="shared" si="1"/>
        <v>🔊</v>
      </c>
      <c r="D78" s="8" t="s">
        <v>6857</v>
      </c>
      <c r="E78" s="6" t="s">
        <v>99</v>
      </c>
      <c r="F78" s="12" t="str">
        <f>IFERROR(__xludf.DUMMYFUNCTION("GOOGLETRANSLATE(B78,""zh_cn"",""vi"")"),"không thuận lợi")</f>
        <v>không thuận lợi</v>
      </c>
      <c r="G78" s="20" t="s">
        <v>6858</v>
      </c>
      <c r="H78" s="6"/>
      <c r="I78" s="11" t="b">
        <f t="shared" si="2"/>
        <v>0</v>
      </c>
      <c r="K78" s="11" t="b">
        <f t="shared" si="3"/>
        <v>0</v>
      </c>
    </row>
    <row r="79" ht="22.5" customHeight="1">
      <c r="A79" s="12">
        <f t="shared" si="4"/>
        <v>2077</v>
      </c>
      <c r="B79" s="30" t="s">
        <v>6859</v>
      </c>
      <c r="C79" s="7" t="str">
        <f t="shared" si="1"/>
        <v>🔊</v>
      </c>
      <c r="D79" s="8" t="s">
        <v>6860</v>
      </c>
      <c r="E79" s="6" t="s">
        <v>99</v>
      </c>
      <c r="F79" s="12" t="str">
        <f>IFERROR(__xludf.DUMMYFUNCTION("GOOGLETRANSLATE(B79,""zh_cn"",""vi"")"),"xấu")</f>
        <v>xấu</v>
      </c>
      <c r="G79" s="20" t="s">
        <v>6861</v>
      </c>
      <c r="H79" s="6"/>
      <c r="I79" s="11" t="b">
        <f t="shared" si="2"/>
        <v>0</v>
      </c>
      <c r="K79" s="11" t="b">
        <f t="shared" si="3"/>
        <v>0</v>
      </c>
    </row>
    <row r="80" ht="22.5" customHeight="1">
      <c r="A80" s="12">
        <f t="shared" si="4"/>
        <v>2078</v>
      </c>
      <c r="B80" s="30" t="s">
        <v>6862</v>
      </c>
      <c r="C80" s="7" t="str">
        <f t="shared" si="1"/>
        <v>🔊</v>
      </c>
      <c r="D80" s="8" t="s">
        <v>6863</v>
      </c>
      <c r="E80" s="6" t="s">
        <v>6864</v>
      </c>
      <c r="F80" s="12" t="str">
        <f>IFERROR(__xludf.DUMMYFUNCTION("GOOGLETRANSLATE(B80,""zh_cn"",""vi"")"),"nếu không thì")</f>
        <v>nếu không thì</v>
      </c>
      <c r="G80" s="20" t="s">
        <v>6865</v>
      </c>
      <c r="H80" s="6"/>
      <c r="I80" s="11" t="b">
        <f t="shared" si="2"/>
        <v>0</v>
      </c>
      <c r="K80" s="11" t="b">
        <f t="shared" si="3"/>
        <v>0</v>
      </c>
    </row>
    <row r="81" ht="22.5" customHeight="1">
      <c r="A81" s="12">
        <f t="shared" si="4"/>
        <v>2079</v>
      </c>
      <c r="B81" s="30" t="s">
        <v>6866</v>
      </c>
      <c r="C81" s="7" t="str">
        <f t="shared" si="1"/>
        <v>🔊</v>
      </c>
      <c r="D81" s="8" t="s">
        <v>6867</v>
      </c>
      <c r="E81" s="6" t="s">
        <v>1164</v>
      </c>
      <c r="F81" s="12" t="str">
        <f>IFERROR(__xludf.DUMMYFUNCTION("GOOGLETRANSLATE(B81,""zh_cn"",""vi"")"),"Không may")</f>
        <v>Không may</v>
      </c>
      <c r="G81" s="20" t="s">
        <v>6868</v>
      </c>
      <c r="H81" s="6"/>
      <c r="I81" s="11" t="b">
        <f t="shared" si="2"/>
        <v>0</v>
      </c>
      <c r="K81" s="11" t="b">
        <f t="shared" si="3"/>
        <v>0</v>
      </c>
    </row>
    <row r="82" ht="22.5" customHeight="1">
      <c r="A82" s="12">
        <f t="shared" si="4"/>
        <v>2080</v>
      </c>
      <c r="B82" s="30" t="s">
        <v>6869</v>
      </c>
      <c r="C82" s="7" t="str">
        <f t="shared" si="1"/>
        <v>🔊</v>
      </c>
      <c r="D82" s="8" t="s">
        <v>1850</v>
      </c>
      <c r="E82" s="6" t="s">
        <v>13</v>
      </c>
      <c r="F82" s="12" t="str">
        <f>IFERROR(__xludf.DUMMYFUNCTION("GOOGLETRANSLATE(B82,""zh_cn"",""vi"")"),"đi bộ")</f>
        <v>đi bộ</v>
      </c>
      <c r="G82" s="20" t="s">
        <v>6870</v>
      </c>
      <c r="H82" s="6"/>
      <c r="I82" s="11" t="b">
        <f t="shared" si="2"/>
        <v>0</v>
      </c>
      <c r="K82" s="11" t="b">
        <f t="shared" si="3"/>
        <v>0</v>
      </c>
    </row>
    <row r="83" ht="22.5" customHeight="1">
      <c r="A83" s="12">
        <f t="shared" si="4"/>
        <v>2081</v>
      </c>
      <c r="B83" s="30" t="s">
        <v>6871</v>
      </c>
      <c r="C83" s="7" t="str">
        <f t="shared" si="1"/>
        <v>🔊</v>
      </c>
      <c r="D83" s="8" t="s">
        <v>6872</v>
      </c>
      <c r="E83" s="6" t="s">
        <v>99</v>
      </c>
      <c r="F83" s="12" t="str">
        <f>IFERROR(__xludf.DUMMYFUNCTION("GOOGLETRANSLATE(B83,""zh_cn"",""vi"")"),"Không sao đâu.")</f>
        <v>Không sao đâu.</v>
      </c>
      <c r="G83" s="20" t="s">
        <v>6873</v>
      </c>
      <c r="H83" s="6"/>
      <c r="I83" s="11" t="b">
        <f t="shared" si="2"/>
        <v>0</v>
      </c>
      <c r="K83" s="11" t="b">
        <f t="shared" si="3"/>
        <v>0</v>
      </c>
    </row>
    <row r="84" ht="22.5" customHeight="1">
      <c r="A84" s="12">
        <f t="shared" si="4"/>
        <v>2082</v>
      </c>
      <c r="B84" s="30" t="s">
        <v>6874</v>
      </c>
      <c r="C84" s="7" t="str">
        <f t="shared" si="1"/>
        <v>🔊</v>
      </c>
      <c r="D84" s="8" t="s">
        <v>6875</v>
      </c>
      <c r="E84" s="6" t="s">
        <v>232</v>
      </c>
      <c r="F84" s="12" t="str">
        <f>IFERROR(__xludf.DUMMYFUNCTION("GOOGLETRANSLATE(B84,""zh_cn"",""vi"")"),"không đủ")</f>
        <v>không đủ</v>
      </c>
      <c r="G84" s="20" t="s">
        <v>6876</v>
      </c>
      <c r="H84" s="6"/>
      <c r="I84" s="11" t="b">
        <f t="shared" si="2"/>
        <v>0</v>
      </c>
      <c r="K84" s="11" t="b">
        <f t="shared" si="3"/>
        <v>0</v>
      </c>
    </row>
    <row r="85" ht="22.5" customHeight="1">
      <c r="A85" s="12">
        <f t="shared" si="4"/>
        <v>2083</v>
      </c>
      <c r="B85" s="30" t="s">
        <v>6877</v>
      </c>
      <c r="C85" s="7" t="str">
        <f t="shared" si="1"/>
        <v>🔊</v>
      </c>
      <c r="D85" s="8" t="s">
        <v>1857</v>
      </c>
      <c r="E85" s="6" t="s">
        <v>27</v>
      </c>
      <c r="F85" s="12" t="str">
        <f>IFERROR(__xludf.DUMMYFUNCTION("GOOGLETRANSLATE(B85,""zh_cn"",""vi"")"),"Chỉ có 2")</f>
        <v>Chỉ có 2</v>
      </c>
      <c r="G85" s="20" t="s">
        <v>6878</v>
      </c>
      <c r="H85" s="6"/>
      <c r="I85" s="11" t="b">
        <f t="shared" si="2"/>
        <v>0</v>
      </c>
      <c r="K85" s="11" t="b">
        <f t="shared" si="3"/>
        <v>0</v>
      </c>
    </row>
    <row r="86" ht="22.5" customHeight="1">
      <c r="A86" s="12">
        <f t="shared" si="4"/>
        <v>2084</v>
      </c>
      <c r="B86" s="30" t="s">
        <v>6879</v>
      </c>
      <c r="C86" s="7" t="str">
        <f t="shared" si="1"/>
        <v>🔊</v>
      </c>
      <c r="D86" s="8" t="s">
        <v>6880</v>
      </c>
      <c r="E86" s="6" t="s">
        <v>13</v>
      </c>
      <c r="F86" s="12" t="str">
        <f>IFERROR(__xludf.DUMMYFUNCTION("GOOGLETRANSLATE(B86,""zh_cn"",""vi"")"),"Phỏng vấn")</f>
        <v>Phỏng vấn</v>
      </c>
      <c r="G86" s="20" t="s">
        <v>6881</v>
      </c>
      <c r="H86" s="6"/>
      <c r="I86" s="11" t="b">
        <f t="shared" si="2"/>
        <v>0</v>
      </c>
      <c r="K86" s="11" t="b">
        <f t="shared" si="3"/>
        <v>0</v>
      </c>
    </row>
    <row r="87" ht="22.5" customHeight="1">
      <c r="A87" s="12">
        <f t="shared" si="4"/>
        <v>2085</v>
      </c>
      <c r="B87" s="30" t="s">
        <v>6882</v>
      </c>
      <c r="C87" s="7" t="str">
        <f t="shared" si="1"/>
        <v>🔊</v>
      </c>
      <c r="D87" s="8" t="s">
        <v>6883</v>
      </c>
      <c r="E87" s="6" t="s">
        <v>232</v>
      </c>
      <c r="F87" s="12" t="str">
        <f>IFERROR(__xludf.DUMMYFUNCTION("GOOGLETRANSLATE(B87,""zh_cn"",""vi"")"),"trọng tài")</f>
        <v>trọng tài</v>
      </c>
      <c r="G87" s="20" t="s">
        <v>6884</v>
      </c>
      <c r="H87" s="6"/>
      <c r="I87" s="11" t="b">
        <f t="shared" si="2"/>
        <v>0</v>
      </c>
      <c r="K87" s="11" t="b">
        <f t="shared" si="3"/>
        <v>0</v>
      </c>
    </row>
    <row r="88" ht="22.5" customHeight="1">
      <c r="A88" s="12">
        <f t="shared" si="4"/>
        <v>2086</v>
      </c>
      <c r="B88" s="30" t="s">
        <v>6885</v>
      </c>
      <c r="C88" s="7" t="str">
        <f t="shared" si="1"/>
        <v>🔊</v>
      </c>
      <c r="D88" s="8" t="s">
        <v>6886</v>
      </c>
      <c r="E88" s="6" t="s">
        <v>13</v>
      </c>
      <c r="F88" s="12" t="str">
        <f>IFERROR(__xludf.DUMMYFUNCTION("GOOGLETRANSLATE(B88,""zh_cn"",""vi"")"),"lấy")</f>
        <v>lấy</v>
      </c>
      <c r="G88" s="20" t="s">
        <v>6887</v>
      </c>
      <c r="H88" s="6"/>
      <c r="I88" s="11" t="b">
        <f t="shared" si="2"/>
        <v>0</v>
      </c>
      <c r="K88" s="11" t="b">
        <f t="shared" si="3"/>
        <v>0</v>
      </c>
    </row>
    <row r="89" ht="22.5" customHeight="1">
      <c r="A89" s="12">
        <f t="shared" si="4"/>
        <v>2087</v>
      </c>
      <c r="B89" s="30" t="s">
        <v>6888</v>
      </c>
      <c r="C89" s="7" t="str">
        <f t="shared" si="1"/>
        <v>🔊</v>
      </c>
      <c r="D89" s="8" t="s">
        <v>6889</v>
      </c>
      <c r="E89" s="6" t="s">
        <v>27</v>
      </c>
      <c r="F89" s="12" t="str">
        <f>IFERROR(__xludf.DUMMYFUNCTION("GOOGLETRANSLATE(B89,""zh_cn"",""vi"")"),"màu sắc")</f>
        <v>màu sắc</v>
      </c>
      <c r="G89" s="20" t="s">
        <v>6890</v>
      </c>
      <c r="H89" s="6"/>
      <c r="I89" s="11" t="b">
        <f t="shared" si="2"/>
        <v>0</v>
      </c>
      <c r="K89" s="11" t="b">
        <f t="shared" si="3"/>
        <v>0</v>
      </c>
    </row>
    <row r="90" ht="22.5" customHeight="1">
      <c r="A90" s="12">
        <f t="shared" si="4"/>
        <v>2088</v>
      </c>
      <c r="B90" s="30" t="s">
        <v>6891</v>
      </c>
      <c r="C90" s="7" t="str">
        <f t="shared" si="1"/>
        <v>🔊</v>
      </c>
      <c r="D90" s="8" t="s">
        <v>6892</v>
      </c>
      <c r="E90" s="6" t="s">
        <v>13</v>
      </c>
      <c r="F90" s="12" t="str">
        <f>IFERROR(__xludf.DUMMYFUNCTION("GOOGLETRANSLATE(B90,""zh_cn"",""vi"")"),"sử dụng")</f>
        <v>sử dụng</v>
      </c>
      <c r="G90" s="20" t="s">
        <v>6893</v>
      </c>
      <c r="H90" s="6"/>
      <c r="I90" s="11" t="b">
        <f t="shared" si="2"/>
        <v>0</v>
      </c>
      <c r="K90" s="11" t="b">
        <f t="shared" si="3"/>
        <v>0</v>
      </c>
    </row>
    <row r="91" ht="22.5" customHeight="1">
      <c r="A91" s="12">
        <f t="shared" si="4"/>
        <v>2089</v>
      </c>
      <c r="B91" s="30" t="s">
        <v>6894</v>
      </c>
      <c r="C91" s="7" t="str">
        <f t="shared" si="1"/>
        <v>🔊</v>
      </c>
      <c r="D91" s="8" t="s">
        <v>6895</v>
      </c>
      <c r="E91" s="6" t="s">
        <v>13</v>
      </c>
      <c r="F91" s="12" t="str">
        <f>IFERROR(__xludf.DUMMYFUNCTION("GOOGLETRANSLATE(B91,""zh_cn"",""vi"")"),"Tây Tạng")</f>
        <v>Tây Tạng</v>
      </c>
      <c r="G91" s="20" t="s">
        <v>6896</v>
      </c>
      <c r="H91" s="6"/>
      <c r="I91" s="11" t="b">
        <f t="shared" si="2"/>
        <v>0</v>
      </c>
      <c r="K91" s="11" t="b">
        <f t="shared" si="3"/>
        <v>0</v>
      </c>
    </row>
    <row r="92" ht="22.5" customHeight="1">
      <c r="A92" s="12">
        <f t="shared" si="4"/>
        <v>2090</v>
      </c>
      <c r="B92" s="30" t="s">
        <v>6897</v>
      </c>
      <c r="C92" s="7" t="str">
        <f t="shared" si="1"/>
        <v>🔊</v>
      </c>
      <c r="D92" s="8" t="s">
        <v>6898</v>
      </c>
      <c r="E92" s="6" t="s">
        <v>13</v>
      </c>
      <c r="F92" s="12" t="str">
        <f>IFERROR(__xludf.DUMMYFUNCTION("GOOGLETRANSLATE(B92,""zh_cn"",""vi"")"),"đề cập đến")</f>
        <v>đề cập đến</v>
      </c>
      <c r="G92" s="20" t="s">
        <v>6899</v>
      </c>
      <c r="H92" s="6"/>
      <c r="I92" s="11" t="b">
        <f t="shared" si="2"/>
        <v>0</v>
      </c>
      <c r="K92" s="11" t="b">
        <f t="shared" si="3"/>
        <v>0</v>
      </c>
    </row>
    <row r="93" ht="22.5" customHeight="1">
      <c r="A93" s="12">
        <f t="shared" si="4"/>
        <v>2091</v>
      </c>
      <c r="B93" s="30" t="s">
        <v>6900</v>
      </c>
      <c r="C93" s="7" t="str">
        <f t="shared" si="1"/>
        <v>🔊</v>
      </c>
      <c r="D93" s="8" t="s">
        <v>6901</v>
      </c>
      <c r="E93" s="6" t="s">
        <v>27</v>
      </c>
      <c r="F93" s="12" t="str">
        <f>IFERROR(__xludf.DUMMYFUNCTION("GOOGLETRANSLATE(B93,""zh_cn"",""vi"")"),"ĐỒ ĂN")</f>
        <v>ĐỒ ĂN</v>
      </c>
      <c r="G93" s="20" t="s">
        <v>6902</v>
      </c>
      <c r="H93" s="6"/>
      <c r="I93" s="11" t="b">
        <f t="shared" si="2"/>
        <v>0</v>
      </c>
      <c r="K93" s="11" t="b">
        <f t="shared" si="3"/>
        <v>0</v>
      </c>
    </row>
    <row r="94" ht="22.5" customHeight="1">
      <c r="A94" s="12">
        <f t="shared" si="4"/>
        <v>2092</v>
      </c>
      <c r="B94" s="30" t="s">
        <v>6903</v>
      </c>
      <c r="C94" s="7" t="str">
        <f t="shared" si="1"/>
        <v>🔊</v>
      </c>
      <c r="D94" s="8" t="s">
        <v>6904</v>
      </c>
      <c r="E94" s="6" t="s">
        <v>13</v>
      </c>
      <c r="F94" s="12" t="str">
        <f>IFERROR(__xludf.DUMMYFUNCTION("GOOGLETRANSLATE(B94,""zh_cn"",""vi"")"),"tham gia")</f>
        <v>tham gia</v>
      </c>
      <c r="G94" s="20" t="s">
        <v>6905</v>
      </c>
      <c r="H94" s="6"/>
      <c r="I94" s="11" t="b">
        <f t="shared" si="2"/>
        <v>0</v>
      </c>
      <c r="K94" s="11" t="b">
        <f t="shared" si="3"/>
        <v>0</v>
      </c>
    </row>
    <row r="95" ht="22.5" customHeight="1">
      <c r="A95" s="12">
        <f t="shared" si="4"/>
        <v>2093</v>
      </c>
      <c r="B95" s="30" t="s">
        <v>6906</v>
      </c>
      <c r="C95" s="7" t="str">
        <f t="shared" si="1"/>
        <v>🔊</v>
      </c>
      <c r="D95" s="8" t="s">
        <v>6907</v>
      </c>
      <c r="E95" s="6" t="s">
        <v>13</v>
      </c>
      <c r="F95" s="12" t="str">
        <f>IFERROR(__xludf.DUMMYFUNCTION("GOOGLETRANSLATE(B95,""zh_cn"",""vi"")"),"vận hành")</f>
        <v>vận hành</v>
      </c>
      <c r="G95" s="20" t="s">
        <v>6908</v>
      </c>
      <c r="H95" s="6"/>
      <c r="I95" s="11" t="b">
        <f t="shared" si="2"/>
        <v>0</v>
      </c>
      <c r="K95" s="11" t="b">
        <f t="shared" si="3"/>
        <v>0</v>
      </c>
    </row>
    <row r="96" ht="22.5" customHeight="1">
      <c r="A96" s="12">
        <f t="shared" si="4"/>
        <v>2094</v>
      </c>
      <c r="B96" s="30" t="s">
        <v>6909</v>
      </c>
      <c r="C96" s="7" t="str">
        <f t="shared" si="1"/>
        <v>🔊</v>
      </c>
      <c r="D96" s="8" t="s">
        <v>6910</v>
      </c>
      <c r="E96" s="6" t="s">
        <v>47</v>
      </c>
      <c r="F96" s="12" t="str">
        <f>IFERROR(__xludf.DUMMYFUNCTION("GOOGLETRANSLATE(B96,""zh_cn"",""vi"")"),"sách")</f>
        <v>sách</v>
      </c>
      <c r="G96" s="20" t="s">
        <v>6911</v>
      </c>
      <c r="H96" s="6"/>
      <c r="I96" s="11" t="b">
        <f t="shared" si="2"/>
        <v>0</v>
      </c>
      <c r="K96" s="11" t="b">
        <f t="shared" si="3"/>
        <v>0</v>
      </c>
    </row>
    <row r="97" ht="22.5" customHeight="1">
      <c r="A97" s="12">
        <f t="shared" si="4"/>
        <v>2095</v>
      </c>
      <c r="B97" s="30" t="s">
        <v>6912</v>
      </c>
      <c r="C97" s="7" t="str">
        <f t="shared" si="1"/>
        <v>🔊</v>
      </c>
      <c r="D97" s="8" t="s">
        <v>6910</v>
      </c>
      <c r="E97" s="6" t="s">
        <v>13</v>
      </c>
      <c r="F97" s="12" t="str">
        <f>IFERROR(__xludf.DUMMYFUNCTION("GOOGLETRANSLATE(B97,""zh_cn"",""vi"")"),"Bài kiểm tra")</f>
        <v>Bài kiểm tra</v>
      </c>
      <c r="G97" s="20" t="s">
        <v>6913</v>
      </c>
      <c r="H97" s="6"/>
      <c r="I97" s="11" t="b">
        <f t="shared" si="2"/>
        <v>0</v>
      </c>
      <c r="K97" s="11" t="b">
        <f t="shared" si="3"/>
        <v>0</v>
      </c>
    </row>
    <row r="98" ht="22.5" customHeight="1">
      <c r="A98" s="12">
        <f t="shared" si="4"/>
        <v>2096</v>
      </c>
      <c r="B98" s="30" t="s">
        <v>6914</v>
      </c>
      <c r="C98" s="7" t="str">
        <f t="shared" si="1"/>
        <v>🔊</v>
      </c>
      <c r="D98" s="8" t="s">
        <v>1873</v>
      </c>
      <c r="E98" s="6" t="s">
        <v>61</v>
      </c>
      <c r="F98" s="12" t="str">
        <f>IFERROR(__xludf.DUMMYFUNCTION("GOOGLETRANSLATE(B98,""zh_cn"",""vi"")"),"bao giờ")</f>
        <v>bao giờ</v>
      </c>
      <c r="G98" s="20" t="s">
        <v>6915</v>
      </c>
      <c r="H98" s="6"/>
      <c r="I98" s="11" t="b">
        <f t="shared" si="2"/>
        <v>0</v>
      </c>
      <c r="K98" s="11" t="b">
        <f t="shared" si="3"/>
        <v>0</v>
      </c>
    </row>
    <row r="99" ht="22.5" customHeight="1">
      <c r="A99" s="12">
        <f t="shared" si="4"/>
        <v>2097</v>
      </c>
      <c r="B99" s="30" t="s">
        <v>6916</v>
      </c>
      <c r="C99" s="7" t="str">
        <f t="shared" si="1"/>
        <v>🔊</v>
      </c>
      <c r="D99" s="8" t="s">
        <v>6917</v>
      </c>
      <c r="E99" s="6" t="s">
        <v>61</v>
      </c>
      <c r="F99" s="12" t="str">
        <f>IFERROR(__xludf.DUMMYFUNCTION("GOOGLETRANSLATE(B99,""zh_cn"",""vi"")"),"một lần")</f>
        <v>một lần</v>
      </c>
      <c r="G99" s="20" t="s">
        <v>6918</v>
      </c>
      <c r="H99" s="6"/>
      <c r="I99" s="11" t="b">
        <f t="shared" si="2"/>
        <v>0</v>
      </c>
      <c r="K99" s="11" t="b">
        <f t="shared" si="3"/>
        <v>0</v>
      </c>
    </row>
    <row r="100" ht="22.5" customHeight="1">
      <c r="A100" s="12">
        <f t="shared" si="4"/>
        <v>2098</v>
      </c>
      <c r="B100" s="30" t="s">
        <v>6919</v>
      </c>
      <c r="C100" s="7" t="str">
        <f t="shared" si="1"/>
        <v>🔊</v>
      </c>
      <c r="D100" s="8" t="s">
        <v>6920</v>
      </c>
      <c r="E100" s="6" t="s">
        <v>13</v>
      </c>
      <c r="F100" s="12" t="str">
        <f>IFERROR(__xludf.DUMMYFUNCTION("GOOGLETRANSLATE(B100,""zh_cn"",""vi"")"),"Bài kiểm tra")</f>
        <v>Bài kiểm tra</v>
      </c>
      <c r="G100" s="20" t="s">
        <v>6921</v>
      </c>
      <c r="H100" s="6"/>
      <c r="I100" s="11" t="b">
        <f t="shared" si="2"/>
        <v>0</v>
      </c>
      <c r="K100" s="11" t="b">
        <f t="shared" si="3"/>
        <v>0</v>
      </c>
    </row>
    <row r="101" ht="22.5" customHeight="1">
      <c r="A101" s="12">
        <f t="shared" si="4"/>
        <v>2099</v>
      </c>
      <c r="B101" s="30" t="s">
        <v>6922</v>
      </c>
      <c r="C101" s="7" t="str">
        <f t="shared" si="1"/>
        <v>🔊</v>
      </c>
      <c r="D101" s="8" t="s">
        <v>6923</v>
      </c>
      <c r="E101" s="6" t="s">
        <v>13</v>
      </c>
      <c r="F101" s="12" t="str">
        <f>IFERROR(__xludf.DUMMYFUNCTION("GOOGLETRANSLATE(B101,""zh_cn"",""vi"")"),"Chèn")</f>
        <v>Chèn</v>
      </c>
      <c r="G101" s="20" t="s">
        <v>6924</v>
      </c>
      <c r="H101" s="6"/>
      <c r="I101" s="11" t="b">
        <f t="shared" si="2"/>
        <v>0</v>
      </c>
      <c r="K101" s="11" t="b">
        <f t="shared" si="3"/>
        <v>0</v>
      </c>
    </row>
    <row r="102" ht="22.5" customHeight="1">
      <c r="A102" s="12">
        <f t="shared" si="4"/>
        <v>2100</v>
      </c>
      <c r="B102" s="30" t="s">
        <v>6925</v>
      </c>
      <c r="C102" s="7" t="str">
        <f t="shared" si="1"/>
        <v>🔊</v>
      </c>
      <c r="D102" s="8" t="s">
        <v>6926</v>
      </c>
      <c r="E102" s="6" t="s">
        <v>27</v>
      </c>
      <c r="F102" s="12" t="str">
        <f>IFERROR(__xludf.DUMMYFUNCTION("GOOGLETRANSLATE(B102,""zh_cn"",""vi"")"),"sự khác biệt")</f>
        <v>sự khác biệt</v>
      </c>
      <c r="G102" s="20" t="s">
        <v>6927</v>
      </c>
      <c r="H102" s="6"/>
      <c r="I102" s="11" t="b">
        <f t="shared" si="2"/>
        <v>0</v>
      </c>
      <c r="K102" s="11" t="b">
        <f t="shared" si="3"/>
        <v>0</v>
      </c>
    </row>
    <row r="103" ht="22.5" customHeight="1">
      <c r="A103" s="12">
        <f t="shared" si="4"/>
        <v>2101</v>
      </c>
      <c r="B103" s="30" t="s">
        <v>6928</v>
      </c>
      <c r="C103" s="7" t="str">
        <f t="shared" si="1"/>
        <v>🔊</v>
      </c>
      <c r="D103" s="8" t="s">
        <v>6929</v>
      </c>
      <c r="E103" s="6" t="s">
        <v>13</v>
      </c>
      <c r="F103" s="12" t="str">
        <f>IFERROR(__xludf.DUMMYFUNCTION("GOOGLETRANSLATE(B103,""zh_cn"",""vi"")"),"tháo dỡ")</f>
        <v>tháo dỡ</v>
      </c>
      <c r="G103" s="20" t="s">
        <v>6930</v>
      </c>
      <c r="H103" s="6"/>
      <c r="I103" s="11" t="b">
        <f t="shared" si="2"/>
        <v>0</v>
      </c>
      <c r="K103" s="11" t="b">
        <f t="shared" si="3"/>
        <v>0</v>
      </c>
    </row>
    <row r="104" ht="22.5" customHeight="1">
      <c r="A104" s="12">
        <f t="shared" si="4"/>
        <v>2102</v>
      </c>
      <c r="B104" s="30" t="s">
        <v>6931</v>
      </c>
      <c r="C104" s="7" t="str">
        <f t="shared" si="1"/>
        <v>🔊</v>
      </c>
      <c r="D104" s="8" t="s">
        <v>6932</v>
      </c>
      <c r="E104" s="6" t="s">
        <v>27</v>
      </c>
      <c r="F104" s="12" t="str">
        <f>IFERROR(__xludf.DUMMYFUNCTION("GOOGLETRANSLATE(B104,""zh_cn"",""vi"")"),"khoảng cách")</f>
        <v>khoảng cách</v>
      </c>
      <c r="G104" s="20" t="s">
        <v>6933</v>
      </c>
      <c r="H104" s="6"/>
      <c r="I104" s="11" t="b">
        <f t="shared" si="2"/>
        <v>0</v>
      </c>
      <c r="K104" s="11" t="b">
        <f t="shared" si="3"/>
        <v>0</v>
      </c>
    </row>
    <row r="105" ht="22.5" customHeight="1">
      <c r="A105" s="12">
        <f t="shared" si="4"/>
        <v>2103</v>
      </c>
      <c r="B105" s="30" t="s">
        <v>6934</v>
      </c>
      <c r="C105" s="7" t="str">
        <f t="shared" si="1"/>
        <v>🔊</v>
      </c>
      <c r="D105" s="8" t="s">
        <v>6935</v>
      </c>
      <c r="E105" s="6" t="s">
        <v>13</v>
      </c>
      <c r="F105" s="12" t="str">
        <f>IFERROR(__xludf.DUMMYFUNCTION("GOOGLETRANSLATE(B105,""zh_cn"",""vi"")"),"Sản xuất")</f>
        <v>Sản xuất</v>
      </c>
      <c r="G105" s="20" t="s">
        <v>6936</v>
      </c>
      <c r="H105" s="6"/>
      <c r="I105" s="11" t="b">
        <f t="shared" si="2"/>
        <v>0</v>
      </c>
      <c r="K105" s="11" t="b">
        <f t="shared" si="3"/>
        <v>0</v>
      </c>
    </row>
    <row r="106" ht="22.5" customHeight="1">
      <c r="A106" s="12">
        <f t="shared" si="4"/>
        <v>2104</v>
      </c>
      <c r="B106" s="30" t="s">
        <v>6937</v>
      </c>
      <c r="C106" s="7" t="str">
        <f t="shared" si="1"/>
        <v>🔊</v>
      </c>
      <c r="D106" s="8" t="s">
        <v>6938</v>
      </c>
      <c r="E106" s="6" t="s">
        <v>27</v>
      </c>
      <c r="F106" s="12" t="str">
        <f>IFERROR(__xludf.DUMMYFUNCTION("GOOGLETRANSLATE(B106,""zh_cn"",""vi"")"),"Điểm mạnh")</f>
        <v>Điểm mạnh</v>
      </c>
      <c r="G106" s="20" t="s">
        <v>6939</v>
      </c>
      <c r="H106" s="6"/>
      <c r="I106" s="11" t="b">
        <f t="shared" si="2"/>
        <v>0</v>
      </c>
      <c r="K106" s="11" t="b">
        <f t="shared" si="3"/>
        <v>0</v>
      </c>
    </row>
    <row r="107" ht="22.5" customHeight="1">
      <c r="A107" s="12">
        <f t="shared" si="4"/>
        <v>2105</v>
      </c>
      <c r="B107" s="30" t="s">
        <v>6940</v>
      </c>
      <c r="C107" s="7" t="str">
        <f t="shared" si="1"/>
        <v>🔊</v>
      </c>
      <c r="D107" s="8" t="s">
        <v>6941</v>
      </c>
      <c r="E107" s="6" t="s">
        <v>27</v>
      </c>
      <c r="F107" s="12" t="str">
        <f>IFERROR(__xludf.DUMMYFUNCTION("GOOGLETRANSLATE(B107,""zh_cn"",""vi"")"),"chiều dài")</f>
        <v>chiều dài</v>
      </c>
      <c r="G107" s="20" t="s">
        <v>6942</v>
      </c>
      <c r="H107" s="6"/>
      <c r="I107" s="11" t="b">
        <f t="shared" si="2"/>
        <v>0</v>
      </c>
      <c r="K107" s="11" t="b">
        <f t="shared" si="3"/>
        <v>0</v>
      </c>
    </row>
    <row r="108" ht="22.5" customHeight="1">
      <c r="A108" s="12">
        <f t="shared" si="4"/>
        <v>2106</v>
      </c>
      <c r="B108" s="30" t="s">
        <v>6943</v>
      </c>
      <c r="C108" s="7" t="str">
        <f t="shared" si="1"/>
        <v>🔊</v>
      </c>
      <c r="D108" s="8" t="s">
        <v>6944</v>
      </c>
      <c r="E108" s="6" t="s">
        <v>99</v>
      </c>
      <c r="F108" s="12" t="str">
        <f>IFERROR(__xludf.DUMMYFUNCTION("GOOGLETRANSLATE(B108,""zh_cn"",""vi"")"),"dài")</f>
        <v>dài</v>
      </c>
      <c r="G108" s="20" t="s">
        <v>6945</v>
      </c>
      <c r="H108" s="6"/>
      <c r="I108" s="11" t="b">
        <f t="shared" si="2"/>
        <v>0</v>
      </c>
      <c r="K108" s="11" t="b">
        <f t="shared" si="3"/>
        <v>0</v>
      </c>
    </row>
    <row r="109" ht="22.5" customHeight="1">
      <c r="A109" s="12">
        <f t="shared" si="4"/>
        <v>2107</v>
      </c>
      <c r="B109" s="30" t="s">
        <v>6946</v>
      </c>
      <c r="C109" s="7" t="str">
        <f t="shared" si="1"/>
        <v>🔊</v>
      </c>
      <c r="D109" s="8" t="s">
        <v>6947</v>
      </c>
      <c r="E109" s="6" t="s">
        <v>3430</v>
      </c>
      <c r="F109" s="12" t="str">
        <f>IFERROR(__xludf.DUMMYFUNCTION("GOOGLETRANSLATE(B109,""zh_cn"",""vi"")"),"dài")</f>
        <v>dài</v>
      </c>
      <c r="G109" s="20" t="s">
        <v>6948</v>
      </c>
      <c r="H109" s="6"/>
      <c r="I109" s="11" t="b">
        <f t="shared" si="2"/>
        <v>0</v>
      </c>
      <c r="K109" s="11" t="b">
        <f t="shared" si="3"/>
        <v>0</v>
      </c>
    </row>
    <row r="110" ht="22.5" customHeight="1">
      <c r="A110" s="12">
        <f t="shared" si="4"/>
        <v>2108</v>
      </c>
      <c r="B110" s="30" t="s">
        <v>6949</v>
      </c>
      <c r="C110" s="7" t="str">
        <f t="shared" si="1"/>
        <v>🔊</v>
      </c>
      <c r="D110" s="8" t="s">
        <v>6950</v>
      </c>
      <c r="E110" s="6" t="s">
        <v>27</v>
      </c>
      <c r="F110" s="12" t="str">
        <f>IFERROR(__xludf.DUMMYFUNCTION("GOOGLETRANSLATE(B110,""zh_cn"",""vi"")"),"lẽ thường")</f>
        <v>lẽ thường</v>
      </c>
      <c r="G110" s="20" t="s">
        <v>6951</v>
      </c>
      <c r="H110" s="6"/>
      <c r="I110" s="11" t="b">
        <f t="shared" si="2"/>
        <v>0</v>
      </c>
      <c r="K110" s="11" t="b">
        <f t="shared" si="3"/>
        <v>0</v>
      </c>
    </row>
    <row r="111" ht="22.5" customHeight="1">
      <c r="A111" s="12">
        <f t="shared" si="4"/>
        <v>2109</v>
      </c>
      <c r="B111" s="30" t="s">
        <v>6952</v>
      </c>
      <c r="C111" s="7" t="str">
        <f t="shared" si="1"/>
        <v>🔊</v>
      </c>
      <c r="D111" s="8" t="s">
        <v>6953</v>
      </c>
      <c r="E111" s="6" t="s">
        <v>13</v>
      </c>
      <c r="F111" s="12" t="str">
        <f>IFERROR(__xludf.DUMMYFUNCTION("GOOGLETRANSLATE(B111,""zh_cn"",""vi"")"),"thử")</f>
        <v>thử</v>
      </c>
      <c r="G111" s="20" t="s">
        <v>6954</v>
      </c>
      <c r="H111" s="6"/>
      <c r="I111" s="11" t="b">
        <f t="shared" si="2"/>
        <v>0</v>
      </c>
      <c r="K111" s="11" t="b">
        <f t="shared" si="3"/>
        <v>0</v>
      </c>
    </row>
    <row r="112" ht="22.5" customHeight="1">
      <c r="A112" s="12">
        <f t="shared" si="4"/>
        <v>2110</v>
      </c>
      <c r="B112" s="30" t="s">
        <v>6955</v>
      </c>
      <c r="C112" s="7" t="str">
        <f t="shared" si="1"/>
        <v>🔊</v>
      </c>
      <c r="D112" s="8" t="s">
        <v>6956</v>
      </c>
      <c r="E112" s="6" t="s">
        <v>27</v>
      </c>
      <c r="F112" s="12" t="str">
        <f>IFERROR(__xludf.DUMMYFUNCTION("GOOGLETRANSLATE(B112,""zh_cn"",""vi"")"),"địa điểm")</f>
        <v>địa điểm</v>
      </c>
      <c r="G112" s="20" t="s">
        <v>6957</v>
      </c>
      <c r="H112" s="6"/>
      <c r="I112" s="11" t="b">
        <f t="shared" si="2"/>
        <v>0</v>
      </c>
      <c r="K112" s="11" t="b">
        <f t="shared" si="3"/>
        <v>0</v>
      </c>
    </row>
    <row r="113" ht="22.5" customHeight="1">
      <c r="A113" s="12">
        <f t="shared" si="4"/>
        <v>2111</v>
      </c>
      <c r="B113" s="30" t="s">
        <v>6958</v>
      </c>
      <c r="C113" s="7" t="str">
        <f t="shared" si="1"/>
        <v>🔊</v>
      </c>
      <c r="D113" s="8" t="s">
        <v>6959</v>
      </c>
      <c r="E113" s="6" t="s">
        <v>99</v>
      </c>
      <c r="F113" s="12" t="str">
        <f>IFERROR(__xludf.DUMMYFUNCTION("GOOGLETRANSLATE(B113,""zh_cn"",""vi"")"),"chặng đường dài")</f>
        <v>chặng đường dài</v>
      </c>
      <c r="G113" s="20" t="s">
        <v>6960</v>
      </c>
      <c r="H113" s="6"/>
      <c r="I113" s="11" t="b">
        <f t="shared" si="2"/>
        <v>0</v>
      </c>
      <c r="K113" s="11" t="b">
        <f t="shared" si="3"/>
        <v>0</v>
      </c>
    </row>
    <row r="114" ht="22.5" customHeight="1">
      <c r="A114" s="12">
        <f t="shared" si="4"/>
        <v>2112</v>
      </c>
      <c r="B114" s="30" t="s">
        <v>6961</v>
      </c>
      <c r="C114" s="7" t="str">
        <f t="shared" si="1"/>
        <v>🔊</v>
      </c>
      <c r="D114" s="8" t="s">
        <v>6962</v>
      </c>
      <c r="E114" s="6" t="s">
        <v>99</v>
      </c>
      <c r="F114" s="12" t="str">
        <f>IFERROR(__xludf.DUMMYFUNCTION("GOOGLETRANSLATE(B114,""zh_cn"",""vi"")"),"dài")</f>
        <v>dài</v>
      </c>
      <c r="G114" s="20" t="s">
        <v>6963</v>
      </c>
      <c r="H114" s="6"/>
      <c r="I114" s="11" t="b">
        <f t="shared" si="2"/>
        <v>0</v>
      </c>
      <c r="K114" s="11" t="b">
        <f t="shared" si="3"/>
        <v>0</v>
      </c>
    </row>
    <row r="115" ht="22.5" customHeight="1">
      <c r="A115" s="12">
        <f t="shared" si="4"/>
        <v>2113</v>
      </c>
      <c r="B115" s="30" t="s">
        <v>6964</v>
      </c>
      <c r="C115" s="7" t="str">
        <f t="shared" si="1"/>
        <v>🔊</v>
      </c>
      <c r="D115" s="8" t="s">
        <v>6965</v>
      </c>
      <c r="E115" s="6" t="s">
        <v>27</v>
      </c>
      <c r="F115" s="12" t="str">
        <f>IFERROR(__xludf.DUMMYFUNCTION("GOOGLETRANSLATE(B115,""zh_cn"",""vi"")"),"Năng suất")</f>
        <v>Năng suất</v>
      </c>
      <c r="G115" s="20" t="s">
        <v>6966</v>
      </c>
      <c r="H115" s="6"/>
      <c r="I115" s="11" t="b">
        <f t="shared" si="2"/>
        <v>0</v>
      </c>
      <c r="K115" s="11" t="b">
        <f t="shared" si="3"/>
        <v>0</v>
      </c>
    </row>
    <row r="116" ht="22.5" customHeight="1">
      <c r="A116" s="12">
        <f t="shared" si="4"/>
        <v>2114</v>
      </c>
      <c r="B116" s="30" t="s">
        <v>6967</v>
      </c>
      <c r="C116" s="7" t="str">
        <f t="shared" si="1"/>
        <v>🔊</v>
      </c>
      <c r="D116" s="8" t="s">
        <v>6968</v>
      </c>
      <c r="E116" s="6" t="s">
        <v>27</v>
      </c>
      <c r="F116" s="12" t="str">
        <f>IFERROR(__xludf.DUMMYFUNCTION("GOOGLETRANSLATE(B116,""zh_cn"",""vi"")"),"sản phẩm")</f>
        <v>sản phẩm</v>
      </c>
      <c r="G116" s="20" t="s">
        <v>6969</v>
      </c>
      <c r="H116" s="6"/>
      <c r="I116" s="11" t="b">
        <f t="shared" si="2"/>
        <v>0</v>
      </c>
      <c r="K116" s="11" t="b">
        <f t="shared" si="3"/>
        <v>0</v>
      </c>
    </row>
    <row r="117" ht="22.5" customHeight="1">
      <c r="A117" s="12">
        <f t="shared" si="4"/>
        <v>2115</v>
      </c>
      <c r="B117" s="30" t="s">
        <v>6970</v>
      </c>
      <c r="C117" s="7" t="str">
        <f t="shared" si="1"/>
        <v>🔊</v>
      </c>
      <c r="D117" s="8" t="s">
        <v>6971</v>
      </c>
      <c r="E117" s="6" t="s">
        <v>27</v>
      </c>
      <c r="F117" s="12" t="str">
        <f>IFERROR(__xludf.DUMMYFUNCTION("GOOGLETRANSLATE(B117,""zh_cn"",""vi"")"),"ngành công nghiệp")</f>
        <v>ngành công nghiệp</v>
      </c>
      <c r="G117" s="20" t="s">
        <v>6972</v>
      </c>
      <c r="H117" s="6"/>
      <c r="I117" s="11" t="b">
        <f t="shared" si="2"/>
        <v>0</v>
      </c>
      <c r="K117" s="11" t="b">
        <f t="shared" si="3"/>
        <v>0</v>
      </c>
    </row>
    <row r="118" ht="22.5" customHeight="1">
      <c r="A118" s="12">
        <f t="shared" si="4"/>
        <v>2116</v>
      </c>
      <c r="B118" s="30" t="s">
        <v>6973</v>
      </c>
      <c r="C118" s="7" t="str">
        <f t="shared" si="1"/>
        <v>🔊</v>
      </c>
      <c r="D118" s="8" t="s">
        <v>6974</v>
      </c>
      <c r="E118" s="6" t="s">
        <v>1054</v>
      </c>
      <c r="F118" s="12" t="str">
        <f>IFERROR(__xludf.DUMMYFUNCTION("GOOGLETRANSLATE(B118,""zh_cn"",""vi"")"),"đối với")</f>
        <v>đối với</v>
      </c>
      <c r="G118" s="20" t="s">
        <v>6975</v>
      </c>
      <c r="H118" s="6"/>
      <c r="I118" s="11" t="b">
        <f t="shared" si="2"/>
        <v>0</v>
      </c>
      <c r="K118" s="11" t="b">
        <f t="shared" si="3"/>
        <v>0</v>
      </c>
    </row>
    <row r="119" ht="22.5" customHeight="1">
      <c r="A119" s="12">
        <f t="shared" si="4"/>
        <v>2117</v>
      </c>
      <c r="B119" s="30" t="s">
        <v>6976</v>
      </c>
      <c r="C119" s="7" t="str">
        <f t="shared" si="1"/>
        <v>🔊</v>
      </c>
      <c r="D119" s="8" t="s">
        <v>6977</v>
      </c>
      <c r="E119" s="6" t="s">
        <v>416</v>
      </c>
      <c r="F119" s="12" t="str">
        <f>IFERROR(__xludf.DUMMYFUNCTION("GOOGLETRANSLATE(B119,""zh_cn"",""vi"")"),"Cãi nhau")</f>
        <v>Cãi nhau</v>
      </c>
      <c r="G119" s="20" t="s">
        <v>6978</v>
      </c>
      <c r="H119" s="6"/>
      <c r="I119" s="11" t="b">
        <f t="shared" si="2"/>
        <v>0</v>
      </c>
      <c r="K119" s="11" t="b">
        <f t="shared" si="3"/>
        <v>0</v>
      </c>
    </row>
    <row r="120" ht="22.5" customHeight="1">
      <c r="A120" s="12">
        <f t="shared" si="4"/>
        <v>2118</v>
      </c>
      <c r="B120" s="30" t="s">
        <v>6979</v>
      </c>
      <c r="C120" s="7" t="str">
        <f t="shared" si="1"/>
        <v>🔊</v>
      </c>
      <c r="D120" s="8" t="s">
        <v>6977</v>
      </c>
      <c r="E120" s="6" t="s">
        <v>13</v>
      </c>
      <c r="F120" s="12" t="str">
        <f>IFERROR(__xludf.DUMMYFUNCTION("GOOGLETRANSLATE(B120,""zh_cn"",""vi"")"),"xào")</f>
        <v>xào</v>
      </c>
      <c r="G120" s="20" t="s">
        <v>6980</v>
      </c>
      <c r="H120" s="6"/>
      <c r="I120" s="11" t="b">
        <f t="shared" si="2"/>
        <v>0</v>
      </c>
      <c r="K120" s="11" t="b">
        <f t="shared" si="3"/>
        <v>0</v>
      </c>
    </row>
    <row r="121" ht="22.5" customHeight="1">
      <c r="A121" s="12">
        <f t="shared" si="4"/>
        <v>2119</v>
      </c>
      <c r="B121" s="30" t="s">
        <v>6981</v>
      </c>
      <c r="C121" s="7" t="str">
        <f t="shared" si="1"/>
        <v>🔊</v>
      </c>
      <c r="D121" s="8" t="s">
        <v>6982</v>
      </c>
      <c r="E121" s="6" t="s">
        <v>13</v>
      </c>
      <c r="F121" s="12" t="str">
        <f>IFERROR(__xludf.DUMMYFUNCTION("GOOGLETRANSLATE(B121,""zh_cn"",""vi"")"),"vượt qua")</f>
        <v>vượt qua</v>
      </c>
      <c r="G121" s="20" t="s">
        <v>6983</v>
      </c>
      <c r="H121" s="6"/>
      <c r="I121" s="11" t="b">
        <f t="shared" si="2"/>
        <v>0</v>
      </c>
      <c r="K121" s="11" t="b">
        <f t="shared" si="3"/>
        <v>0</v>
      </c>
    </row>
    <row r="122" ht="22.5" customHeight="1">
      <c r="A122" s="12">
        <f t="shared" si="4"/>
        <v>2120</v>
      </c>
      <c r="B122" s="30" t="s">
        <v>6984</v>
      </c>
      <c r="C122" s="7" t="str">
        <f t="shared" si="1"/>
        <v>🔊</v>
      </c>
      <c r="D122" s="8" t="s">
        <v>6985</v>
      </c>
      <c r="E122" s="6" t="s">
        <v>13</v>
      </c>
      <c r="F122" s="12" t="str">
        <f>IFERROR(__xludf.DUMMYFUNCTION("GOOGLETRANSLATE(B122,""zh_cn"",""vi"")"),"Vượt quá")</f>
        <v>Vượt quá</v>
      </c>
      <c r="G122" s="20" t="s">
        <v>6986</v>
      </c>
      <c r="H122" s="6"/>
      <c r="I122" s="11" t="b">
        <f t="shared" si="2"/>
        <v>0</v>
      </c>
      <c r="K122" s="11" t="b">
        <f t="shared" si="3"/>
        <v>0</v>
      </c>
    </row>
    <row r="123" ht="22.5" customHeight="1">
      <c r="A123" s="12">
        <f t="shared" si="4"/>
        <v>2121</v>
      </c>
      <c r="B123" s="30" t="s">
        <v>6987</v>
      </c>
      <c r="C123" s="7" t="str">
        <f t="shared" si="1"/>
        <v>🔊</v>
      </c>
      <c r="D123" s="8" t="s">
        <v>6988</v>
      </c>
      <c r="E123" s="6" t="s">
        <v>99</v>
      </c>
      <c r="F123" s="12" t="str">
        <f>IFERROR(__xludf.DUMMYFUNCTION("GOOGLETRANSLATE(B123,""zh_cn"",""vi"")"),"siêu")</f>
        <v>siêu</v>
      </c>
      <c r="G123" s="20" t="s">
        <v>6989</v>
      </c>
      <c r="H123" s="6"/>
      <c r="I123" s="11" t="b">
        <f t="shared" si="2"/>
        <v>0</v>
      </c>
      <c r="K123" s="11" t="b">
        <f t="shared" si="3"/>
        <v>0</v>
      </c>
    </row>
    <row r="124" ht="22.5" customHeight="1">
      <c r="A124" s="12">
        <f t="shared" si="4"/>
        <v>2122</v>
      </c>
      <c r="B124" s="30" t="s">
        <v>6990</v>
      </c>
      <c r="C124" s="7" t="str">
        <f t="shared" si="1"/>
        <v>🔊</v>
      </c>
      <c r="D124" s="8" t="s">
        <v>6991</v>
      </c>
      <c r="E124" s="6" t="s">
        <v>13</v>
      </c>
      <c r="F124" s="12" t="str">
        <f>IFERROR(__xludf.DUMMYFUNCTION("GOOGLETRANSLATE(B124,""zh_cn"",""vi"")"),"chạy quá tốc độ")</f>
        <v>chạy quá tốc độ</v>
      </c>
      <c r="G124" s="20" t="s">
        <v>6992</v>
      </c>
      <c r="H124" s="6"/>
      <c r="I124" s="11" t="b">
        <f t="shared" si="2"/>
        <v>0</v>
      </c>
      <c r="K124" s="11" t="b">
        <f t="shared" si="3"/>
        <v>0</v>
      </c>
    </row>
    <row r="125" ht="22.5" customHeight="1">
      <c r="A125" s="12">
        <f t="shared" si="4"/>
        <v>2123</v>
      </c>
      <c r="B125" s="30" t="s">
        <v>6993</v>
      </c>
      <c r="C125" s="7" t="str">
        <f t="shared" si="1"/>
        <v>🔊</v>
      </c>
      <c r="D125" s="8" t="s">
        <v>6994</v>
      </c>
      <c r="E125" s="6" t="s">
        <v>27</v>
      </c>
      <c r="F125" s="12" t="str">
        <f>IFERROR(__xludf.DUMMYFUNCTION("GOOGLETRANSLATE(B125,""zh_cn"",""vi"")"),"cái nĩa")</f>
        <v>cái nĩa</v>
      </c>
      <c r="G125" s="20" t="s">
        <v>6995</v>
      </c>
      <c r="H125" s="6"/>
      <c r="I125" s="11" t="b">
        <f t="shared" si="2"/>
        <v>0</v>
      </c>
      <c r="K125" s="11" t="b">
        <f t="shared" si="3"/>
        <v>0</v>
      </c>
    </row>
    <row r="126" ht="22.5" customHeight="1">
      <c r="A126" s="12">
        <f t="shared" si="4"/>
        <v>2124</v>
      </c>
      <c r="B126" s="30" t="s">
        <v>6996</v>
      </c>
      <c r="C126" s="7" t="str">
        <f t="shared" si="1"/>
        <v>🔊</v>
      </c>
      <c r="D126" s="8" t="s">
        <v>6997</v>
      </c>
      <c r="E126" s="6" t="s">
        <v>99</v>
      </c>
      <c r="F126" s="12" t="str">
        <f>IFERROR(__xludf.DUMMYFUNCTION("GOOGLETRANSLATE(B126,""zh_cn"",""vi"")"),"kỹ lưỡng")</f>
        <v>kỹ lưỡng</v>
      </c>
      <c r="G126" s="20" t="s">
        <v>6998</v>
      </c>
      <c r="H126" s="6"/>
      <c r="I126" s="11" t="b">
        <f t="shared" si="2"/>
        <v>0</v>
      </c>
      <c r="K126" s="11" t="b">
        <f t="shared" si="3"/>
        <v>0</v>
      </c>
    </row>
    <row r="127" ht="22.5" customHeight="1">
      <c r="A127" s="12">
        <f t="shared" si="4"/>
        <v>2125</v>
      </c>
      <c r="B127" s="30" t="s">
        <v>6999</v>
      </c>
      <c r="C127" s="7" t="str">
        <f t="shared" si="1"/>
        <v>🔊</v>
      </c>
      <c r="D127" s="8" t="s">
        <v>7000</v>
      </c>
      <c r="E127" s="6" t="s">
        <v>27</v>
      </c>
      <c r="F127" s="12" t="str">
        <f>IFERROR(__xludf.DUMMYFUNCTION("GOOGLETRANSLATE(B127,""zh_cn"",""vi"")"),"Tai nạn xe hơi")</f>
        <v>Tai nạn xe hơi</v>
      </c>
      <c r="G127" s="20" t="s">
        <v>7001</v>
      </c>
      <c r="H127" s="6"/>
      <c r="I127" s="11" t="b">
        <f t="shared" si="2"/>
        <v>0</v>
      </c>
      <c r="K127" s="11" t="b">
        <f t="shared" si="3"/>
        <v>0</v>
      </c>
    </row>
    <row r="128" ht="22.5" customHeight="1">
      <c r="A128" s="12">
        <f t="shared" si="4"/>
        <v>2126</v>
      </c>
      <c r="B128" s="30" t="s">
        <v>7002</v>
      </c>
      <c r="C128" s="7" t="str">
        <f t="shared" si="1"/>
        <v>🔊</v>
      </c>
      <c r="D128" s="8" t="s">
        <v>7003</v>
      </c>
      <c r="E128" s="6" t="s">
        <v>27</v>
      </c>
      <c r="F128" s="12" t="str">
        <f>IFERROR(__xludf.DUMMYFUNCTION("GOOGLETRANSLATE(B128,""zh_cn"",""vi"")"),"ga-ra ")</f>
        <v>ga-ra </v>
      </c>
      <c r="G128" s="20" t="s">
        <v>7004</v>
      </c>
      <c r="H128" s="6"/>
      <c r="I128" s="11" t="b">
        <f t="shared" si="2"/>
        <v>0</v>
      </c>
      <c r="K128" s="11" t="b">
        <f t="shared" si="3"/>
        <v>0</v>
      </c>
    </row>
    <row r="129" ht="22.5" customHeight="1">
      <c r="A129" s="12">
        <f t="shared" si="4"/>
        <v>2127</v>
      </c>
      <c r="B129" s="30" t="s">
        <v>7005</v>
      </c>
      <c r="C129" s="7" t="str">
        <f t="shared" si="1"/>
        <v>🔊</v>
      </c>
      <c r="D129" s="8" t="s">
        <v>7006</v>
      </c>
      <c r="E129" s="6" t="s">
        <v>27</v>
      </c>
      <c r="F129" s="12" t="str">
        <f>IFERROR(__xludf.DUMMYFUNCTION("GOOGLETRANSLATE(B129,""zh_cn"",""vi"")"),"phương tiện giao thông")</f>
        <v>phương tiện giao thông</v>
      </c>
      <c r="G129" s="20" t="s">
        <v>7007</v>
      </c>
      <c r="H129" s="6"/>
      <c r="I129" s="11" t="b">
        <f t="shared" si="2"/>
        <v>0</v>
      </c>
      <c r="K129" s="11" t="b">
        <f t="shared" si="3"/>
        <v>0</v>
      </c>
    </row>
    <row r="130" ht="22.5" customHeight="1">
      <c r="A130" s="12">
        <f t="shared" si="4"/>
        <v>2128</v>
      </c>
      <c r="B130" s="30" t="s">
        <v>7008</v>
      </c>
      <c r="C130" s="7" t="str">
        <f t="shared" si="1"/>
        <v>🔊</v>
      </c>
      <c r="D130" s="8" t="s">
        <v>7009</v>
      </c>
      <c r="E130" s="6" t="s">
        <v>368</v>
      </c>
      <c r="F130" s="12" t="str">
        <f>IFERROR(__xludf.DUMMYFUNCTION("GOOGLETRANSLATE(B130,""zh_cn"",""vi"")"),"Bồn rửa")</f>
        <v>Bồn rửa</v>
      </c>
      <c r="G130" s="20" t="s">
        <v>7010</v>
      </c>
      <c r="H130" s="6"/>
      <c r="I130" s="11" t="b">
        <f t="shared" si="2"/>
        <v>0</v>
      </c>
      <c r="K130" s="11" t="b">
        <f t="shared" si="3"/>
        <v>0</v>
      </c>
    </row>
    <row r="131" ht="22.5" customHeight="1">
      <c r="A131" s="12">
        <f t="shared" si="4"/>
        <v>2129</v>
      </c>
      <c r="B131" s="30" t="s">
        <v>7011</v>
      </c>
      <c r="C131" s="7" t="str">
        <f t="shared" si="1"/>
        <v>🔊</v>
      </c>
      <c r="D131" s="8" t="s">
        <v>7012</v>
      </c>
      <c r="E131" s="6" t="s">
        <v>13</v>
      </c>
      <c r="F131" s="12" t="str">
        <f>IFERROR(__xludf.DUMMYFUNCTION("GOOGLETRANSLATE(B131,""zh_cn"",""vi"")"),"1")</f>
        <v>1</v>
      </c>
      <c r="G131" s="20" t="s">
        <v>7013</v>
      </c>
      <c r="H131" s="6"/>
      <c r="I131" s="11" t="b">
        <f t="shared" si="2"/>
        <v>0</v>
      </c>
      <c r="K131" s="11" t="b">
        <f t="shared" si="3"/>
        <v>0</v>
      </c>
    </row>
    <row r="132" ht="22.5" customHeight="1">
      <c r="A132" s="12">
        <f t="shared" si="4"/>
        <v>2130</v>
      </c>
      <c r="B132" s="30" t="s">
        <v>7014</v>
      </c>
      <c r="C132" s="7" t="str">
        <f t="shared" si="1"/>
        <v>🔊</v>
      </c>
      <c r="D132" s="8" t="s">
        <v>7012</v>
      </c>
      <c r="E132" s="6" t="s">
        <v>13</v>
      </c>
      <c r="F132" s="12" t="str">
        <f>IFERROR(__xludf.DUMMYFUNCTION("GOOGLETRANSLATE(B132,""zh_cn"",""vi"")"),"2")</f>
        <v>2</v>
      </c>
      <c r="G132" s="20" t="s">
        <v>7015</v>
      </c>
      <c r="H132" s="6"/>
      <c r="I132" s="11" t="b">
        <f t="shared" si="2"/>
        <v>0</v>
      </c>
      <c r="K132" s="11" t="b">
        <f t="shared" si="3"/>
        <v>0</v>
      </c>
    </row>
    <row r="133" ht="22.5" customHeight="1">
      <c r="A133" s="12">
        <f t="shared" si="4"/>
        <v>2131</v>
      </c>
      <c r="B133" s="30" t="s">
        <v>7016</v>
      </c>
      <c r="C133" s="7" t="str">
        <f t="shared" si="1"/>
        <v>🔊</v>
      </c>
      <c r="D133" s="8" t="s">
        <v>7017</v>
      </c>
      <c r="E133" s="6" t="s">
        <v>27</v>
      </c>
      <c r="F133" s="12" t="str">
        <f>IFERROR(__xludf.DUMMYFUNCTION("GOOGLETRANSLATE(B133,""zh_cn"",""vi"")"),"trị giá")</f>
        <v>trị giá</v>
      </c>
      <c r="G133" s="20" t="s">
        <v>7018</v>
      </c>
      <c r="H133" s="6"/>
      <c r="I133" s="11" t="b">
        <f t="shared" si="2"/>
        <v>0</v>
      </c>
      <c r="K133" s="11" t="b">
        <f t="shared" si="3"/>
        <v>0</v>
      </c>
    </row>
    <row r="134" ht="22.5" customHeight="1">
      <c r="A134" s="12">
        <f t="shared" si="4"/>
        <v>2132</v>
      </c>
      <c r="B134" s="30" t="s">
        <v>7019</v>
      </c>
      <c r="C134" s="7" t="str">
        <f t="shared" si="1"/>
        <v>🔊</v>
      </c>
      <c r="D134" s="8" t="s">
        <v>7020</v>
      </c>
      <c r="E134" s="6" t="s">
        <v>13</v>
      </c>
      <c r="F134" s="12" t="str">
        <f>IFERROR(__xludf.DUMMYFUNCTION("GOOGLETRANSLATE(B134,""zh_cn"",""vi"")"),"con gấu")</f>
        <v>con gấu</v>
      </c>
      <c r="G134" s="20" t="s">
        <v>7021</v>
      </c>
      <c r="H134" s="6"/>
      <c r="I134" s="11" t="b">
        <f t="shared" si="2"/>
        <v>0</v>
      </c>
      <c r="K134" s="11" t="b">
        <f t="shared" si="3"/>
        <v>0</v>
      </c>
    </row>
    <row r="135" ht="22.5" customHeight="1">
      <c r="A135" s="12">
        <f t="shared" si="4"/>
        <v>2133</v>
      </c>
      <c r="B135" s="30" t="s">
        <v>7022</v>
      </c>
      <c r="C135" s="7" t="str">
        <f t="shared" si="1"/>
        <v>🔊</v>
      </c>
      <c r="D135" s="8" t="s">
        <v>7023</v>
      </c>
      <c r="E135" s="6" t="s">
        <v>27</v>
      </c>
      <c r="F135" s="12" t="str">
        <f>IFERROR(__xludf.DUMMYFUNCTION("GOOGLETRANSLATE(B135,""zh_cn"",""vi"")"),"bằng cấp")</f>
        <v>bằng cấp</v>
      </c>
      <c r="G135" s="20" t="s">
        <v>7024</v>
      </c>
      <c r="H135" s="6"/>
      <c r="I135" s="11" t="b">
        <f t="shared" si="2"/>
        <v>0</v>
      </c>
      <c r="K135" s="11" t="b">
        <f t="shared" si="3"/>
        <v>0</v>
      </c>
    </row>
    <row r="136" ht="22.5" customHeight="1">
      <c r="A136" s="12">
        <f t="shared" si="4"/>
        <v>2134</v>
      </c>
      <c r="B136" s="30" t="s">
        <v>7025</v>
      </c>
      <c r="C136" s="7" t="str">
        <f t="shared" si="1"/>
        <v>🔊</v>
      </c>
      <c r="D136" s="8" t="s">
        <v>7026</v>
      </c>
      <c r="E136" s="6" t="s">
        <v>27</v>
      </c>
      <c r="F136" s="12" t="str">
        <f>IFERROR(__xludf.DUMMYFUNCTION("GOOGLETRANSLATE(B136,""zh_cn"",""vi"")"),"Yếu tố")</f>
        <v>Yếu tố</v>
      </c>
      <c r="G136" s="20" t="s">
        <v>7027</v>
      </c>
      <c r="H136" s="6"/>
      <c r="I136" s="11" t="b">
        <f t="shared" si="2"/>
        <v>0</v>
      </c>
      <c r="K136" s="11" t="b">
        <f t="shared" si="3"/>
        <v>0</v>
      </c>
    </row>
    <row r="137" ht="22.5" customHeight="1">
      <c r="A137" s="12">
        <f t="shared" si="4"/>
        <v>2135</v>
      </c>
      <c r="B137" s="30" t="s">
        <v>7028</v>
      </c>
      <c r="C137" s="7" t="str">
        <f t="shared" si="1"/>
        <v>🔊</v>
      </c>
      <c r="D137" s="8" t="s">
        <v>7029</v>
      </c>
      <c r="E137" s="6" t="s">
        <v>27</v>
      </c>
      <c r="F137" s="12" t="str">
        <f>IFERROR(__xludf.DUMMYFUNCTION("GOOGLETRANSLATE(B137,""zh_cn"",""vi"")"),"Kết quả")</f>
        <v>Kết quả</v>
      </c>
      <c r="G137" s="20" t="s">
        <v>7030</v>
      </c>
      <c r="H137" s="6"/>
      <c r="I137" s="11" t="b">
        <f t="shared" si="2"/>
        <v>0</v>
      </c>
      <c r="K137" s="11" t="b">
        <f t="shared" si="3"/>
        <v>0</v>
      </c>
    </row>
    <row r="138" ht="22.5" customHeight="1">
      <c r="A138" s="12">
        <f t="shared" si="4"/>
        <v>2136</v>
      </c>
      <c r="B138" s="30" t="s">
        <v>7031</v>
      </c>
      <c r="C138" s="7" t="str">
        <f t="shared" si="1"/>
        <v>🔊</v>
      </c>
      <c r="D138" s="8" t="s">
        <v>7032</v>
      </c>
      <c r="E138" s="6" t="s">
        <v>57</v>
      </c>
      <c r="F138" s="12" t="str">
        <f>IFERROR(__xludf.DUMMYFUNCTION("GOOGLETRANSLATE(B138,""zh_cn"",""vi"")"),"Thành tích")</f>
        <v>Thành tích</v>
      </c>
      <c r="G138" s="20" t="s">
        <v>7033</v>
      </c>
      <c r="H138" s="6"/>
      <c r="I138" s="11" t="b">
        <f t="shared" si="2"/>
        <v>0</v>
      </c>
      <c r="K138" s="11" t="b">
        <f t="shared" si="3"/>
        <v>0</v>
      </c>
    </row>
    <row r="139" ht="22.5" customHeight="1">
      <c r="A139" s="12">
        <f t="shared" si="4"/>
        <v>2137</v>
      </c>
      <c r="B139" s="30" t="s">
        <v>7034</v>
      </c>
      <c r="C139" s="7" t="str">
        <f t="shared" si="1"/>
        <v>🔊</v>
      </c>
      <c r="D139" s="8" t="s">
        <v>7035</v>
      </c>
      <c r="E139" s="6" t="s">
        <v>13</v>
      </c>
      <c r="F139" s="12" t="str">
        <f>IFERROR(__xludf.DUMMYFUNCTION("GOOGLETRANSLATE(B139,""zh_cn"",""vi"")"),"Thành lập")</f>
        <v>Thành lập</v>
      </c>
      <c r="G139" s="20" t="s">
        <v>7036</v>
      </c>
      <c r="H139" s="6"/>
      <c r="I139" s="11" t="b">
        <f t="shared" si="2"/>
        <v>0</v>
      </c>
      <c r="K139" s="11" t="b">
        <f t="shared" si="3"/>
        <v>0</v>
      </c>
    </row>
    <row r="140" ht="22.5" customHeight="1">
      <c r="A140" s="12">
        <f t="shared" si="4"/>
        <v>2138</v>
      </c>
      <c r="B140" s="30" t="s">
        <v>7037</v>
      </c>
      <c r="C140" s="7" t="str">
        <f t="shared" si="1"/>
        <v>🔊</v>
      </c>
      <c r="D140" s="8" t="s">
        <v>7038</v>
      </c>
      <c r="E140" s="6" t="s">
        <v>13</v>
      </c>
      <c r="F140" s="12" t="str">
        <f>IFERROR(__xludf.DUMMYFUNCTION("GOOGLETRANSLATE(B140,""zh_cn"",""vi"")"),"Người lớn 1")</f>
        <v>Người lớn 1</v>
      </c>
      <c r="G140" s="20" t="s">
        <v>7039</v>
      </c>
      <c r="H140" s="6"/>
      <c r="I140" s="11" t="b">
        <f t="shared" si="2"/>
        <v>0</v>
      </c>
      <c r="K140" s="11" t="b">
        <f t="shared" si="3"/>
        <v>0</v>
      </c>
    </row>
    <row r="141" ht="22.5" customHeight="1">
      <c r="A141" s="12">
        <f t="shared" si="4"/>
        <v>2139</v>
      </c>
      <c r="B141" s="30" t="s">
        <v>7040</v>
      </c>
      <c r="C141" s="7" t="str">
        <f t="shared" si="1"/>
        <v>🔊</v>
      </c>
      <c r="D141" s="8" t="s">
        <v>7041</v>
      </c>
      <c r="E141" s="6" t="s">
        <v>27</v>
      </c>
      <c r="F141" s="12" t="str">
        <f>IFERROR(__xludf.DUMMYFUNCTION("GOOGLETRANSLATE(B141,""zh_cn"",""vi"")"),"khu vực đô thị")</f>
        <v>khu vực đô thị</v>
      </c>
      <c r="G141" s="20" t="s">
        <v>7042</v>
      </c>
      <c r="H141" s="6"/>
      <c r="I141" s="11" t="b">
        <f t="shared" si="2"/>
        <v>0</v>
      </c>
      <c r="K141" s="11" t="b">
        <f t="shared" si="3"/>
        <v>0</v>
      </c>
    </row>
    <row r="142" ht="22.5" customHeight="1">
      <c r="A142" s="12">
        <f t="shared" si="4"/>
        <v>2140</v>
      </c>
      <c r="B142" s="30" t="s">
        <v>7043</v>
      </c>
      <c r="C142" s="7" t="str">
        <f t="shared" si="1"/>
        <v>🔊</v>
      </c>
      <c r="D142" s="8" t="s">
        <v>7044</v>
      </c>
      <c r="E142" s="6" t="s">
        <v>232</v>
      </c>
      <c r="F142" s="12" t="str">
        <f>IFERROR(__xludf.DUMMYFUNCTION("GOOGLETRANSLATE(B142,""zh_cn"",""vi"")"),"người lớn")</f>
        <v>người lớn</v>
      </c>
      <c r="G142" s="20" t="s">
        <v>7045</v>
      </c>
      <c r="H142" s="6"/>
      <c r="I142" s="11" t="b">
        <f t="shared" si="2"/>
        <v>0</v>
      </c>
      <c r="K142" s="11" t="b">
        <f t="shared" si="3"/>
        <v>0</v>
      </c>
    </row>
    <row r="143" ht="22.5" customHeight="1">
      <c r="A143" s="12">
        <f t="shared" si="4"/>
        <v>2141</v>
      </c>
      <c r="B143" s="30" t="s">
        <v>7046</v>
      </c>
      <c r="C143" s="7" t="str">
        <f t="shared" si="1"/>
        <v>🔊</v>
      </c>
      <c r="D143" s="8" t="s">
        <v>7047</v>
      </c>
      <c r="E143" s="6" t="s">
        <v>13</v>
      </c>
      <c r="F143" s="12" t="str">
        <f>IFERROR(__xludf.DUMMYFUNCTION("GOOGLETRANSLATE(B143,""zh_cn"",""vi"")"),"thừa nhận")</f>
        <v>thừa nhận</v>
      </c>
      <c r="G143" s="20" t="s">
        <v>7048</v>
      </c>
      <c r="H143" s="6"/>
      <c r="I143" s="11" t="b">
        <f t="shared" si="2"/>
        <v>0</v>
      </c>
      <c r="K143" s="11" t="b">
        <f t="shared" si="3"/>
        <v>0</v>
      </c>
    </row>
    <row r="144" ht="22.5" customHeight="1">
      <c r="A144" s="12">
        <f t="shared" si="4"/>
        <v>2142</v>
      </c>
      <c r="B144" s="30" t="s">
        <v>7049</v>
      </c>
      <c r="C144" s="7" t="str">
        <f t="shared" si="1"/>
        <v>🔊</v>
      </c>
      <c r="D144" s="8" t="s">
        <v>7050</v>
      </c>
      <c r="E144" s="6" t="s">
        <v>13</v>
      </c>
      <c r="F144" s="12" t="str">
        <f>IFERROR(__xludf.DUMMYFUNCTION("GOOGLETRANSLATE(B144,""zh_cn"",""vi"")"),"con gấu")</f>
        <v>con gấu</v>
      </c>
      <c r="G144" s="20" t="s">
        <v>7051</v>
      </c>
      <c r="H144" s="6"/>
      <c r="I144" s="11" t="b">
        <f t="shared" si="2"/>
        <v>0</v>
      </c>
      <c r="K144" s="11" t="b">
        <f t="shared" si="3"/>
        <v>0</v>
      </c>
    </row>
    <row r="145" ht="22.5" customHeight="1">
      <c r="A145" s="12">
        <f t="shared" si="4"/>
        <v>2143</v>
      </c>
      <c r="B145" s="30" t="s">
        <v>7052</v>
      </c>
      <c r="C145" s="7" t="str">
        <f t="shared" si="1"/>
        <v>🔊</v>
      </c>
      <c r="D145" s="8" t="s">
        <v>7053</v>
      </c>
      <c r="E145" s="6" t="s">
        <v>368</v>
      </c>
      <c r="F145" s="12" t="str">
        <f>IFERROR(__xludf.DUMMYFUNCTION("GOOGLETRANSLATE(B145,""zh_cn"",""vi"")"),"Trưởng thành")</f>
        <v>Trưởng thành</v>
      </c>
      <c r="G145" s="20" t="s">
        <v>7054</v>
      </c>
      <c r="H145" s="6"/>
      <c r="I145" s="11" t="b">
        <f t="shared" si="2"/>
        <v>0</v>
      </c>
      <c r="K145" s="11" t="b">
        <f t="shared" si="3"/>
        <v>0</v>
      </c>
    </row>
    <row r="146" ht="22.5" customHeight="1">
      <c r="A146" s="12">
        <f t="shared" si="4"/>
        <v>2144</v>
      </c>
      <c r="B146" s="30" t="s">
        <v>7055</v>
      </c>
      <c r="C146" s="7" t="str">
        <f t="shared" si="1"/>
        <v>🔊</v>
      </c>
      <c r="D146" s="8" t="s">
        <v>7056</v>
      </c>
      <c r="E146" s="6" t="s">
        <v>13</v>
      </c>
      <c r="F146" s="12" t="str">
        <f>IFERROR(__xludf.DUMMYFUNCTION("GOOGLETRANSLATE(B146,""zh_cn"",""vi"")"),"Gọi điện")</f>
        <v>Gọi điện</v>
      </c>
      <c r="G146" s="20" t="s">
        <v>7057</v>
      </c>
      <c r="H146" s="6"/>
      <c r="I146" s="11" t="b">
        <f t="shared" si="2"/>
        <v>0</v>
      </c>
      <c r="K146" s="11" t="b">
        <f t="shared" si="3"/>
        <v>0</v>
      </c>
    </row>
    <row r="147" ht="22.5" customHeight="1">
      <c r="A147" s="12">
        <f t="shared" si="4"/>
        <v>2145</v>
      </c>
      <c r="B147" s="30" t="s">
        <v>7058</v>
      </c>
      <c r="C147" s="7" t="str">
        <f t="shared" si="1"/>
        <v>🔊</v>
      </c>
      <c r="D147" s="8" t="s">
        <v>7059</v>
      </c>
      <c r="E147" s="6" t="s">
        <v>27</v>
      </c>
      <c r="F147" s="12" t="str">
        <f>IFERROR(__xludf.DUMMYFUNCTION("GOOGLETRANSLATE(B147,""zh_cn"",""vi"")"),"Tiếp viên hàng không")</f>
        <v>Tiếp viên hàng không</v>
      </c>
      <c r="G147" s="20" t="s">
        <v>7060</v>
      </c>
      <c r="H147" s="6"/>
      <c r="I147" s="11" t="b">
        <f t="shared" si="2"/>
        <v>0</v>
      </c>
      <c r="K147" s="11" t="b">
        <f t="shared" si="3"/>
        <v>0</v>
      </c>
    </row>
    <row r="148" ht="22.5" customHeight="1">
      <c r="A148" s="12">
        <f t="shared" si="4"/>
        <v>2146</v>
      </c>
      <c r="B148" s="30" t="s">
        <v>7061</v>
      </c>
      <c r="C148" s="7" t="str">
        <f t="shared" si="1"/>
        <v>🔊</v>
      </c>
      <c r="D148" s="8" t="s">
        <v>7062</v>
      </c>
      <c r="E148" s="6" t="s">
        <v>27</v>
      </c>
      <c r="F148" s="12" t="str">
        <f>IFERROR(__xludf.DUMMYFUNCTION("GOOGLETRANSLATE(B148,""zh_cn"",""vi"")"),"chương trình")</f>
        <v>chương trình</v>
      </c>
      <c r="G148" s="20" t="s">
        <v>7063</v>
      </c>
      <c r="H148" s="6"/>
      <c r="I148" s="11" t="b">
        <f t="shared" si="2"/>
        <v>0</v>
      </c>
      <c r="K148" s="11" t="b">
        <f t="shared" si="3"/>
        <v>0</v>
      </c>
    </row>
    <row r="149" ht="22.5" customHeight="1">
      <c r="A149" s="12">
        <f t="shared" si="4"/>
        <v>2147</v>
      </c>
      <c r="B149" s="30" t="s">
        <v>7064</v>
      </c>
      <c r="C149" s="7" t="str">
        <f t="shared" si="1"/>
        <v>🔊</v>
      </c>
      <c r="D149" s="8" t="s">
        <v>7065</v>
      </c>
      <c r="E149" s="6" t="s">
        <v>27</v>
      </c>
      <c r="F149" s="12" t="str">
        <f>IFERROR(__xludf.DUMMYFUNCTION("GOOGLETRANSLATE(B149,""zh_cn"",""vi"")"),"thành viên")</f>
        <v>thành viên</v>
      </c>
      <c r="G149" s="20" t="s">
        <v>7066</v>
      </c>
      <c r="H149" s="6"/>
      <c r="I149" s="11" t="b">
        <f t="shared" si="2"/>
        <v>0</v>
      </c>
      <c r="K149" s="11" t="b">
        <f t="shared" si="3"/>
        <v>0</v>
      </c>
    </row>
    <row r="150" ht="22.5" customHeight="1">
      <c r="A150" s="12">
        <f t="shared" si="4"/>
        <v>2148</v>
      </c>
      <c r="B150" s="30" t="s">
        <v>7067</v>
      </c>
      <c r="C150" s="7" t="str">
        <f t="shared" si="1"/>
        <v>🔊</v>
      </c>
      <c r="D150" s="8" t="s">
        <v>7068</v>
      </c>
      <c r="E150" s="6" t="s">
        <v>13</v>
      </c>
      <c r="F150" s="12" t="str">
        <f>IFERROR(__xludf.DUMMYFUNCTION("GOOGLETRANSLATE(B150,""zh_cn"",""vi"")"),"khen ngợi")</f>
        <v>khen ngợi</v>
      </c>
      <c r="G150" s="20" t="s">
        <v>7069</v>
      </c>
      <c r="H150" s="6"/>
      <c r="I150" s="11" t="b">
        <f t="shared" si="2"/>
        <v>0</v>
      </c>
      <c r="K150" s="11" t="b">
        <f t="shared" si="3"/>
        <v>0</v>
      </c>
    </row>
    <row r="151" ht="22.5" customHeight="1">
      <c r="A151" s="12">
        <f t="shared" si="4"/>
        <v>2149</v>
      </c>
      <c r="B151" s="30" t="s">
        <v>7070</v>
      </c>
      <c r="C151" s="7" t="str">
        <f t="shared" si="1"/>
        <v>🔊</v>
      </c>
      <c r="D151" s="8" t="s">
        <v>7071</v>
      </c>
      <c r="E151" s="6" t="s">
        <v>13</v>
      </c>
      <c r="F151" s="12" t="str">
        <f>IFERROR(__xludf.DUMMYFUNCTION("GOOGLETRANSLATE(B151,""zh_cn"",""vi"")"),"lớn lên")</f>
        <v>lớn lên</v>
      </c>
      <c r="G151" s="20" t="s">
        <v>7072</v>
      </c>
      <c r="H151" s="6"/>
      <c r="I151" s="11" t="b">
        <f t="shared" si="2"/>
        <v>0</v>
      </c>
      <c r="K151" s="11" t="b">
        <f t="shared" si="3"/>
        <v>0</v>
      </c>
    </row>
    <row r="152" ht="22.5" customHeight="1">
      <c r="A152" s="12">
        <f t="shared" si="4"/>
        <v>2150</v>
      </c>
      <c r="B152" s="30" t="s">
        <v>7073</v>
      </c>
      <c r="C152" s="7" t="str">
        <f t="shared" si="1"/>
        <v>🔊</v>
      </c>
      <c r="D152" s="8" t="s">
        <v>7074</v>
      </c>
      <c r="E152" s="6" t="s">
        <v>27</v>
      </c>
      <c r="F152" s="12" t="str">
        <f>IFERROR(__xludf.DUMMYFUNCTION("GOOGLETRANSLATE(B152,""zh_cn"",""vi"")"),"quả cam")</f>
        <v>quả cam</v>
      </c>
      <c r="G152" s="20" t="s">
        <v>7075</v>
      </c>
      <c r="H152" s="6"/>
      <c r="I152" s="11" t="b">
        <f t="shared" si="2"/>
        <v>0</v>
      </c>
      <c r="K152" s="11" t="b">
        <f t="shared" si="3"/>
        <v>0</v>
      </c>
    </row>
    <row r="153" ht="22.5" customHeight="1">
      <c r="A153" s="12">
        <f t="shared" si="4"/>
        <v>2151</v>
      </c>
      <c r="B153" s="30" t="s">
        <v>7076</v>
      </c>
      <c r="C153" s="7" t="str">
        <f t="shared" si="1"/>
        <v>🔊</v>
      </c>
      <c r="D153" s="8" t="s">
        <v>7077</v>
      </c>
      <c r="E153" s="6" t="s">
        <v>13</v>
      </c>
      <c r="F153" s="12" t="str">
        <f>IFERROR(__xludf.DUMMYFUNCTION("GOOGLETRANSLATE(B153,""zh_cn"",""vi"")"),"im lặng")</f>
        <v>im lặng</v>
      </c>
      <c r="G153" s="20" t="s">
        <v>7078</v>
      </c>
      <c r="H153" s="6"/>
      <c r="I153" s="11" t="b">
        <f t="shared" si="2"/>
        <v>0</v>
      </c>
      <c r="K153" s="11" t="b">
        <f t="shared" si="3"/>
        <v>0</v>
      </c>
    </row>
    <row r="154" ht="22.5" customHeight="1">
      <c r="A154" s="12">
        <f t="shared" si="4"/>
        <v>2152</v>
      </c>
      <c r="B154" s="30" t="s">
        <v>7079</v>
      </c>
      <c r="C154" s="7" t="str">
        <f t="shared" si="1"/>
        <v>🔊</v>
      </c>
      <c r="D154" s="8" t="s">
        <v>7080</v>
      </c>
      <c r="E154" s="6" t="s">
        <v>27</v>
      </c>
      <c r="F154" s="12" t="str">
        <f>IFERROR(__xludf.DUMMYFUNCTION("GOOGLETRANSLATE(B154,""zh_cn"",""vi"")"),"xe hơi")</f>
        <v>xe hơi</v>
      </c>
      <c r="G154" s="20" t="s">
        <v>7081</v>
      </c>
      <c r="H154" s="6"/>
      <c r="I154" s="11" t="b">
        <f t="shared" si="2"/>
        <v>0</v>
      </c>
      <c r="K154" s="11" t="b">
        <f t="shared" si="3"/>
        <v>0</v>
      </c>
    </row>
    <row r="155" ht="22.5" customHeight="1">
      <c r="A155" s="12">
        <f t="shared" si="4"/>
        <v>2153</v>
      </c>
      <c r="B155" s="30" t="s">
        <v>7082</v>
      </c>
      <c r="C155" s="7" t="str">
        <f t="shared" si="1"/>
        <v>🔊</v>
      </c>
      <c r="D155" s="8" t="s">
        <v>7083</v>
      </c>
      <c r="E155" s="6" t="s">
        <v>27</v>
      </c>
      <c r="F155" s="12" t="str">
        <f>IFERROR(__xludf.DUMMYFUNCTION("GOOGLETRANSLATE(B155,""zh_cn"",""vi"")"),"Chủ xe")</f>
        <v>Chủ xe</v>
      </c>
      <c r="G155" s="20" t="s">
        <v>7084</v>
      </c>
      <c r="H155" s="6"/>
      <c r="I155" s="11" t="b">
        <f t="shared" si="2"/>
        <v>0</v>
      </c>
      <c r="K155" s="11" t="b">
        <f t="shared" si="3"/>
        <v>0</v>
      </c>
    </row>
    <row r="156" ht="22.5" customHeight="1">
      <c r="A156" s="12">
        <f t="shared" si="4"/>
        <v>2154</v>
      </c>
      <c r="B156" s="30" t="s">
        <v>7085</v>
      </c>
      <c r="C156" s="7" t="str">
        <f t="shared" si="1"/>
        <v>🔊</v>
      </c>
      <c r="D156" s="8" t="s">
        <v>3600</v>
      </c>
      <c r="E156" s="6" t="s">
        <v>27</v>
      </c>
      <c r="F156" s="12" t="str">
        <f>IFERROR(__xludf.DUMMYFUNCTION("GOOGLETRANSLATE(B156,""zh_cn"",""vi"")"),"Ao")</f>
        <v>Ao</v>
      </c>
      <c r="G156" s="20" t="s">
        <v>7086</v>
      </c>
      <c r="H156" s="6"/>
      <c r="I156" s="11" t="b">
        <f t="shared" si="2"/>
        <v>0</v>
      </c>
      <c r="K156" s="11" t="b">
        <f t="shared" si="3"/>
        <v>0</v>
      </c>
    </row>
    <row r="157" ht="22.5" customHeight="1">
      <c r="A157" s="12">
        <f t="shared" si="4"/>
        <v>2155</v>
      </c>
      <c r="B157" s="30" t="s">
        <v>7087</v>
      </c>
      <c r="C157" s="7" t="str">
        <f t="shared" si="1"/>
        <v>🔊</v>
      </c>
      <c r="D157" s="8" t="s">
        <v>7088</v>
      </c>
      <c r="E157" s="6" t="s">
        <v>27</v>
      </c>
      <c r="F157" s="12" t="str">
        <f>IFERROR(__xludf.DUMMYFUNCTION("GOOGLETRANSLATE(B157,""zh_cn"",""vi"")"),"cánh")</f>
        <v>cánh</v>
      </c>
      <c r="G157" s="20" t="s">
        <v>7089</v>
      </c>
      <c r="H157" s="6"/>
      <c r="I157" s="11" t="b">
        <f t="shared" si="2"/>
        <v>0</v>
      </c>
      <c r="K157" s="11" t="b">
        <f t="shared" si="3"/>
        <v>0</v>
      </c>
    </row>
    <row r="158" ht="22.5" customHeight="1">
      <c r="A158" s="12">
        <f t="shared" si="4"/>
        <v>2156</v>
      </c>
      <c r="B158" s="30" t="s">
        <v>7090</v>
      </c>
      <c r="C158" s="7" t="str">
        <f t="shared" si="1"/>
        <v>🔊</v>
      </c>
      <c r="D158" s="8" t="s">
        <v>7091</v>
      </c>
      <c r="E158" s="6" t="s">
        <v>13</v>
      </c>
      <c r="F158" s="12" t="str">
        <f>IFERROR(__xludf.DUMMYFUNCTION("GOOGLETRANSLATE(B158,""zh_cn"",""vi"")"),"tiếp tục")</f>
        <v>tiếp tục</v>
      </c>
      <c r="G158" s="20" t="s">
        <v>7092</v>
      </c>
      <c r="H158" s="6"/>
      <c r="I158" s="11" t="b">
        <f t="shared" si="2"/>
        <v>0</v>
      </c>
      <c r="K158" s="11" t="b">
        <f t="shared" si="3"/>
        <v>0</v>
      </c>
    </row>
    <row r="159" ht="22.5" customHeight="1">
      <c r="A159" s="12">
        <f t="shared" si="4"/>
        <v>2157</v>
      </c>
      <c r="B159" s="30" t="s">
        <v>7093</v>
      </c>
      <c r="C159" s="7" t="str">
        <f t="shared" si="1"/>
        <v>🔊</v>
      </c>
      <c r="D159" s="8" t="s">
        <v>7094</v>
      </c>
      <c r="E159" s="6" t="s">
        <v>27</v>
      </c>
      <c r="F159" s="12" t="str">
        <f>IFERROR(__xludf.DUMMYFUNCTION("GOOGLETRANSLATE(B159,""zh_cn"",""vi"")"),"cái thước kẻ")</f>
        <v>cái thước kẻ</v>
      </c>
      <c r="G159" s="20" t="s">
        <v>7095</v>
      </c>
      <c r="H159" s="6"/>
      <c r="I159" s="11" t="b">
        <f t="shared" si="2"/>
        <v>0</v>
      </c>
      <c r="K159" s="11" t="b">
        <f t="shared" si="3"/>
        <v>0</v>
      </c>
    </row>
    <row r="160" ht="22.5" customHeight="1">
      <c r="A160" s="12">
        <f t="shared" si="4"/>
        <v>2158</v>
      </c>
      <c r="B160" s="30" t="s">
        <v>7096</v>
      </c>
      <c r="C160" s="7" t="str">
        <f t="shared" si="1"/>
        <v>🔊</v>
      </c>
      <c r="D160" s="8" t="s">
        <v>7097</v>
      </c>
      <c r="E160" s="6" t="s">
        <v>13</v>
      </c>
      <c r="F160" s="12" t="str">
        <f>IFERROR(__xludf.DUMMYFUNCTION("GOOGLETRANSLATE(B160,""zh_cn"",""vi"")"),"cây bấc")</f>
        <v>cây bấc</v>
      </c>
      <c r="G160" s="20" t="s">
        <v>7098</v>
      </c>
      <c r="H160" s="6"/>
      <c r="I160" s="11" t="b">
        <f t="shared" si="2"/>
        <v>0</v>
      </c>
      <c r="K160" s="11" t="b">
        <f t="shared" si="3"/>
        <v>0</v>
      </c>
    </row>
    <row r="161" ht="22.5" customHeight="1">
      <c r="A161" s="12">
        <f t="shared" si="4"/>
        <v>2159</v>
      </c>
      <c r="B161" s="30" t="s">
        <v>7099</v>
      </c>
      <c r="C161" s="7" t="str">
        <f t="shared" si="1"/>
        <v>🔊</v>
      </c>
      <c r="D161" s="8" t="s">
        <v>7100</v>
      </c>
      <c r="E161" s="6" t="s">
        <v>13</v>
      </c>
      <c r="F161" s="12" t="str">
        <f>IFERROR(__xludf.DUMMYFUNCTION("GOOGLETRANSLATE(B161,""zh_cn"",""vi"")"),"Thù lao")</f>
        <v>Thù lao</v>
      </c>
      <c r="G161" s="20" t="s">
        <v>7101</v>
      </c>
      <c r="H161" s="6"/>
      <c r="I161" s="11" t="b">
        <f t="shared" si="2"/>
        <v>0</v>
      </c>
      <c r="K161" s="11" t="b">
        <f t="shared" si="3"/>
        <v>0</v>
      </c>
    </row>
    <row r="162" ht="22.5" customHeight="1">
      <c r="A162" s="12">
        <f t="shared" si="4"/>
        <v>2160</v>
      </c>
      <c r="B162" s="30" t="s">
        <v>7102</v>
      </c>
      <c r="C162" s="7" t="str">
        <f t="shared" si="1"/>
        <v>🔊</v>
      </c>
      <c r="D162" s="8" t="s">
        <v>7103</v>
      </c>
      <c r="E162" s="6" t="s">
        <v>99</v>
      </c>
      <c r="F162" s="12" t="str">
        <f>IFERROR(__xludf.DUMMYFUNCTION("GOOGLETRANSLATE(B162,""zh_cn"",""vi"")"),"đầy")</f>
        <v>đầy</v>
      </c>
      <c r="G162" s="20" t="s">
        <v>7104</v>
      </c>
      <c r="H162" s="6"/>
      <c r="I162" s="11" t="b">
        <f t="shared" si="2"/>
        <v>0</v>
      </c>
      <c r="K162" s="11" t="b">
        <f t="shared" si="3"/>
        <v>0</v>
      </c>
    </row>
    <row r="163" ht="22.5" customHeight="1">
      <c r="A163" s="12">
        <f t="shared" si="4"/>
        <v>2161</v>
      </c>
      <c r="B163" s="30" t="s">
        <v>7105</v>
      </c>
      <c r="C163" s="7" t="str">
        <f t="shared" si="1"/>
        <v>🔊</v>
      </c>
      <c r="D163" s="8" t="s">
        <v>7106</v>
      </c>
      <c r="E163" s="6" t="s">
        <v>13</v>
      </c>
      <c r="F163" s="12" t="str">
        <f>IFERROR(__xludf.DUMMYFUNCTION("GOOGLETRANSLATE(B163,""zh_cn"",""vi"")"),"lặp lại")</f>
        <v>lặp lại</v>
      </c>
      <c r="G163" s="20" t="s">
        <v>7107</v>
      </c>
      <c r="H163" s="6"/>
      <c r="I163" s="11" t="b">
        <f t="shared" si="2"/>
        <v>0</v>
      </c>
      <c r="K163" s="11" t="b">
        <f t="shared" si="3"/>
        <v>0</v>
      </c>
    </row>
    <row r="164" ht="22.5" customHeight="1">
      <c r="A164" s="12">
        <f t="shared" si="4"/>
        <v>2162</v>
      </c>
      <c r="B164" s="30" t="s">
        <v>7108</v>
      </c>
      <c r="C164" s="7" t="str">
        <f t="shared" si="1"/>
        <v>🔊</v>
      </c>
      <c r="D164" s="8" t="s">
        <v>7109</v>
      </c>
      <c r="E164" s="6" t="s">
        <v>13</v>
      </c>
      <c r="F164" s="12" t="str">
        <f>IFERROR(__xludf.DUMMYFUNCTION("GOOGLETRANSLATE(B164,""zh_cn"",""vi"")"),"đầy")</f>
        <v>đầy</v>
      </c>
      <c r="G164" s="20" t="s">
        <v>7110</v>
      </c>
      <c r="H164" s="6"/>
      <c r="I164" s="11" t="b">
        <f t="shared" si="2"/>
        <v>0</v>
      </c>
      <c r="K164" s="11" t="b">
        <f t="shared" si="3"/>
        <v>0</v>
      </c>
    </row>
    <row r="165" ht="22.5" customHeight="1">
      <c r="A165" s="12">
        <f t="shared" si="4"/>
        <v>2163</v>
      </c>
      <c r="B165" s="30" t="s">
        <v>7111</v>
      </c>
      <c r="C165" s="7" t="str">
        <f t="shared" si="1"/>
        <v>🔊</v>
      </c>
      <c r="D165" s="8" t="s">
        <v>7112</v>
      </c>
      <c r="E165" s="6" t="s">
        <v>27</v>
      </c>
      <c r="F165" s="12" t="str">
        <f>IFERROR(__xludf.DUMMYFUNCTION("GOOGLETRANSLATE(B165,""zh_cn"",""vi"")"),"thú cưng")</f>
        <v>thú cưng</v>
      </c>
      <c r="G165" s="20" t="s">
        <v>7113</v>
      </c>
      <c r="H165" s="6"/>
      <c r="I165" s="11" t="b">
        <f t="shared" si="2"/>
        <v>0</v>
      </c>
      <c r="K165" s="11" t="b">
        <f t="shared" si="3"/>
        <v>0</v>
      </c>
    </row>
    <row r="166" ht="22.5" customHeight="1">
      <c r="A166" s="12">
        <f t="shared" si="4"/>
        <v>2164</v>
      </c>
      <c r="B166" s="30" t="s">
        <v>7114</v>
      </c>
      <c r="C166" s="7" t="str">
        <f t="shared" si="1"/>
        <v>🔊</v>
      </c>
      <c r="D166" s="8" t="s">
        <v>7115</v>
      </c>
      <c r="E166" s="6" t="s">
        <v>13</v>
      </c>
      <c r="F166" s="12" t="str">
        <f>IFERROR(__xludf.DUMMYFUNCTION("GOOGLETRANSLATE(B166,""zh_cn"",""vi"")"),"nạp tiền")</f>
        <v>nạp tiền</v>
      </c>
      <c r="G166" s="20" t="s">
        <v>7116</v>
      </c>
      <c r="H166" s="6"/>
      <c r="I166" s="11" t="b">
        <f t="shared" si="2"/>
        <v>0</v>
      </c>
      <c r="K166" s="11" t="b">
        <f t="shared" si="3"/>
        <v>0</v>
      </c>
    </row>
    <row r="167" ht="22.5" customHeight="1">
      <c r="A167" s="12">
        <f t="shared" si="4"/>
        <v>2165</v>
      </c>
      <c r="B167" s="30" t="s">
        <v>7117</v>
      </c>
      <c r="C167" s="7" t="str">
        <f t="shared" si="1"/>
        <v>🔊</v>
      </c>
      <c r="D167" s="8" t="s">
        <v>7118</v>
      </c>
      <c r="E167" s="6" t="s">
        <v>27</v>
      </c>
      <c r="F167" s="12" t="str">
        <f>IFERROR(__xludf.DUMMYFUNCTION("GOOGLETRANSLATE(B167,""zh_cn"",""vi"")"),"côn trùng")</f>
        <v>côn trùng</v>
      </c>
      <c r="G167" s="20" t="s">
        <v>7119</v>
      </c>
      <c r="H167" s="6"/>
      <c r="I167" s="11" t="b">
        <f t="shared" si="2"/>
        <v>0</v>
      </c>
      <c r="K167" s="11" t="b">
        <f t="shared" si="3"/>
        <v>0</v>
      </c>
    </row>
    <row r="168" ht="22.5" customHeight="1">
      <c r="A168" s="12">
        <f t="shared" si="4"/>
        <v>2166</v>
      </c>
      <c r="B168" s="30" t="s">
        <v>7120</v>
      </c>
      <c r="C168" s="7" t="str">
        <f t="shared" si="1"/>
        <v>🔊</v>
      </c>
      <c r="D168" s="8" t="s">
        <v>7121</v>
      </c>
      <c r="E168" s="6" t="s">
        <v>99</v>
      </c>
      <c r="F168" s="12" t="str">
        <f>IFERROR(__xludf.DUMMYFUNCTION("GOOGLETRANSLATE(B168,""zh_cn"",""vi"")"),"đủ")</f>
        <v>đủ</v>
      </c>
      <c r="G168" s="20" t="s">
        <v>7122</v>
      </c>
      <c r="H168" s="6"/>
      <c r="I168" s="11" t="b">
        <f t="shared" si="2"/>
        <v>0</v>
      </c>
      <c r="K168" s="11" t="b">
        <f t="shared" si="3"/>
        <v>0</v>
      </c>
    </row>
    <row r="169" ht="22.5" customHeight="1">
      <c r="A169" s="12">
        <f t="shared" si="4"/>
        <v>2167</v>
      </c>
      <c r="B169" s="30" t="s">
        <v>7123</v>
      </c>
      <c r="C169" s="7" t="str">
        <f t="shared" si="1"/>
        <v>🔊</v>
      </c>
      <c r="D169" s="8" t="s">
        <v>7124</v>
      </c>
      <c r="E169" s="6" t="s">
        <v>99</v>
      </c>
      <c r="F169" s="12" t="str">
        <f>IFERROR(__xludf.DUMMYFUNCTION("GOOGLETRANSLATE(B169,""zh_cn"",""vi"")"),"Hôi")</f>
        <v>Hôi</v>
      </c>
      <c r="G169" s="20" t="s">
        <v>7125</v>
      </c>
      <c r="H169" s="6"/>
      <c r="I169" s="11" t="b">
        <f t="shared" si="2"/>
        <v>0</v>
      </c>
      <c r="K169" s="11" t="b">
        <f t="shared" si="3"/>
        <v>0</v>
      </c>
    </row>
    <row r="170" ht="22.5" customHeight="1">
      <c r="A170" s="12">
        <f t="shared" si="4"/>
        <v>2168</v>
      </c>
      <c r="B170" s="30" t="s">
        <v>7126</v>
      </c>
      <c r="C170" s="7" t="str">
        <f t="shared" si="1"/>
        <v>🔊</v>
      </c>
      <c r="D170" s="8" t="s">
        <v>7127</v>
      </c>
      <c r="E170" s="6" t="s">
        <v>99</v>
      </c>
      <c r="F170" s="12" t="str">
        <f>IFERROR(__xludf.DUMMYFUNCTION("GOOGLETRANSLATE(B170,""zh_cn"",""vi"")"),"xấu xí")</f>
        <v>xấu xí</v>
      </c>
      <c r="G170" s="20" t="s">
        <v>7128</v>
      </c>
      <c r="H170" s="6"/>
      <c r="I170" s="11" t="b">
        <f t="shared" si="2"/>
        <v>0</v>
      </c>
      <c r="K170" s="11" t="b">
        <f t="shared" si="3"/>
        <v>0</v>
      </c>
    </row>
    <row r="171" ht="22.5" customHeight="1">
      <c r="A171" s="12">
        <f t="shared" si="4"/>
        <v>2169</v>
      </c>
      <c r="B171" s="30" t="s">
        <v>7129</v>
      </c>
      <c r="C171" s="7" t="str">
        <f t="shared" si="1"/>
        <v>🔊</v>
      </c>
      <c r="D171" s="8" t="s">
        <v>7130</v>
      </c>
      <c r="E171" s="6" t="s">
        <v>13</v>
      </c>
      <c r="F171" s="12" t="str">
        <f>IFERROR(__xludf.DUMMYFUNCTION("GOOGLETRANSLATE(B171,""zh_cn"",""vi"")"),"khói")</f>
        <v>khói</v>
      </c>
      <c r="G171" s="20" t="s">
        <v>7131</v>
      </c>
      <c r="H171" s="6"/>
      <c r="I171" s="11" t="b">
        <f t="shared" si="2"/>
        <v>0</v>
      </c>
      <c r="K171" s="11" t="b">
        <f t="shared" si="3"/>
        <v>0</v>
      </c>
    </row>
    <row r="172" ht="22.5" customHeight="1">
      <c r="A172" s="12">
        <f t="shared" si="4"/>
        <v>2170</v>
      </c>
      <c r="B172" s="30" t="s">
        <v>7132</v>
      </c>
      <c r="C172" s="7" t="str">
        <f t="shared" si="1"/>
        <v>🔊</v>
      </c>
      <c r="D172" s="8" t="s">
        <v>7133</v>
      </c>
      <c r="E172" s="6" t="s">
        <v>27</v>
      </c>
      <c r="F172" s="12" t="str">
        <f>IFERROR(__xludf.DUMMYFUNCTION("GOOGLETRANSLATE(B172,""zh_cn"",""vi"")"),"Địa điểm")</f>
        <v>Địa điểm</v>
      </c>
      <c r="G172" s="20" t="s">
        <v>7134</v>
      </c>
      <c r="H172" s="6"/>
      <c r="I172" s="11" t="b">
        <f t="shared" si="2"/>
        <v>0</v>
      </c>
      <c r="K172" s="11" t="b">
        <f t="shared" si="3"/>
        <v>0</v>
      </c>
    </row>
    <row r="173" ht="22.5" customHeight="1">
      <c r="A173" s="12">
        <f t="shared" si="4"/>
        <v>2171</v>
      </c>
      <c r="B173" s="30" t="s">
        <v>7132</v>
      </c>
      <c r="C173" s="7" t="str">
        <f t="shared" si="1"/>
        <v>🔊</v>
      </c>
      <c r="D173" s="8" t="s">
        <v>7135</v>
      </c>
      <c r="E173" s="6" t="s">
        <v>13</v>
      </c>
      <c r="F173" s="12" t="str">
        <f>IFERROR(__xludf.DUMMYFUNCTION("GOOGLETRANSLATE(B173,""zh_cn"",""vi"")"),"Địa điểm")</f>
        <v>Địa điểm</v>
      </c>
      <c r="G173" s="20" t="s">
        <v>7136</v>
      </c>
      <c r="H173" s="6"/>
      <c r="I173" s="11" t="b">
        <f t="shared" si="2"/>
        <v>0</v>
      </c>
      <c r="K173" s="11" t="b">
        <f t="shared" si="3"/>
        <v>0</v>
      </c>
    </row>
    <row r="174" ht="22.5" customHeight="1">
      <c r="A174" s="12">
        <f t="shared" si="4"/>
        <v>2172</v>
      </c>
      <c r="B174" s="30" t="s">
        <v>7137</v>
      </c>
      <c r="C174" s="7" t="str">
        <f t="shared" si="1"/>
        <v>🔊</v>
      </c>
      <c r="D174" s="8" t="s">
        <v>1076</v>
      </c>
      <c r="E174" s="6" t="s">
        <v>7138</v>
      </c>
      <c r="F174" s="12" t="str">
        <f>IFERROR(__xludf.DUMMYFUNCTION("GOOGLETRANSLATE(B174,""zh_cn"",""vi"")"),"sớm")</f>
        <v>sớm</v>
      </c>
      <c r="G174" s="20" t="s">
        <v>7139</v>
      </c>
      <c r="H174" s="6"/>
      <c r="I174" s="11" t="b">
        <f t="shared" si="2"/>
        <v>0</v>
      </c>
      <c r="K174" s="11" t="b">
        <f t="shared" si="3"/>
        <v>0</v>
      </c>
    </row>
    <row r="175" ht="22.5" customHeight="1">
      <c r="A175" s="12">
        <f t="shared" si="4"/>
        <v>2173</v>
      </c>
      <c r="B175" s="30" t="s">
        <v>7140</v>
      </c>
      <c r="C175" s="7" t="str">
        <f t="shared" si="1"/>
        <v>🔊</v>
      </c>
      <c r="D175" s="8" t="s">
        <v>1913</v>
      </c>
      <c r="E175" s="6" t="s">
        <v>13</v>
      </c>
      <c r="F175" s="12" t="str">
        <f>IFERROR(__xludf.DUMMYFUNCTION("GOOGLETRANSLATE(B175,""zh_cn"",""vi"")"),"vượt qua")</f>
        <v>vượt qua</v>
      </c>
      <c r="G175" s="20" t="s">
        <v>7141</v>
      </c>
      <c r="H175" s="6"/>
      <c r="I175" s="11" t="b">
        <f t="shared" si="2"/>
        <v>0</v>
      </c>
      <c r="K175" s="11" t="b">
        <f t="shared" si="3"/>
        <v>0</v>
      </c>
    </row>
    <row r="176" ht="22.5" customHeight="1">
      <c r="A176" s="12">
        <f t="shared" si="4"/>
        <v>2174</v>
      </c>
      <c r="B176" s="30" t="s">
        <v>7142</v>
      </c>
      <c r="C176" s="7" t="str">
        <f t="shared" si="1"/>
        <v>🔊</v>
      </c>
      <c r="D176" s="8" t="s">
        <v>7143</v>
      </c>
      <c r="E176" s="6" t="s">
        <v>13</v>
      </c>
      <c r="F176" s="12" t="str">
        <f>IFERROR(__xludf.DUMMYFUNCTION("GOOGLETRANSLATE(B176,""zh_cn"",""vi"")"),"lây lan")</f>
        <v>lây lan</v>
      </c>
      <c r="G176" s="20" t="s">
        <v>7144</v>
      </c>
      <c r="H176" s="6"/>
      <c r="I176" s="11" t="b">
        <f t="shared" si="2"/>
        <v>0</v>
      </c>
      <c r="K176" s="11" t="b">
        <f t="shared" si="3"/>
        <v>0</v>
      </c>
    </row>
    <row r="177" ht="22.5" customHeight="1">
      <c r="A177" s="12">
        <f t="shared" si="4"/>
        <v>2175</v>
      </c>
      <c r="B177" s="30" t="s">
        <v>7145</v>
      </c>
      <c r="C177" s="7" t="str">
        <f t="shared" si="1"/>
        <v>🔊</v>
      </c>
      <c r="D177" s="8" t="s">
        <v>7146</v>
      </c>
      <c r="E177" s="6" t="s">
        <v>13</v>
      </c>
      <c r="F177" s="12" t="str">
        <f>IFERROR(__xludf.DUMMYFUNCTION("GOOGLETRANSLATE(B177,""zh_cn"",""vi"")"),"chuyển khoản")</f>
        <v>chuyển khoản</v>
      </c>
      <c r="G177" s="20" t="s">
        <v>7147</v>
      </c>
      <c r="H177" s="6"/>
      <c r="I177" s="11" t="b">
        <f t="shared" si="2"/>
        <v>0</v>
      </c>
      <c r="K177" s="11" t="b">
        <f t="shared" si="3"/>
        <v>0</v>
      </c>
    </row>
    <row r="178" ht="22.5" customHeight="1">
      <c r="A178" s="12">
        <f t="shared" si="4"/>
        <v>2176</v>
      </c>
      <c r="B178" s="30" t="s">
        <v>7148</v>
      </c>
      <c r="C178" s="7" t="str">
        <f t="shared" si="1"/>
        <v>🔊</v>
      </c>
      <c r="D178" s="8" t="s">
        <v>7149</v>
      </c>
      <c r="E178" s="6" t="s">
        <v>27</v>
      </c>
      <c r="F178" s="12" t="str">
        <f>IFERROR(__xludf.DUMMYFUNCTION("GOOGLETRANSLATE(B178,""zh_cn"",""vi"")"),"tờ giấy")</f>
        <v>tờ giấy</v>
      </c>
      <c r="G178" s="20" t="s">
        <v>7150</v>
      </c>
      <c r="H178" s="6"/>
      <c r="I178" s="11" t="b">
        <f t="shared" si="2"/>
        <v>0</v>
      </c>
      <c r="K178" s="11" t="b">
        <f t="shared" si="3"/>
        <v>0</v>
      </c>
    </row>
    <row r="179" ht="22.5" customHeight="1">
      <c r="A179" s="12">
        <f t="shared" si="4"/>
        <v>2177</v>
      </c>
      <c r="B179" s="30" t="s">
        <v>7151</v>
      </c>
      <c r="C179" s="7" t="str">
        <f t="shared" si="1"/>
        <v>🔊</v>
      </c>
      <c r="D179" s="8" t="s">
        <v>7152</v>
      </c>
      <c r="E179" s="6" t="s">
        <v>27</v>
      </c>
      <c r="F179" s="12" t="str">
        <f>IFERROR(__xludf.DUMMYFUNCTION("GOOGLETRANSLATE(B179,""zh_cn"",""vi"")"),"bệ cửa sổ")</f>
        <v>bệ cửa sổ</v>
      </c>
      <c r="G179" s="20" t="s">
        <v>7153</v>
      </c>
      <c r="H179" s="6"/>
      <c r="I179" s="11" t="b">
        <f t="shared" si="2"/>
        <v>0</v>
      </c>
      <c r="K179" s="11" t="b">
        <f t="shared" si="3"/>
        <v>0</v>
      </c>
    </row>
    <row r="180" ht="22.5" customHeight="1">
      <c r="A180" s="12">
        <f t="shared" si="4"/>
        <v>2178</v>
      </c>
      <c r="B180" s="30" t="s">
        <v>7154</v>
      </c>
      <c r="C180" s="7" t="str">
        <f t="shared" si="1"/>
        <v>🔊</v>
      </c>
      <c r="D180" s="8" t="s">
        <v>7155</v>
      </c>
      <c r="E180" s="6" t="s">
        <v>232</v>
      </c>
      <c r="F180" s="12" t="str">
        <f>IFERROR(__xludf.DUMMYFUNCTION("GOOGLETRANSLATE(B180,""zh_cn"",""vi"")"),"Sự đổi mới")</f>
        <v>Sự đổi mới</v>
      </c>
      <c r="G180" s="20" t="s">
        <v>7156</v>
      </c>
      <c r="H180" s="6"/>
      <c r="I180" s="11" t="b">
        <f t="shared" si="2"/>
        <v>0</v>
      </c>
      <c r="K180" s="11" t="b">
        <f t="shared" si="3"/>
        <v>0</v>
      </c>
    </row>
    <row r="181" ht="22.5" customHeight="1">
      <c r="A181" s="12">
        <f t="shared" si="4"/>
        <v>2179</v>
      </c>
      <c r="B181" s="30" t="s">
        <v>7157</v>
      </c>
      <c r="C181" s="7" t="str">
        <f t="shared" si="1"/>
        <v>🔊</v>
      </c>
      <c r="D181" s="8" t="s">
        <v>7158</v>
      </c>
      <c r="E181" s="6" t="s">
        <v>13</v>
      </c>
      <c r="F181" s="12" t="str">
        <f>IFERROR(__xludf.DUMMYFUNCTION("GOOGLETRANSLATE(B181,""zh_cn"",""vi"")"),"Khởi nghiệp")</f>
        <v>Khởi nghiệp</v>
      </c>
      <c r="G181" s="20" t="s">
        <v>7159</v>
      </c>
      <c r="H181" s="6"/>
      <c r="I181" s="11" t="b">
        <f t="shared" si="2"/>
        <v>0</v>
      </c>
      <c r="K181" s="11" t="b">
        <f t="shared" si="3"/>
        <v>0</v>
      </c>
    </row>
    <row r="182" ht="22.5" customHeight="1">
      <c r="A182" s="12">
        <f t="shared" si="4"/>
        <v>2180</v>
      </c>
      <c r="B182" s="30" t="s">
        <v>7160</v>
      </c>
      <c r="C182" s="7" t="str">
        <f t="shared" si="1"/>
        <v>🔊</v>
      </c>
      <c r="D182" s="8" t="s">
        <v>7161</v>
      </c>
      <c r="E182" s="6" t="s">
        <v>13</v>
      </c>
      <c r="F182" s="12" t="str">
        <f>IFERROR(__xludf.DUMMYFUNCTION("GOOGLETRANSLATE(B182,""zh_cn"",""vi"")"),"tạo nên")</f>
        <v>tạo nên</v>
      </c>
      <c r="G182" s="20" t="s">
        <v>7162</v>
      </c>
      <c r="H182" s="6"/>
      <c r="I182" s="11" t="b">
        <f t="shared" si="2"/>
        <v>0</v>
      </c>
      <c r="K182" s="11" t="b">
        <f t="shared" si="3"/>
        <v>0</v>
      </c>
    </row>
    <row r="183" ht="22.5" customHeight="1">
      <c r="A183" s="12">
        <f t="shared" si="4"/>
        <v>2181</v>
      </c>
      <c r="B183" s="30" t="s">
        <v>7163</v>
      </c>
      <c r="C183" s="7" t="str">
        <f t="shared" si="1"/>
        <v>🔊</v>
      </c>
      <c r="D183" s="8" t="s">
        <v>7164</v>
      </c>
      <c r="E183" s="6" t="s">
        <v>232</v>
      </c>
      <c r="F183" s="12" t="str">
        <f>IFERROR(__xludf.DUMMYFUNCTION("GOOGLETRANSLATE(B183,""zh_cn"",""vi"")"),"sự sáng tạo")</f>
        <v>sự sáng tạo</v>
      </c>
      <c r="G183" s="20" t="s">
        <v>7165</v>
      </c>
      <c r="H183" s="6"/>
      <c r="I183" s="11" t="b">
        <f t="shared" si="2"/>
        <v>0</v>
      </c>
      <c r="K183" s="11" t="b">
        <f t="shared" si="3"/>
        <v>0</v>
      </c>
    </row>
    <row r="184" ht="22.5" customHeight="1">
      <c r="A184" s="12">
        <f t="shared" si="4"/>
        <v>2182</v>
      </c>
      <c r="B184" s="30" t="s">
        <v>7166</v>
      </c>
      <c r="C184" s="7" t="str">
        <f t="shared" si="1"/>
        <v>🔊</v>
      </c>
      <c r="D184" s="8" t="s">
        <v>7167</v>
      </c>
      <c r="E184" s="6" t="s">
        <v>232</v>
      </c>
      <c r="F184" s="12" t="str">
        <f>IFERROR(__xludf.DUMMYFUNCTION("GOOGLETRANSLATE(B184,""zh_cn"",""vi"")"),"huyền thoại")</f>
        <v>huyền thoại</v>
      </c>
      <c r="G184" s="20" t="s">
        <v>7168</v>
      </c>
      <c r="H184" s="6"/>
      <c r="I184" s="11" t="b">
        <f t="shared" si="2"/>
        <v>0</v>
      </c>
      <c r="K184" s="11" t="b">
        <f t="shared" si="3"/>
        <v>0</v>
      </c>
    </row>
    <row r="185" ht="22.5" customHeight="1">
      <c r="A185" s="12">
        <f t="shared" si="4"/>
        <v>2183</v>
      </c>
      <c r="B185" s="30" t="s">
        <v>7169</v>
      </c>
      <c r="C185" s="7" t="str">
        <f t="shared" si="1"/>
        <v>🔊</v>
      </c>
      <c r="D185" s="8" t="s">
        <v>7170</v>
      </c>
      <c r="E185" s="6" t="s">
        <v>3430</v>
      </c>
      <c r="F185" s="12" t="str">
        <f>IFERROR(__xludf.DUMMYFUNCTION("GOOGLETRANSLATE(B185,""zh_cn"",""vi"")"),"Truyền thống")</f>
        <v>Truyền thống</v>
      </c>
      <c r="G185" s="20" t="s">
        <v>7171</v>
      </c>
      <c r="H185" s="6"/>
      <c r="I185" s="11" t="b">
        <f t="shared" si="2"/>
        <v>0</v>
      </c>
      <c r="K185" s="11" t="b">
        <f t="shared" si="3"/>
        <v>0</v>
      </c>
    </row>
    <row r="186" ht="22.5" customHeight="1">
      <c r="A186" s="12">
        <f t="shared" si="4"/>
        <v>2184</v>
      </c>
      <c r="B186" s="30" t="s">
        <v>7172</v>
      </c>
      <c r="C186" s="7" t="str">
        <f t="shared" si="1"/>
        <v>🔊</v>
      </c>
      <c r="D186" s="8" t="s">
        <v>7173</v>
      </c>
      <c r="E186" s="6" t="s">
        <v>13</v>
      </c>
      <c r="F186" s="12" t="str">
        <f>IFERROR(__xludf.DUMMYFUNCTION("GOOGLETRANSLATE(B186,""zh_cn"",""vi"")"),"xuất bản")</f>
        <v>xuất bản</v>
      </c>
      <c r="G186" s="20" t="s">
        <v>7174</v>
      </c>
      <c r="H186" s="6"/>
      <c r="I186" s="11" t="b">
        <f t="shared" si="2"/>
        <v>0</v>
      </c>
      <c r="K186" s="11" t="b">
        <f t="shared" si="3"/>
        <v>0</v>
      </c>
    </row>
    <row r="187" ht="22.5" customHeight="1">
      <c r="A187" s="12">
        <f t="shared" si="4"/>
        <v>2185</v>
      </c>
      <c r="B187" s="30" t="s">
        <v>7175</v>
      </c>
      <c r="C187" s="7" t="str">
        <f t="shared" si="1"/>
        <v>🔊</v>
      </c>
      <c r="D187" s="8" t="s">
        <v>7176</v>
      </c>
      <c r="E187" s="6" t="s">
        <v>99</v>
      </c>
      <c r="F187" s="12" t="str">
        <f>IFERROR(__xludf.DUMMYFUNCTION("GOOGLETRANSLATE(B187,""zh_cn"",""vi"")"),"sơ đẳng")</f>
        <v>sơ đẳng</v>
      </c>
      <c r="G187" s="20" t="s">
        <v>7177</v>
      </c>
      <c r="H187" s="6"/>
      <c r="I187" s="11" t="b">
        <f t="shared" si="2"/>
        <v>0</v>
      </c>
      <c r="K187" s="11" t="b">
        <f t="shared" si="3"/>
        <v>0</v>
      </c>
    </row>
    <row r="188" ht="22.5" customHeight="1">
      <c r="A188" s="12">
        <f t="shared" si="4"/>
        <v>2186</v>
      </c>
      <c r="B188" s="30" t="s">
        <v>7178</v>
      </c>
      <c r="C188" s="7" t="str">
        <f t="shared" si="1"/>
        <v>🔊</v>
      </c>
      <c r="D188" s="8" t="s">
        <v>7179</v>
      </c>
      <c r="E188" s="6" t="s">
        <v>13</v>
      </c>
      <c r="F188" s="12" t="str">
        <f>IFERROR(__xludf.DUMMYFUNCTION("GOOGLETRANSLATE(B188,""zh_cn"",""vi"")"),"đối phó với")</f>
        <v>đối phó với</v>
      </c>
      <c r="G188" s="20" t="s">
        <v>7180</v>
      </c>
      <c r="H188" s="6"/>
      <c r="I188" s="11" t="b">
        <f t="shared" si="2"/>
        <v>0</v>
      </c>
      <c r="K188" s="11" t="b">
        <f t="shared" si="3"/>
        <v>0</v>
      </c>
    </row>
    <row r="189" ht="22.5" customHeight="1">
      <c r="A189" s="12">
        <f t="shared" si="4"/>
        <v>2187</v>
      </c>
      <c r="B189" s="30" t="s">
        <v>7181</v>
      </c>
      <c r="C189" s="7" t="str">
        <f t="shared" si="1"/>
        <v>🔊</v>
      </c>
      <c r="D189" s="8" t="s">
        <v>7182</v>
      </c>
      <c r="E189" s="6" t="s">
        <v>27</v>
      </c>
      <c r="F189" s="12" t="str">
        <f>IFERROR(__xludf.DUMMYFUNCTION("GOOGLETRANSLATE(B189,""zh_cn"",""vi"")"),"Giai đoạn đầu")</f>
        <v>Giai đoạn đầu</v>
      </c>
      <c r="G189" s="20" t="s">
        <v>7183</v>
      </c>
      <c r="H189" s="6"/>
      <c r="I189" s="11" t="b">
        <f t="shared" si="2"/>
        <v>0</v>
      </c>
      <c r="K189" s="11" t="b">
        <f t="shared" si="3"/>
        <v>0</v>
      </c>
    </row>
    <row r="190" ht="22.5" customHeight="1">
      <c r="A190" s="12">
        <f t="shared" si="4"/>
        <v>2188</v>
      </c>
      <c r="B190" s="30" t="s">
        <v>7184</v>
      </c>
      <c r="C190" s="7" t="str">
        <f t="shared" si="1"/>
        <v>🔊</v>
      </c>
      <c r="D190" s="8" t="s">
        <v>7185</v>
      </c>
      <c r="E190" s="6" t="s">
        <v>99</v>
      </c>
      <c r="F190" s="12" t="str">
        <f>IFERROR(__xludf.DUMMYFUNCTION("GOOGLETRANSLATE(B190,""zh_cn"",""vi"")"),"nổi bật")</f>
        <v>nổi bật</v>
      </c>
      <c r="G190" s="20" t="s">
        <v>7186</v>
      </c>
      <c r="H190" s="6"/>
      <c r="I190" s="11" t="b">
        <f t="shared" si="2"/>
        <v>0</v>
      </c>
      <c r="K190" s="11" t="b">
        <f t="shared" si="3"/>
        <v>0</v>
      </c>
    </row>
    <row r="191" ht="22.5" customHeight="1">
      <c r="A191" s="12">
        <f t="shared" si="4"/>
        <v>2189</v>
      </c>
      <c r="B191" s="30" t="s">
        <v>7187</v>
      </c>
      <c r="C191" s="7" t="str">
        <f t="shared" si="1"/>
        <v>🔊</v>
      </c>
      <c r="D191" s="8" t="s">
        <v>7188</v>
      </c>
      <c r="E191" s="6" t="s">
        <v>13</v>
      </c>
      <c r="F191" s="12" t="str">
        <f>IFERROR(__xludf.DUMMYFUNCTION("GOOGLETRANSLATE(B191,""zh_cn"",""vi"")"),"bán")</f>
        <v>bán</v>
      </c>
      <c r="G191" s="20" t="s">
        <v>7189</v>
      </c>
      <c r="H191" s="6"/>
      <c r="I191" s="11" t="b">
        <f t="shared" si="2"/>
        <v>0</v>
      </c>
      <c r="K191" s="11" t="b">
        <f t="shared" si="3"/>
        <v>0</v>
      </c>
    </row>
    <row r="192" ht="22.5" customHeight="1">
      <c r="A192" s="12">
        <f t="shared" si="4"/>
        <v>2190</v>
      </c>
      <c r="B192" s="30" t="s">
        <v>7190</v>
      </c>
      <c r="C192" s="7" t="str">
        <f t="shared" si="1"/>
        <v>🔊</v>
      </c>
      <c r="D192" s="8" t="s">
        <v>7191</v>
      </c>
      <c r="E192" s="6" t="s">
        <v>27</v>
      </c>
      <c r="F192" s="12" t="str">
        <f>IFERROR(__xludf.DUMMYFUNCTION("GOOGLETRANSLATE(B192,""zh_cn"",""vi"")"),"Đêm giao thừa Tết Nguyên đán")</f>
        <v>Đêm giao thừa Tết Nguyên đán</v>
      </c>
      <c r="G192" s="20" t="s">
        <v>7192</v>
      </c>
      <c r="H192" s="6"/>
      <c r="I192" s="11" t="b">
        <f t="shared" si="2"/>
        <v>0</v>
      </c>
      <c r="K192" s="11" t="b">
        <f t="shared" si="3"/>
        <v>0</v>
      </c>
    </row>
    <row r="193" ht="22.5" customHeight="1">
      <c r="A193" s="12">
        <f t="shared" si="4"/>
        <v>2191</v>
      </c>
      <c r="B193" s="30" t="s">
        <v>7193</v>
      </c>
      <c r="C193" s="7" t="str">
        <f t="shared" si="1"/>
        <v>🔊</v>
      </c>
      <c r="D193" s="8" t="s">
        <v>7194</v>
      </c>
      <c r="E193" s="6" t="s">
        <v>13</v>
      </c>
      <c r="F193" s="12" t="str">
        <f>IFERROR(__xludf.DUMMYFUNCTION("GOOGLETRANSLATE(B193,""zh_cn"",""vi"")"),"Tham gia")</f>
        <v>Tham gia</v>
      </c>
      <c r="G193" s="20" t="s">
        <v>7195</v>
      </c>
      <c r="H193" s="6"/>
      <c r="I193" s="11" t="b">
        <f t="shared" si="2"/>
        <v>0</v>
      </c>
      <c r="K193" s="11" t="b">
        <f t="shared" si="3"/>
        <v>0</v>
      </c>
    </row>
    <row r="194" ht="22.5" customHeight="1">
      <c r="A194" s="12">
        <f t="shared" si="4"/>
        <v>2192</v>
      </c>
      <c r="B194" s="30" t="s">
        <v>7196</v>
      </c>
      <c r="C194" s="7" t="str">
        <f t="shared" si="1"/>
        <v>🔊</v>
      </c>
      <c r="D194" s="8" t="s">
        <v>7197</v>
      </c>
      <c r="E194" s="6" t="s">
        <v>13</v>
      </c>
      <c r="F194" s="12" t="str">
        <f>IFERROR(__xludf.DUMMYFUNCTION("GOOGLETRANSLATE(B194,""zh_cn"",""vi"")"),"TRONG")</f>
        <v>TRONG</v>
      </c>
      <c r="G194" s="20" t="s">
        <v>7198</v>
      </c>
      <c r="H194" s="6"/>
      <c r="I194" s="11" t="b">
        <f t="shared" si="2"/>
        <v>0</v>
      </c>
      <c r="K194" s="11" t="b">
        <f t="shared" si="3"/>
        <v>0</v>
      </c>
    </row>
    <row r="195" ht="22.5" customHeight="1">
      <c r="A195" s="12">
        <f t="shared" si="4"/>
        <v>2193</v>
      </c>
      <c r="B195" s="30" t="s">
        <v>7199</v>
      </c>
      <c r="C195" s="7" t="str">
        <f t="shared" si="1"/>
        <v>🔊</v>
      </c>
      <c r="D195" s="8" t="s">
        <v>7200</v>
      </c>
      <c r="E195" s="6" t="s">
        <v>13</v>
      </c>
      <c r="F195" s="12" t="str">
        <f>IFERROR(__xludf.DUMMYFUNCTION("GOOGLETRANSLATE(B195,""zh_cn"",""vi"")"),"Từ")</f>
        <v>Từ</v>
      </c>
      <c r="G195" s="20" t="s">
        <v>7201</v>
      </c>
      <c r="H195" s="6"/>
      <c r="I195" s="11" t="b">
        <f t="shared" si="2"/>
        <v>0</v>
      </c>
      <c r="K195" s="11" t="b">
        <f t="shared" si="3"/>
        <v>0</v>
      </c>
    </row>
    <row r="196" ht="22.5" customHeight="1">
      <c r="A196" s="12">
        <f t="shared" si="4"/>
        <v>2194</v>
      </c>
      <c r="B196" s="30" t="s">
        <v>7202</v>
      </c>
      <c r="C196" s="7" t="str">
        <f t="shared" si="1"/>
        <v>🔊</v>
      </c>
      <c r="D196" s="8" t="s">
        <v>7203</v>
      </c>
      <c r="E196" s="6" t="s">
        <v>27</v>
      </c>
      <c r="F196" s="12" t="str">
        <f>IFERROR(__xludf.DUMMYFUNCTION("GOOGLETRANSLATE(B196,""zh_cn"",""vi"")"),"Sau đó")</f>
        <v>Sau đó</v>
      </c>
      <c r="G196" s="20" t="s">
        <v>7204</v>
      </c>
      <c r="H196" s="6"/>
      <c r="I196" s="11" t="b">
        <f t="shared" si="2"/>
        <v>0</v>
      </c>
      <c r="K196" s="11" t="b">
        <f t="shared" si="3"/>
        <v>0</v>
      </c>
    </row>
    <row r="197" ht="22.5" customHeight="1">
      <c r="A197" s="12">
        <f t="shared" si="4"/>
        <v>2195</v>
      </c>
      <c r="B197" s="30" t="s">
        <v>7205</v>
      </c>
      <c r="C197" s="7" t="str">
        <f t="shared" si="1"/>
        <v>🔊</v>
      </c>
      <c r="D197" s="8" t="s">
        <v>7206</v>
      </c>
      <c r="E197" s="6" t="s">
        <v>27</v>
      </c>
      <c r="F197" s="12" t="str">
        <f>IFERROR(__xludf.DUMMYFUNCTION("GOOGLETRANSLATE(B197,""zh_cn"",""vi"")"),"từ vựng")</f>
        <v>từ vựng</v>
      </c>
      <c r="G197" s="20" t="s">
        <v>7207</v>
      </c>
      <c r="H197" s="6"/>
      <c r="I197" s="11" t="b">
        <f t="shared" si="2"/>
        <v>0</v>
      </c>
      <c r="K197" s="11" t="b">
        <f t="shared" si="3"/>
        <v>0</v>
      </c>
    </row>
    <row r="198" ht="22.5" customHeight="1">
      <c r="A198" s="12">
        <f t="shared" si="4"/>
        <v>2196</v>
      </c>
      <c r="B198" s="30" t="s">
        <v>7208</v>
      </c>
      <c r="C198" s="7" t="str">
        <f t="shared" si="1"/>
        <v>🔊</v>
      </c>
      <c r="D198" s="8" t="s">
        <v>7209</v>
      </c>
      <c r="E198" s="6" t="s">
        <v>232</v>
      </c>
      <c r="F198" s="12" t="str">
        <f>IFERROR(__xludf.DUMMYFUNCTION("GOOGLETRANSLATE(B198,""zh_cn"",""vi"")"),"Kích thích")</f>
        <v>Kích thích</v>
      </c>
      <c r="G198" s="20" t="s">
        <v>7210</v>
      </c>
      <c r="H198" s="6"/>
      <c r="I198" s="11" t="b">
        <f t="shared" si="2"/>
        <v>0</v>
      </c>
      <c r="K198" s="11" t="b">
        <f t="shared" si="3"/>
        <v>0</v>
      </c>
    </row>
    <row r="199" ht="22.5" customHeight="1">
      <c r="A199" s="12">
        <f t="shared" si="4"/>
        <v>2197</v>
      </c>
      <c r="B199" s="30" t="s">
        <v>7211</v>
      </c>
      <c r="C199" s="7" t="str">
        <f t="shared" si="1"/>
        <v>🔊</v>
      </c>
      <c r="D199" s="8" t="s">
        <v>7212</v>
      </c>
      <c r="E199" s="6" t="s">
        <v>27</v>
      </c>
      <c r="F199" s="12" t="str">
        <f>IFERROR(__xludf.DUMMYFUNCTION("GOOGLETRANSLATE(B199,""zh_cn"",""vi"")"),"Trước đây")</f>
        <v>Trước đây</v>
      </c>
      <c r="G199" s="20" t="s">
        <v>7213</v>
      </c>
      <c r="H199" s="6"/>
      <c r="I199" s="11" t="b">
        <f t="shared" si="2"/>
        <v>0</v>
      </c>
      <c r="K199" s="11" t="b">
        <f t="shared" si="3"/>
        <v>0</v>
      </c>
    </row>
    <row r="200" ht="22.5" customHeight="1">
      <c r="A200" s="12">
        <f t="shared" si="4"/>
        <v>2198</v>
      </c>
      <c r="B200" s="30" t="s">
        <v>7214</v>
      </c>
      <c r="C200" s="7" t="str">
        <f t="shared" si="1"/>
        <v>🔊</v>
      </c>
      <c r="D200" s="8" t="s">
        <v>7215</v>
      </c>
      <c r="E200" s="6" t="s">
        <v>27</v>
      </c>
      <c r="F200" s="12" t="str">
        <f>IFERROR(__xludf.DUMMYFUNCTION("GOOGLETRANSLATE(B200,""zh_cn"",""vi"")"),"vào thời điểm này")</f>
        <v>vào thời điểm này</v>
      </c>
      <c r="G200" s="20" t="s">
        <v>7216</v>
      </c>
      <c r="H200" s="6"/>
      <c r="I200" s="11" t="b">
        <f t="shared" si="2"/>
        <v>0</v>
      </c>
      <c r="K200" s="11" t="b">
        <f t="shared" si="3"/>
        <v>0</v>
      </c>
    </row>
    <row r="201" ht="22.5" customHeight="1">
      <c r="A201" s="12">
        <f t="shared" si="4"/>
        <v>2199</v>
      </c>
      <c r="B201" s="30" t="s">
        <v>7217</v>
      </c>
      <c r="C201" s="7" t="str">
        <f t="shared" si="1"/>
        <v>🔊</v>
      </c>
      <c r="D201" s="8" t="s">
        <v>7218</v>
      </c>
      <c r="E201" s="6" t="s">
        <v>13</v>
      </c>
      <c r="F201" s="12" t="str">
        <f>IFERROR(__xludf.DUMMYFUNCTION("GOOGLETRANSLATE(B201,""zh_cn"",""vi"")"),"Từ chức")</f>
        <v>Từ chức</v>
      </c>
      <c r="G201" s="20" t="s">
        <v>7219</v>
      </c>
      <c r="H201" s="6"/>
      <c r="I201" s="11" t="b">
        <f t="shared" si="2"/>
        <v>0</v>
      </c>
      <c r="K201" s="11" t="b">
        <f t="shared" si="3"/>
        <v>0</v>
      </c>
    </row>
    <row r="202" ht="22.5" customHeight="1">
      <c r="A202" s="12">
        <f t="shared" si="4"/>
        <v>2200</v>
      </c>
      <c r="B202" s="30" t="s">
        <v>7220</v>
      </c>
      <c r="C202" s="7" t="str">
        <f t="shared" si="1"/>
        <v>🔊</v>
      </c>
      <c r="D202" s="8" t="s">
        <v>7221</v>
      </c>
      <c r="E202" s="14"/>
      <c r="F202" s="12" t="str">
        <f>IFERROR(__xludf.DUMMYFUNCTION("GOOGLETRANSLATE(B202,""zh_cn"",""vi"")"),"Không bao giờ")</f>
        <v>Không bao giờ</v>
      </c>
      <c r="G202" s="20" t="s">
        <v>7222</v>
      </c>
      <c r="H202" s="6"/>
      <c r="I202" s="11" t="b">
        <f t="shared" si="2"/>
        <v>0</v>
      </c>
      <c r="K202" s="11" t="b">
        <f t="shared" si="3"/>
        <v>0</v>
      </c>
    </row>
    <row r="203" ht="22.5" customHeight="1">
      <c r="A203" s="12">
        <f t="shared" si="4"/>
        <v>2201</v>
      </c>
      <c r="B203" s="30" t="s">
        <v>7223</v>
      </c>
      <c r="C203" s="7" t="str">
        <f t="shared" si="1"/>
        <v>🔊</v>
      </c>
      <c r="D203" s="8" t="s">
        <v>7224</v>
      </c>
      <c r="E203" s="6" t="s">
        <v>1132</v>
      </c>
      <c r="F203" s="12" t="str">
        <f>IFERROR(__xludf.DUMMYFUNCTION("GOOGLETRANSLATE(B203,""zh_cn"",""vi"")"),"do đó")</f>
        <v>do đó</v>
      </c>
      <c r="G203" s="20" t="s">
        <v>7225</v>
      </c>
      <c r="H203" s="6"/>
      <c r="I203" s="11" t="b">
        <f t="shared" si="2"/>
        <v>0</v>
      </c>
      <c r="K203" s="11" t="b">
        <f t="shared" si="3"/>
        <v>0</v>
      </c>
    </row>
    <row r="204" ht="22.5" customHeight="1">
      <c r="A204" s="12">
        <f t="shared" si="4"/>
        <v>2202</v>
      </c>
      <c r="B204" s="30" t="s">
        <v>7226</v>
      </c>
      <c r="C204" s="7" t="str">
        <f t="shared" si="1"/>
        <v>🔊</v>
      </c>
      <c r="D204" s="8" t="s">
        <v>7227</v>
      </c>
      <c r="E204" s="6" t="s">
        <v>27</v>
      </c>
      <c r="F204" s="12" t="str">
        <f>IFERROR(__xludf.DUMMYFUNCTION("GOOGLETRANSLATE(B204,""zh_cn"",""vi"")"),"Ngày xửa ngày xưa...")</f>
        <v>Ngày xửa ngày xưa...</v>
      </c>
      <c r="G204" s="20" t="s">
        <v>7228</v>
      </c>
      <c r="H204" s="6"/>
      <c r="I204" s="11" t="b">
        <f t="shared" si="2"/>
        <v>0</v>
      </c>
      <c r="K204" s="11" t="b">
        <f t="shared" si="3"/>
        <v>0</v>
      </c>
    </row>
    <row r="205" ht="22.5" customHeight="1">
      <c r="A205" s="12">
        <f t="shared" si="4"/>
        <v>2203</v>
      </c>
      <c r="B205" s="30" t="s">
        <v>7229</v>
      </c>
      <c r="C205" s="7" t="str">
        <f t="shared" si="1"/>
        <v>🔊</v>
      </c>
      <c r="D205" s="8" t="s">
        <v>7230</v>
      </c>
      <c r="E205" s="6" t="s">
        <v>13</v>
      </c>
      <c r="F205" s="12" t="str">
        <f>IFERROR(__xludf.DUMMYFUNCTION("GOOGLETRANSLATE(B205,""zh_cn"",""vi"")"),"Tham gia vào")</f>
        <v>Tham gia vào</v>
      </c>
      <c r="G205" s="20" t="s">
        <v>7231</v>
      </c>
      <c r="H205" s="6"/>
      <c r="I205" s="11" t="b">
        <f t="shared" si="2"/>
        <v>0</v>
      </c>
      <c r="K205" s="11" t="b">
        <f t="shared" si="3"/>
        <v>0</v>
      </c>
    </row>
    <row r="206" ht="22.5" customHeight="1">
      <c r="A206" s="12">
        <f t="shared" si="4"/>
        <v>2204</v>
      </c>
      <c r="B206" s="30" t="s">
        <v>7232</v>
      </c>
      <c r="C206" s="7" t="str">
        <f t="shared" si="1"/>
        <v>🔊</v>
      </c>
      <c r="D206" s="8" t="s">
        <v>7233</v>
      </c>
      <c r="E206" s="6" t="s">
        <v>13</v>
      </c>
      <c r="F206" s="12" t="str">
        <f>IFERROR(__xludf.DUMMYFUNCTION("GOOGLETRANSLATE(B206,""zh_cn"",""vi"")"),"thúc giục")</f>
        <v>thúc giục</v>
      </c>
      <c r="G206" s="20" t="s">
        <v>7234</v>
      </c>
      <c r="H206" s="6"/>
      <c r="I206" s="11" t="b">
        <f t="shared" si="2"/>
        <v>0</v>
      </c>
      <c r="K206" s="11" t="b">
        <f t="shared" si="3"/>
        <v>0</v>
      </c>
    </row>
    <row r="207" ht="22.5" customHeight="1">
      <c r="A207" s="12">
        <f t="shared" si="4"/>
        <v>2205</v>
      </c>
      <c r="B207" s="30" t="s">
        <v>7235</v>
      </c>
      <c r="C207" s="7" t="str">
        <f t="shared" si="1"/>
        <v>🔊</v>
      </c>
      <c r="D207" s="8" t="s">
        <v>7236</v>
      </c>
      <c r="E207" s="6" t="s">
        <v>13</v>
      </c>
      <c r="F207" s="12" t="str">
        <f>IFERROR(__xludf.DUMMYFUNCTION("GOOGLETRANSLATE(B207,""zh_cn"",""vi"")"),"Khuyến khích")</f>
        <v>Khuyến khích</v>
      </c>
      <c r="G207" s="20" t="s">
        <v>7237</v>
      </c>
      <c r="H207" s="6"/>
      <c r="I207" s="11" t="b">
        <f t="shared" si="2"/>
        <v>0</v>
      </c>
      <c r="K207" s="11" t="b">
        <f t="shared" si="3"/>
        <v>0</v>
      </c>
    </row>
    <row r="208" ht="22.5" customHeight="1">
      <c r="A208" s="12">
        <f t="shared" si="4"/>
        <v>2206</v>
      </c>
      <c r="B208" s="30" t="s">
        <v>7238</v>
      </c>
      <c r="C208" s="7" t="str">
        <f t="shared" si="1"/>
        <v>🔊</v>
      </c>
      <c r="D208" s="8" t="s">
        <v>7239</v>
      </c>
      <c r="E208" s="6" t="s">
        <v>13</v>
      </c>
      <c r="F208" s="12" t="str">
        <f>IFERROR(__xludf.DUMMYFUNCTION("GOOGLETRANSLATE(B208,""zh_cn"",""vi"")"),"Kho")</f>
        <v>Kho</v>
      </c>
      <c r="G208" s="20" t="s">
        <v>7240</v>
      </c>
      <c r="H208" s="6"/>
      <c r="I208" s="11" t="b">
        <f t="shared" si="2"/>
        <v>0</v>
      </c>
      <c r="K208" s="11" t="b">
        <f t="shared" si="3"/>
        <v>0</v>
      </c>
    </row>
    <row r="209" ht="22.5" customHeight="1">
      <c r="A209" s="12">
        <f t="shared" si="4"/>
        <v>2207</v>
      </c>
      <c r="B209" s="30" t="s">
        <v>7241</v>
      </c>
      <c r="C209" s="7" t="str">
        <f t="shared" si="1"/>
        <v>🔊</v>
      </c>
      <c r="D209" s="8" t="s">
        <v>7242</v>
      </c>
      <c r="E209" s="6" t="s">
        <v>232</v>
      </c>
      <c r="F209" s="12" t="str">
        <f>IFERROR(__xludf.DUMMYFUNCTION("GOOGLETRANSLATE(B209,""zh_cn"",""vi"")"),"tiền gửi")</f>
        <v>tiền gửi</v>
      </c>
      <c r="G209" s="20" t="s">
        <v>7243</v>
      </c>
      <c r="H209" s="6"/>
      <c r="I209" s="11" t="b">
        <f t="shared" si="2"/>
        <v>0</v>
      </c>
      <c r="K209" s="11" t="b">
        <f t="shared" si="3"/>
        <v>0</v>
      </c>
    </row>
    <row r="210" ht="22.5" customHeight="1">
      <c r="A210" s="12">
        <f t="shared" si="4"/>
        <v>2208</v>
      </c>
      <c r="B210" s="30" t="s">
        <v>7244</v>
      </c>
      <c r="C210" s="7" t="str">
        <f t="shared" si="1"/>
        <v>🔊</v>
      </c>
      <c r="D210" s="8" t="s">
        <v>7245</v>
      </c>
      <c r="E210" s="6" t="s">
        <v>13</v>
      </c>
      <c r="F210" s="12" t="str">
        <f>IFERROR(__xludf.DUMMYFUNCTION("GOOGLETRANSLATE(B210,""zh_cn"",""vi"")"),"hiện hữu")</f>
        <v>hiện hữu</v>
      </c>
      <c r="G210" s="20" t="s">
        <v>7246</v>
      </c>
      <c r="H210" s="6"/>
      <c r="I210" s="11" t="b">
        <f t="shared" si="2"/>
        <v>0</v>
      </c>
      <c r="K210" s="11" t="b">
        <f t="shared" si="3"/>
        <v>0</v>
      </c>
    </row>
    <row r="211" ht="22.5" customHeight="1">
      <c r="A211" s="12">
        <f t="shared" si="4"/>
        <v>2209</v>
      </c>
      <c r="B211" s="30" t="s">
        <v>7247</v>
      </c>
      <c r="C211" s="7" t="str">
        <f t="shared" si="1"/>
        <v>🔊</v>
      </c>
      <c r="D211" s="8" t="s">
        <v>7248</v>
      </c>
      <c r="E211" s="6" t="s">
        <v>27</v>
      </c>
      <c r="F211" s="12" t="str">
        <f>IFERROR(__xludf.DUMMYFUNCTION("GOOGLETRANSLATE(B211,""zh_cn"",""vi"")"),"đo lường")</f>
        <v>đo lường</v>
      </c>
      <c r="G211" s="20" t="s">
        <v>7249</v>
      </c>
      <c r="H211" s="6"/>
      <c r="I211" s="11" t="b">
        <f t="shared" si="2"/>
        <v>0</v>
      </c>
      <c r="K211" s="11" t="b">
        <f t="shared" si="3"/>
        <v>0</v>
      </c>
    </row>
    <row r="212" ht="22.5" customHeight="1">
      <c r="A212" s="12">
        <f t="shared" si="4"/>
        <v>2210</v>
      </c>
      <c r="B212" s="30" t="s">
        <v>7250</v>
      </c>
      <c r="C212" s="7" t="str">
        <f t="shared" si="1"/>
        <v>🔊</v>
      </c>
      <c r="D212" s="8" t="s">
        <v>7251</v>
      </c>
      <c r="E212" s="6" t="s">
        <v>13</v>
      </c>
      <c r="F212" s="12" t="str">
        <f>IFERROR(__xludf.DUMMYFUNCTION("GOOGLETRANSLATE(B212,""zh_cn"",""vi"")"),"lời nhắc")</f>
        <v>lời nhắc</v>
      </c>
      <c r="G212" s="20" t="s">
        <v>7252</v>
      </c>
      <c r="H212" s="6"/>
      <c r="I212" s="11" t="b">
        <f t="shared" si="2"/>
        <v>0</v>
      </c>
      <c r="K212" s="11" t="b">
        <f t="shared" si="3"/>
        <v>0</v>
      </c>
    </row>
    <row r="213" ht="22.5" customHeight="1">
      <c r="A213" s="12">
        <f t="shared" si="4"/>
        <v>2211</v>
      </c>
      <c r="B213" s="30" t="s">
        <v>7253</v>
      </c>
      <c r="C213" s="7" t="str">
        <f t="shared" si="1"/>
        <v>🔊</v>
      </c>
      <c r="D213" s="8" t="s">
        <v>7254</v>
      </c>
      <c r="E213" s="6" t="s">
        <v>13</v>
      </c>
      <c r="F213" s="12" t="str">
        <f>IFERROR(__xludf.DUMMYFUNCTION("GOOGLETRANSLATE(B213,""zh_cn"",""vi"")"),"Khuyến mãi")</f>
        <v>Khuyến mãi</v>
      </c>
      <c r="G213" s="20" t="s">
        <v>7255</v>
      </c>
      <c r="H213" s="6"/>
      <c r="I213" s="11" t="b">
        <f t="shared" si="2"/>
        <v>0</v>
      </c>
      <c r="K213" s="11" t="b">
        <f t="shared" si="3"/>
        <v>0</v>
      </c>
    </row>
    <row r="214" ht="22.5" customHeight="1">
      <c r="A214" s="12">
        <f t="shared" si="4"/>
        <v>2212</v>
      </c>
      <c r="B214" s="30" t="s">
        <v>7256</v>
      </c>
      <c r="C214" s="7" t="str">
        <f t="shared" si="1"/>
        <v>🔊</v>
      </c>
      <c r="D214" s="8" t="s">
        <v>7257</v>
      </c>
      <c r="E214" s="6" t="s">
        <v>13</v>
      </c>
      <c r="F214" s="12" t="str">
        <f>IFERROR(__xludf.DUMMYFUNCTION("GOOGLETRANSLATE(B214,""zh_cn"",""vi"")"),"hóa trang")</f>
        <v>hóa trang</v>
      </c>
      <c r="G214" s="20" t="s">
        <v>7258</v>
      </c>
      <c r="H214" s="6"/>
      <c r="I214" s="11" t="b">
        <f t="shared" si="2"/>
        <v>0</v>
      </c>
      <c r="K214" s="11" t="b">
        <f t="shared" si="3"/>
        <v>0</v>
      </c>
    </row>
    <row r="215" ht="22.5" customHeight="1">
      <c r="A215" s="12">
        <f t="shared" si="4"/>
        <v>2213</v>
      </c>
      <c r="B215" s="30" t="s">
        <v>7259</v>
      </c>
      <c r="C215" s="7" t="str">
        <f t="shared" si="1"/>
        <v>🔊</v>
      </c>
      <c r="D215" s="8" t="s">
        <v>7260</v>
      </c>
      <c r="E215" s="6" t="s">
        <v>13</v>
      </c>
      <c r="F215" s="12" t="str">
        <f>IFERROR(__xludf.DUMMYFUNCTION("GOOGLETRANSLATE(B215,""zh_cn"",""vi"")"),"Đóng gói")</f>
        <v>Đóng gói</v>
      </c>
      <c r="G215" s="20" t="s">
        <v>7261</v>
      </c>
      <c r="H215" s="6"/>
      <c r="I215" s="11" t="b">
        <f t="shared" si="2"/>
        <v>0</v>
      </c>
      <c r="K215" s="11" t="b">
        <f t="shared" si="3"/>
        <v>0</v>
      </c>
    </row>
    <row r="216" ht="22.5" customHeight="1">
      <c r="A216" s="12">
        <f t="shared" si="4"/>
        <v>2214</v>
      </c>
      <c r="B216" s="30" t="s">
        <v>7262</v>
      </c>
      <c r="C216" s="7" t="str">
        <f t="shared" si="1"/>
        <v>🔊</v>
      </c>
      <c r="D216" s="8" t="s">
        <v>7263</v>
      </c>
      <c r="E216" s="6" t="s">
        <v>13</v>
      </c>
      <c r="F216" s="12" t="str">
        <f>IFERROR(__xludf.DUMMYFUNCTION("GOOGLETRANSLATE(B216,""zh_cn"",""vi"")"),"Đạt được")</f>
        <v>Đạt được</v>
      </c>
      <c r="G216" s="20" t="s">
        <v>7264</v>
      </c>
      <c r="H216" s="6"/>
      <c r="I216" s="11" t="b">
        <f t="shared" si="2"/>
        <v>0</v>
      </c>
      <c r="K216" s="11" t="b">
        <f t="shared" si="3"/>
        <v>0</v>
      </c>
    </row>
    <row r="217" ht="22.5" customHeight="1">
      <c r="A217" s="12">
        <f t="shared" si="4"/>
        <v>2215</v>
      </c>
      <c r="B217" s="30" t="s">
        <v>7265</v>
      </c>
      <c r="C217" s="7" t="str">
        <f t="shared" si="1"/>
        <v>🔊</v>
      </c>
      <c r="D217" s="8" t="s">
        <v>7266</v>
      </c>
      <c r="E217" s="6" t="s">
        <v>99</v>
      </c>
      <c r="F217" s="12" t="str">
        <f>IFERROR(__xludf.DUMMYFUNCTION("GOOGLETRANSLATE(B217,""zh_cn"",""vi"")"),"In đậm")</f>
        <v>In đậm</v>
      </c>
      <c r="G217" s="20" t="s">
        <v>7267</v>
      </c>
      <c r="H217" s="6"/>
      <c r="I217" s="11" t="b">
        <f t="shared" si="2"/>
        <v>0</v>
      </c>
      <c r="K217" s="11" t="b">
        <f t="shared" si="3"/>
        <v>0</v>
      </c>
    </row>
    <row r="218" ht="22.5" customHeight="1">
      <c r="A218" s="12">
        <f t="shared" si="4"/>
        <v>2216</v>
      </c>
      <c r="B218" s="30" t="s">
        <v>7268</v>
      </c>
      <c r="C218" s="7" t="str">
        <f t="shared" si="1"/>
        <v>🔊</v>
      </c>
      <c r="D218" s="8" t="s">
        <v>7269</v>
      </c>
      <c r="E218" s="6" t="s">
        <v>13</v>
      </c>
      <c r="F218" s="12" t="str">
        <f>IFERROR(__xludf.DUMMYFUNCTION("GOOGLETRANSLATE(B218,""zh_cn"",""vi"")"),"ngắt")</f>
        <v>ngắt</v>
      </c>
      <c r="G218" s="20" t="s">
        <v>7270</v>
      </c>
      <c r="H218" s="6"/>
      <c r="I218" s="11" t="b">
        <f t="shared" si="2"/>
        <v>0</v>
      </c>
      <c r="K218" s="11" t="b">
        <f t="shared" si="3"/>
        <v>0</v>
      </c>
    </row>
    <row r="219" ht="22.5" customHeight="1">
      <c r="A219" s="12">
        <f t="shared" si="4"/>
        <v>2217</v>
      </c>
      <c r="B219" s="30" t="s">
        <v>7271</v>
      </c>
      <c r="C219" s="7" t="str">
        <f t="shared" si="1"/>
        <v>🔊</v>
      </c>
      <c r="D219" s="8" t="s">
        <v>7272</v>
      </c>
      <c r="E219" s="6" t="s">
        <v>61</v>
      </c>
      <c r="F219" s="12" t="str">
        <f>IFERROR(__xludf.DUMMYFUNCTION("GOOGLETRANSLATE(B219,""zh_cn"",""vi"")"),"hầu hết")</f>
        <v>hầu hết</v>
      </c>
      <c r="G219" s="20" t="s">
        <v>7273</v>
      </c>
      <c r="H219" s="6"/>
      <c r="I219" s="11" t="b">
        <f t="shared" si="2"/>
        <v>0</v>
      </c>
      <c r="K219" s="11" t="b">
        <f t="shared" si="3"/>
        <v>0</v>
      </c>
    </row>
    <row r="220" ht="22.5" customHeight="1">
      <c r="A220" s="12">
        <f t="shared" si="4"/>
        <v>2218</v>
      </c>
      <c r="B220" s="30" t="s">
        <v>7274</v>
      </c>
      <c r="C220" s="7" t="str">
        <f t="shared" si="1"/>
        <v>🔊</v>
      </c>
      <c r="D220" s="8" t="s">
        <v>7275</v>
      </c>
      <c r="E220" s="6" t="s">
        <v>27</v>
      </c>
      <c r="F220" s="12" t="str">
        <f>IFERROR(__xludf.DUMMYFUNCTION("GOOGLETRANSLATE(B220,""zh_cn"",""vi"")"),"Đại hội đồng")</f>
        <v>Đại hội đồng</v>
      </c>
      <c r="G220" s="20" t="s">
        <v>7276</v>
      </c>
      <c r="H220" s="6"/>
      <c r="I220" s="11" t="b">
        <f t="shared" si="2"/>
        <v>0</v>
      </c>
      <c r="K220" s="11" t="b">
        <f t="shared" si="3"/>
        <v>0</v>
      </c>
    </row>
    <row r="221" ht="22.5" customHeight="1">
      <c r="A221" s="12">
        <f t="shared" si="4"/>
        <v>2219</v>
      </c>
      <c r="B221" s="30" t="s">
        <v>106</v>
      </c>
      <c r="C221" s="7" t="str">
        <f t="shared" si="1"/>
        <v>🔊</v>
      </c>
      <c r="D221" s="8" t="s">
        <v>1945</v>
      </c>
      <c r="E221" s="6" t="s">
        <v>232</v>
      </c>
      <c r="F221" s="12" t="str">
        <f>IFERROR(__xludf.DUMMYFUNCTION("GOOGLETRANSLATE(B221,""zh_cn"",""vi"")"),"thế hệ")</f>
        <v>thế hệ</v>
      </c>
      <c r="G221" s="20" t="s">
        <v>7277</v>
      </c>
      <c r="H221" s="6"/>
      <c r="I221" s="11" t="b">
        <f t="shared" si="2"/>
        <v>0</v>
      </c>
      <c r="K221" s="11" t="b">
        <f t="shared" si="3"/>
        <v>0</v>
      </c>
    </row>
    <row r="222" ht="22.5" customHeight="1">
      <c r="A222" s="12">
        <f t="shared" si="4"/>
        <v>2220</v>
      </c>
      <c r="B222" s="30" t="s">
        <v>7278</v>
      </c>
      <c r="C222" s="7" t="str">
        <f t="shared" si="1"/>
        <v>🔊</v>
      </c>
      <c r="D222" s="8" t="s">
        <v>7279</v>
      </c>
      <c r="E222" s="6" t="s">
        <v>57</v>
      </c>
      <c r="F222" s="12" t="str">
        <f>IFERROR(__xludf.DUMMYFUNCTION("GOOGLETRANSLATE(B222,""zh_cn"",""vi"")"),"đại diện")</f>
        <v>đại diện</v>
      </c>
      <c r="G222" s="20" t="s">
        <v>7280</v>
      </c>
      <c r="H222" s="6"/>
      <c r="I222" s="11" t="b">
        <f t="shared" si="2"/>
        <v>0</v>
      </c>
      <c r="K222" s="11" t="b">
        <f t="shared" si="3"/>
        <v>0</v>
      </c>
    </row>
    <row r="223" ht="22.5" customHeight="1">
      <c r="A223" s="12">
        <f t="shared" si="4"/>
        <v>2221</v>
      </c>
      <c r="B223" s="30" t="s">
        <v>7281</v>
      </c>
      <c r="C223" s="7" t="str">
        <f t="shared" si="1"/>
        <v>🔊</v>
      </c>
      <c r="D223" s="8" t="s">
        <v>7282</v>
      </c>
      <c r="E223" s="6" t="s">
        <v>13</v>
      </c>
      <c r="F223" s="12" t="str">
        <f>IFERROR(__xludf.DUMMYFUNCTION("GOOGLETRANSLATE(B223,""zh_cn"",""vi"")"),"lái xe")</f>
        <v>lái xe</v>
      </c>
      <c r="G223" s="20" t="s">
        <v>7283</v>
      </c>
      <c r="H223" s="6"/>
      <c r="I223" s="11" t="b">
        <f t="shared" si="2"/>
        <v>0</v>
      </c>
      <c r="K223" s="11" t="b">
        <f t="shared" si="3"/>
        <v>0</v>
      </c>
    </row>
    <row r="224" ht="22.5" customHeight="1">
      <c r="A224" s="12">
        <f t="shared" si="4"/>
        <v>2222</v>
      </c>
      <c r="B224" s="30" t="s">
        <v>7284</v>
      </c>
      <c r="C224" s="7" t="str">
        <f t="shared" si="1"/>
        <v>🔊</v>
      </c>
      <c r="D224" s="8" t="s">
        <v>7285</v>
      </c>
      <c r="E224" s="6" t="s">
        <v>13</v>
      </c>
      <c r="F224" s="12" t="str">
        <f>IFERROR(__xludf.DUMMYFUNCTION("GOOGLETRANSLATE(B224,""zh_cn"",""vi"")"),"thay thế")</f>
        <v>thay thế</v>
      </c>
      <c r="G224" s="20" t="s">
        <v>7286</v>
      </c>
      <c r="H224" s="6"/>
      <c r="I224" s="11" t="b">
        <f t="shared" si="2"/>
        <v>0</v>
      </c>
      <c r="K224" s="11" t="b">
        <f t="shared" si="3"/>
        <v>0</v>
      </c>
    </row>
    <row r="225" ht="22.5" customHeight="1">
      <c r="A225" s="12">
        <f t="shared" si="4"/>
        <v>2223</v>
      </c>
      <c r="B225" s="30" t="s">
        <v>7287</v>
      </c>
      <c r="C225" s="7" t="str">
        <f t="shared" si="1"/>
        <v>🔊</v>
      </c>
      <c r="D225" s="8" t="s">
        <v>7288</v>
      </c>
      <c r="E225" s="6" t="s">
        <v>27</v>
      </c>
      <c r="F225" s="12" t="str">
        <f>IFERROR(__xludf.DUMMYFUNCTION("GOOGLETRANSLATE(B225,""zh_cn"",""vi"")"),"sự đối đãi")</f>
        <v>sự đối đãi</v>
      </c>
      <c r="G225" s="20" t="s">
        <v>7289</v>
      </c>
      <c r="H225" s="6"/>
      <c r="I225" s="11" t="b">
        <f t="shared" si="2"/>
        <v>0</v>
      </c>
      <c r="K225" s="11" t="b">
        <f t="shared" si="3"/>
        <v>0</v>
      </c>
    </row>
    <row r="226" ht="22.5" customHeight="1">
      <c r="A226" s="12">
        <f t="shared" si="4"/>
        <v>2224</v>
      </c>
      <c r="B226" s="30" t="s">
        <v>7290</v>
      </c>
      <c r="C226" s="7" t="str">
        <f t="shared" si="1"/>
        <v>🔊</v>
      </c>
      <c r="D226" s="8" t="s">
        <v>7291</v>
      </c>
      <c r="E226" s="6" t="s">
        <v>3089</v>
      </c>
      <c r="F226" s="12" t="str">
        <f>IFERROR(__xludf.DUMMYFUNCTION("GOOGLETRANSLATE(B226,""zh_cn"",""vi"")"),"mạnh mẽ")</f>
        <v>mạnh mẽ</v>
      </c>
      <c r="G226" s="20" t="s">
        <v>7292</v>
      </c>
      <c r="H226" s="6"/>
      <c r="I226" s="11" t="b">
        <f t="shared" si="2"/>
        <v>0</v>
      </c>
      <c r="K226" s="11" t="b">
        <f t="shared" si="3"/>
        <v>0</v>
      </c>
    </row>
    <row r="227" ht="22.5" customHeight="1">
      <c r="A227" s="12">
        <f t="shared" si="4"/>
        <v>2225</v>
      </c>
      <c r="B227" s="30" t="s">
        <v>7293</v>
      </c>
      <c r="C227" s="7" t="str">
        <f t="shared" si="1"/>
        <v>🔊</v>
      </c>
      <c r="D227" s="8" t="s">
        <v>7294</v>
      </c>
      <c r="E227" s="6" t="s">
        <v>27</v>
      </c>
      <c r="F227" s="12" t="str">
        <f>IFERROR(__xludf.DUMMYFUNCTION("GOOGLETRANSLATE(B227,""zh_cn"",""vi"")"),"Dì")</f>
        <v>Dì</v>
      </c>
      <c r="G227" s="20" t="s">
        <v>7295</v>
      </c>
      <c r="H227" s="6"/>
      <c r="I227" s="11" t="b">
        <f t="shared" si="2"/>
        <v>0</v>
      </c>
      <c r="K227" s="11" t="b">
        <f t="shared" si="3"/>
        <v>0</v>
      </c>
    </row>
    <row r="228" ht="22.5" customHeight="1">
      <c r="A228" s="12">
        <f t="shared" si="4"/>
        <v>2226</v>
      </c>
      <c r="B228" s="30" t="s">
        <v>7296</v>
      </c>
      <c r="C228" s="7" t="str">
        <f t="shared" si="1"/>
        <v>🔊</v>
      </c>
      <c r="D228" s="8" t="s">
        <v>7297</v>
      </c>
      <c r="E228" s="6" t="s">
        <v>27</v>
      </c>
      <c r="F228" s="12" t="str">
        <f>IFERROR(__xludf.DUMMYFUNCTION("GOOGLETRANSLATE(B228,""zh_cn"",""vi"")"),"cơm")</f>
        <v>cơm</v>
      </c>
      <c r="G228" s="20" t="s">
        <v>7298</v>
      </c>
      <c r="H228" s="6"/>
      <c r="I228" s="11" t="b">
        <f t="shared" si="2"/>
        <v>0</v>
      </c>
      <c r="K228" s="11" t="b">
        <f t="shared" si="3"/>
        <v>0</v>
      </c>
    </row>
    <row r="229" ht="22.5" customHeight="1">
      <c r="A229" s="12">
        <f t="shared" si="4"/>
        <v>2227</v>
      </c>
      <c r="B229" s="30" t="s">
        <v>7299</v>
      </c>
      <c r="C229" s="7" t="str">
        <f t="shared" si="1"/>
        <v>🔊</v>
      </c>
      <c r="D229" s="8" t="s">
        <v>1127</v>
      </c>
      <c r="E229" s="6" t="s">
        <v>99</v>
      </c>
      <c r="F229" s="12" t="str">
        <f>IFERROR(__xludf.DUMMYFUNCTION("GOOGLETRANSLATE(B229,""zh_cn"",""vi"")"),"ánh sáng")</f>
        <v>ánh sáng</v>
      </c>
      <c r="G229" s="20" t="s">
        <v>7300</v>
      </c>
      <c r="H229" s="6"/>
      <c r="I229" s="11" t="b">
        <f t="shared" si="2"/>
        <v>0</v>
      </c>
      <c r="K229" s="11" t="b">
        <f t="shared" si="3"/>
        <v>0</v>
      </c>
    </row>
    <row r="230" ht="22.5" customHeight="1">
      <c r="A230" s="12">
        <f t="shared" si="4"/>
        <v>2228</v>
      </c>
      <c r="B230" s="30" t="s">
        <v>7301</v>
      </c>
      <c r="C230" s="7" t="str">
        <f t="shared" si="1"/>
        <v>🔊</v>
      </c>
      <c r="D230" s="8" t="s">
        <v>7302</v>
      </c>
      <c r="E230" s="6" t="s">
        <v>7303</v>
      </c>
      <c r="F230" s="12" t="str">
        <f>IFERROR(__xludf.DUMMYFUNCTION("GOOGLETRANSLATE(B230,""zh_cn"",""vi"")"),"một")</f>
        <v>một</v>
      </c>
      <c r="G230" s="20" t="s">
        <v>7304</v>
      </c>
      <c r="H230" s="6"/>
      <c r="I230" s="11" t="b">
        <f t="shared" si="2"/>
        <v>0</v>
      </c>
      <c r="K230" s="11" t="b">
        <f t="shared" si="3"/>
        <v>0</v>
      </c>
    </row>
    <row r="231" ht="22.5" customHeight="1">
      <c r="A231" s="12">
        <f t="shared" si="4"/>
        <v>2229</v>
      </c>
      <c r="B231" s="30" t="s">
        <v>7305</v>
      </c>
      <c r="C231" s="7" t="str">
        <f t="shared" si="1"/>
        <v>🔊</v>
      </c>
      <c r="D231" s="8" t="s">
        <v>7306</v>
      </c>
      <c r="E231" s="6" t="s">
        <v>27</v>
      </c>
      <c r="F231" s="12" t="str">
        <f>IFERROR(__xludf.DUMMYFUNCTION("GOOGLETRANSLATE(B231,""zh_cn"",""vi"")"),"não")</f>
        <v>não</v>
      </c>
      <c r="G231" s="20" t="s">
        <v>7307</v>
      </c>
      <c r="H231" s="6"/>
      <c r="I231" s="11" t="b">
        <f t="shared" si="2"/>
        <v>0</v>
      </c>
      <c r="K231" s="11" t="b">
        <f t="shared" si="3"/>
        <v>0</v>
      </c>
    </row>
    <row r="232" ht="22.5" customHeight="1">
      <c r="A232" s="12">
        <f t="shared" si="4"/>
        <v>2230</v>
      </c>
      <c r="B232" s="30" t="s">
        <v>7308</v>
      </c>
      <c r="C232" s="7" t="str">
        <f t="shared" si="1"/>
        <v>🔊</v>
      </c>
      <c r="D232" s="8" t="s">
        <v>7309</v>
      </c>
      <c r="E232" s="6" t="s">
        <v>61</v>
      </c>
      <c r="F232" s="12" t="str">
        <f>IFERROR(__xludf.DUMMYFUNCTION("GOOGLETRANSLATE(B232,""zh_cn"",""vi"")"),"một mình")</f>
        <v>một mình</v>
      </c>
      <c r="G232" s="20" t="s">
        <v>7310</v>
      </c>
      <c r="H232" s="6"/>
      <c r="I232" s="11" t="b">
        <f t="shared" si="2"/>
        <v>0</v>
      </c>
      <c r="K232" s="11" t="b">
        <f t="shared" si="3"/>
        <v>0</v>
      </c>
    </row>
    <row r="233" ht="22.5" customHeight="1">
      <c r="A233" s="12">
        <f t="shared" si="4"/>
        <v>2231</v>
      </c>
      <c r="B233" s="30" t="s">
        <v>3733</v>
      </c>
      <c r="C233" s="7" t="str">
        <f t="shared" si="1"/>
        <v>🔊</v>
      </c>
      <c r="D233" s="8" t="s">
        <v>7311</v>
      </c>
      <c r="E233" s="6" t="s">
        <v>13</v>
      </c>
      <c r="F233" s="12" t="str">
        <f>IFERROR(__xludf.DUMMYFUNCTION("GOOGLETRANSLATE(B233,""zh_cn"",""vi"")"),"khi")</f>
        <v>khi</v>
      </c>
      <c r="G233" s="20" t="s">
        <v>7312</v>
      </c>
      <c r="H233" s="6"/>
      <c r="I233" s="11" t="b">
        <f t="shared" si="2"/>
        <v>0</v>
      </c>
      <c r="K233" s="11" t="b">
        <f t="shared" si="3"/>
        <v>0</v>
      </c>
    </row>
    <row r="234" ht="22.5" customHeight="1">
      <c r="A234" s="12">
        <f t="shared" si="4"/>
        <v>2232</v>
      </c>
      <c r="B234" s="30" t="s">
        <v>7313</v>
      </c>
      <c r="C234" s="7" t="str">
        <f t="shared" si="1"/>
        <v>🔊</v>
      </c>
      <c r="D234" s="8" t="s">
        <v>7314</v>
      </c>
      <c r="E234" s="6" t="s">
        <v>13</v>
      </c>
      <c r="F234" s="12" t="str">
        <f>IFERROR(__xludf.DUMMYFUNCTION("GOOGLETRANSLATE(B234,""zh_cn"",""vi"")"),"khối")</f>
        <v>khối</v>
      </c>
      <c r="G234" s="20" t="s">
        <v>7315</v>
      </c>
      <c r="H234" s="6"/>
      <c r="I234" s="11" t="b">
        <f t="shared" si="2"/>
        <v>0</v>
      </c>
      <c r="K234" s="11" t="b">
        <f t="shared" si="3"/>
        <v>0</v>
      </c>
    </row>
    <row r="235" ht="22.5" customHeight="1">
      <c r="A235" s="12">
        <f t="shared" si="4"/>
        <v>2233</v>
      </c>
      <c r="B235" s="30" t="s">
        <v>7316</v>
      </c>
      <c r="C235" s="7" t="str">
        <f t="shared" si="1"/>
        <v>🔊</v>
      </c>
      <c r="D235" s="8" t="s">
        <v>7317</v>
      </c>
      <c r="E235" s="6" t="s">
        <v>13</v>
      </c>
      <c r="F235" s="12" t="str">
        <f>IFERROR(__xludf.DUMMYFUNCTION("GOOGLETRANSLATE(B235,""zh_cn"",""vi"")"),"Khi")</f>
        <v>Khi</v>
      </c>
      <c r="G235" s="20" t="s">
        <v>7318</v>
      </c>
      <c r="H235" s="6"/>
      <c r="I235" s="11" t="b">
        <f t="shared" si="2"/>
        <v>0</v>
      </c>
      <c r="K235" s="11" t="b">
        <f t="shared" si="3"/>
        <v>0</v>
      </c>
    </row>
    <row r="236" ht="22.5" customHeight="1">
      <c r="A236" s="12">
        <f t="shared" si="4"/>
        <v>2234</v>
      </c>
      <c r="B236" s="30" t="s">
        <v>7319</v>
      </c>
      <c r="C236" s="7" t="str">
        <f t="shared" si="1"/>
        <v>🔊</v>
      </c>
      <c r="D236" s="8" t="s">
        <v>7320</v>
      </c>
      <c r="E236" s="6" t="s">
        <v>27</v>
      </c>
      <c r="F236" s="12" t="str">
        <f>IFERROR(__xludf.DUMMYFUNCTION("GOOGLETRANSLATE(B236,""zh_cn"",""vi"")"),"địa phương")</f>
        <v>địa phương</v>
      </c>
      <c r="G236" s="20" t="s">
        <v>7321</v>
      </c>
      <c r="H236" s="6"/>
      <c r="I236" s="11" t="b">
        <f t="shared" si="2"/>
        <v>0</v>
      </c>
      <c r="K236" s="11" t="b">
        <f t="shared" si="3"/>
        <v>0</v>
      </c>
    </row>
    <row r="237" ht="22.5" customHeight="1">
      <c r="A237" s="12">
        <f t="shared" si="4"/>
        <v>2235</v>
      </c>
      <c r="B237" s="30" t="s">
        <v>7322</v>
      </c>
      <c r="C237" s="7" t="str">
        <f t="shared" si="1"/>
        <v>🔊</v>
      </c>
      <c r="D237" s="8" t="s">
        <v>7323</v>
      </c>
      <c r="E237" s="6" t="s">
        <v>27</v>
      </c>
      <c r="F237" s="12" t="str">
        <f>IFERROR(__xludf.DUMMYFUNCTION("GOOGLETRANSLATE(B237,""zh_cn"",""vi"")"),"sau đó")</f>
        <v>sau đó</v>
      </c>
      <c r="G237" s="20" t="s">
        <v>7324</v>
      </c>
      <c r="H237" s="6"/>
      <c r="I237" s="11" t="b">
        <f t="shared" si="2"/>
        <v>0</v>
      </c>
      <c r="K237" s="11" t="b">
        <f t="shared" si="3"/>
        <v>0</v>
      </c>
    </row>
    <row r="238" ht="22.5" customHeight="1">
      <c r="A238" s="12">
        <f t="shared" si="4"/>
        <v>2236</v>
      </c>
      <c r="B238" s="30" t="s">
        <v>7325</v>
      </c>
      <c r="C238" s="7" t="str">
        <f t="shared" si="1"/>
        <v>🔊</v>
      </c>
      <c r="D238" s="8" t="s">
        <v>7326</v>
      </c>
      <c r="E238" s="6" t="s">
        <v>232</v>
      </c>
      <c r="F238" s="12" t="str">
        <f>IFERROR(__xludf.DUMMYFUNCTION("GOOGLETRANSLATE(B238,""zh_cn"",""vi"")"),"hiện hành")</f>
        <v>hiện hành</v>
      </c>
      <c r="G238" s="20" t="s">
        <v>7327</v>
      </c>
      <c r="H238" s="6"/>
      <c r="I238" s="11" t="b">
        <f t="shared" si="2"/>
        <v>0</v>
      </c>
      <c r="K238" s="11" t="b">
        <f t="shared" si="3"/>
        <v>0</v>
      </c>
    </row>
    <row r="239" ht="22.5" customHeight="1">
      <c r="A239" s="12">
        <f t="shared" si="4"/>
        <v>2237</v>
      </c>
      <c r="B239" s="30" t="s">
        <v>7328</v>
      </c>
      <c r="C239" s="7" t="str">
        <f t="shared" si="1"/>
        <v>🔊</v>
      </c>
      <c r="D239" s="8" t="s">
        <v>7329</v>
      </c>
      <c r="E239" s="6" t="s">
        <v>27</v>
      </c>
      <c r="F239" s="12" t="str">
        <f>IFERROR(__xludf.DUMMYFUNCTION("GOOGLETRANSLATE(B239,""zh_cn"",""vi"")"),"giữa")</f>
        <v>giữa</v>
      </c>
      <c r="G239" s="20" t="s">
        <v>7330</v>
      </c>
      <c r="H239" s="6"/>
      <c r="I239" s="11" t="b">
        <f t="shared" si="2"/>
        <v>0</v>
      </c>
      <c r="K239" s="11" t="b">
        <f t="shared" si="3"/>
        <v>0</v>
      </c>
    </row>
    <row r="240" ht="22.5" customHeight="1">
      <c r="A240" s="12">
        <f t="shared" si="4"/>
        <v>2238</v>
      </c>
      <c r="B240" s="30" t="s">
        <v>7331</v>
      </c>
      <c r="C240" s="7" t="str">
        <f t="shared" si="1"/>
        <v>🔊</v>
      </c>
      <c r="D240" s="8" t="s">
        <v>7332</v>
      </c>
      <c r="E240" s="6" t="s">
        <v>13</v>
      </c>
      <c r="F240" s="12" t="str">
        <f>IFERROR(__xludf.DUMMYFUNCTION("GOOGLETRANSLATE(B240,""zh_cn"",""vi"")"),"BẰNG")</f>
        <v>BẰNG</v>
      </c>
      <c r="G240" s="20" t="s">
        <v>7333</v>
      </c>
      <c r="H240" s="6"/>
      <c r="I240" s="11" t="b">
        <f t="shared" si="2"/>
        <v>0</v>
      </c>
      <c r="K240" s="11" t="b">
        <f t="shared" si="3"/>
        <v>0</v>
      </c>
    </row>
    <row r="241" ht="22.5" customHeight="1">
      <c r="A241" s="12">
        <f t="shared" si="4"/>
        <v>2239</v>
      </c>
      <c r="B241" s="30" t="s">
        <v>7334</v>
      </c>
      <c r="C241" s="7" t="str">
        <f t="shared" si="1"/>
        <v>🔊</v>
      </c>
      <c r="D241" s="8" t="s">
        <v>7335</v>
      </c>
      <c r="E241" s="6" t="s">
        <v>13</v>
      </c>
      <c r="F241" s="12" t="str">
        <f>IFERROR(__xludf.DUMMYFUNCTION("GOOGLETRANSLATE(B241,""zh_cn"",""vi"")"),"Đảm nhiệm vai trò như")</f>
        <v>Đảm nhiệm vai trò như</v>
      </c>
      <c r="G241" s="20" t="s">
        <v>7336</v>
      </c>
      <c r="H241" s="6"/>
      <c r="I241" s="11" t="b">
        <f t="shared" si="2"/>
        <v>0</v>
      </c>
      <c r="K241" s="11" t="b">
        <f t="shared" si="3"/>
        <v>0</v>
      </c>
    </row>
    <row r="242" ht="22.5" customHeight="1">
      <c r="A242" s="12">
        <f t="shared" si="4"/>
        <v>2240</v>
      </c>
      <c r="B242" s="30" t="s">
        <v>7337</v>
      </c>
      <c r="C242" s="7" t="str">
        <f t="shared" si="1"/>
        <v>🔊</v>
      </c>
      <c r="D242" s="8" t="s">
        <v>7338</v>
      </c>
      <c r="E242" s="6" t="s">
        <v>99</v>
      </c>
      <c r="F242" s="12" t="str">
        <f>IFERROR(__xludf.DUMMYFUNCTION("GOOGLETRANSLATE(B242,""zh_cn"",""vi"")"),"nhút nhát")</f>
        <v>nhút nhát</v>
      </c>
      <c r="G242" s="20" t="s">
        <v>7339</v>
      </c>
      <c r="H242" s="6"/>
      <c r="I242" s="11" t="b">
        <f t="shared" si="2"/>
        <v>0</v>
      </c>
      <c r="K242" s="11" t="b">
        <f t="shared" si="3"/>
        <v>0</v>
      </c>
    </row>
    <row r="243" ht="22.5" customHeight="1">
      <c r="A243" s="12">
        <f t="shared" si="4"/>
        <v>2241</v>
      </c>
      <c r="B243" s="30" t="s">
        <v>7340</v>
      </c>
      <c r="C243" s="7" t="str">
        <f t="shared" si="1"/>
        <v>🔊</v>
      </c>
      <c r="D243" s="8" t="s">
        <v>7341</v>
      </c>
      <c r="E243" s="6" t="s">
        <v>99</v>
      </c>
      <c r="F243" s="12" t="str">
        <f>IFERROR(__xludf.DUMMYFUNCTION("GOOGLETRANSLATE(B243,""zh_cn"",""vi"")"),"đơn")</f>
        <v>đơn</v>
      </c>
      <c r="G243" s="20" t="s">
        <v>7342</v>
      </c>
      <c r="H243" s="6"/>
      <c r="I243" s="11" t="b">
        <f t="shared" si="2"/>
        <v>0</v>
      </c>
      <c r="K243" s="11" t="b">
        <f t="shared" si="3"/>
        <v>0</v>
      </c>
    </row>
    <row r="244" ht="22.5" customHeight="1">
      <c r="A244" s="12">
        <f t="shared" si="4"/>
        <v>2242</v>
      </c>
      <c r="B244" s="30" t="s">
        <v>7343</v>
      </c>
      <c r="C244" s="7" t="str">
        <f t="shared" si="1"/>
        <v>🔊</v>
      </c>
      <c r="D244" s="8" t="s">
        <v>7344</v>
      </c>
      <c r="E244" s="6" t="s">
        <v>27</v>
      </c>
      <c r="F244" s="12" t="str">
        <f>IFERROR(__xludf.DUMMYFUNCTION("GOOGLETRANSLATE(B244,""zh_cn"",""vi"")"),"đơn vị")</f>
        <v>đơn vị</v>
      </c>
      <c r="G244" s="20" t="s">
        <v>7345</v>
      </c>
      <c r="H244" s="6"/>
      <c r="I244" s="11" t="b">
        <f t="shared" si="2"/>
        <v>0</v>
      </c>
      <c r="K244" s="11" t="b">
        <f t="shared" si="3"/>
        <v>0</v>
      </c>
    </row>
    <row r="245" ht="22.5" customHeight="1">
      <c r="A245" s="12">
        <f t="shared" si="4"/>
        <v>2243</v>
      </c>
      <c r="B245" s="30" t="s">
        <v>3743</v>
      </c>
      <c r="C245" s="7" t="str">
        <f t="shared" si="1"/>
        <v>🔊</v>
      </c>
      <c r="D245" s="8" t="s">
        <v>7346</v>
      </c>
      <c r="E245" s="6" t="s">
        <v>13</v>
      </c>
      <c r="F245" s="12" t="str">
        <f>IFERROR(__xludf.DUMMYFUNCTION("GOOGLETRANSLATE(B245,""zh_cn"",""vi"")"),"ngã")</f>
        <v>ngã</v>
      </c>
      <c r="G245" s="20" t="s">
        <v>7347</v>
      </c>
      <c r="H245" s="6"/>
      <c r="I245" s="11" t="b">
        <f t="shared" si="2"/>
        <v>0</v>
      </c>
      <c r="K245" s="11" t="b">
        <f t="shared" si="3"/>
        <v>0</v>
      </c>
    </row>
    <row r="246" ht="22.5" customHeight="1">
      <c r="A246" s="12">
        <f t="shared" si="4"/>
        <v>2244</v>
      </c>
      <c r="B246" s="30" t="s">
        <v>7348</v>
      </c>
      <c r="C246" s="7" t="str">
        <f t="shared" si="1"/>
        <v>🔊</v>
      </c>
      <c r="D246" s="8" t="s">
        <v>7349</v>
      </c>
      <c r="E246" s="6" t="s">
        <v>13</v>
      </c>
      <c r="F246" s="12" t="str">
        <f>IFERROR(__xludf.DUMMYFUNCTION("GOOGLETRANSLATE(B246,""zh_cn"",""vi"")"),"đến")</f>
        <v>đến</v>
      </c>
      <c r="G246" s="20" t="s">
        <v>7350</v>
      </c>
      <c r="H246" s="6"/>
      <c r="I246" s="11" t="b">
        <f t="shared" si="2"/>
        <v>0</v>
      </c>
      <c r="K246" s="11" t="b">
        <f t="shared" si="3"/>
        <v>0</v>
      </c>
    </row>
    <row r="247" ht="22.5" customHeight="1">
      <c r="A247" s="12">
        <f t="shared" si="4"/>
        <v>2245</v>
      </c>
      <c r="B247" s="30" t="s">
        <v>7351</v>
      </c>
      <c r="C247" s="7" t="str">
        <f t="shared" si="1"/>
        <v>🔊</v>
      </c>
      <c r="D247" s="8" t="s">
        <v>7352</v>
      </c>
      <c r="E247" s="6" t="s">
        <v>27</v>
      </c>
      <c r="F247" s="12" t="str">
        <f>IFERROR(__xludf.DUMMYFUNCTION("GOOGLETRANSLATE(B247,""zh_cn"",""vi"")"),"lý do")</f>
        <v>lý do</v>
      </c>
      <c r="G247" s="20" t="s">
        <v>7353</v>
      </c>
      <c r="H247" s="6"/>
      <c r="I247" s="11" t="b">
        <f t="shared" si="2"/>
        <v>0</v>
      </c>
      <c r="K247" s="11" t="b">
        <f t="shared" si="3"/>
        <v>0</v>
      </c>
    </row>
    <row r="248" ht="22.5" customHeight="1">
      <c r="A248" s="12">
        <f t="shared" si="4"/>
        <v>2246</v>
      </c>
      <c r="B248" s="30" t="s">
        <v>7354</v>
      </c>
      <c r="C248" s="7" t="str">
        <f t="shared" si="1"/>
        <v>🔊</v>
      </c>
      <c r="D248" s="8" t="s">
        <v>7355</v>
      </c>
      <c r="E248" s="6" t="s">
        <v>13</v>
      </c>
      <c r="F248" s="12" t="str">
        <f>IFERROR(__xludf.DUMMYFUNCTION("GOOGLETRANSLATE(B248,""zh_cn"",""vi"")"),"sự trưởng thành")</f>
        <v>sự trưởng thành</v>
      </c>
      <c r="G248" s="20" t="s">
        <v>7356</v>
      </c>
      <c r="H248" s="6"/>
      <c r="I248" s="11" t="b">
        <f t="shared" si="2"/>
        <v>0</v>
      </c>
      <c r="K248" s="11" t="b">
        <f t="shared" si="3"/>
        <v>0</v>
      </c>
    </row>
    <row r="249" ht="22.5" customHeight="1">
      <c r="A249" s="12">
        <f t="shared" si="4"/>
        <v>2247</v>
      </c>
      <c r="B249" s="30" t="s">
        <v>7357</v>
      </c>
      <c r="C249" s="7" t="str">
        <f t="shared" si="1"/>
        <v>🔊</v>
      </c>
      <c r="D249" s="8" t="s">
        <v>7358</v>
      </c>
      <c r="E249" s="6" t="s">
        <v>232</v>
      </c>
      <c r="F249" s="12" t="str">
        <f>IFERROR(__xludf.DUMMYFUNCTION("GOOGLETRANSLATE(B249,""zh_cn"",""vi"")"),"giám đốc")</f>
        <v>giám đốc</v>
      </c>
      <c r="G249" s="20" t="s">
        <v>7359</v>
      </c>
      <c r="H249" s="6"/>
      <c r="I249" s="11" t="b">
        <f t="shared" si="2"/>
        <v>0</v>
      </c>
      <c r="K249" s="11" t="b">
        <f t="shared" si="3"/>
        <v>0</v>
      </c>
    </row>
    <row r="250" ht="22.5" customHeight="1">
      <c r="A250" s="12">
        <f t="shared" si="4"/>
        <v>2248</v>
      </c>
      <c r="B250" s="30" t="s">
        <v>7360</v>
      </c>
      <c r="C250" s="7" t="str">
        <f t="shared" si="1"/>
        <v>🔊</v>
      </c>
      <c r="D250" s="8" t="s">
        <v>7361</v>
      </c>
      <c r="E250" s="6" t="s">
        <v>13</v>
      </c>
      <c r="F250" s="12" t="str">
        <f>IFERROR(__xludf.DUMMYFUNCTION("GOOGLETRANSLATE(B250,""zh_cn"",""vi"")"),"dẫn đến")</f>
        <v>dẫn đến</v>
      </c>
      <c r="G250" s="20" t="s">
        <v>7362</v>
      </c>
      <c r="H250" s="6"/>
      <c r="I250" s="11" t="b">
        <f t="shared" si="2"/>
        <v>0</v>
      </c>
      <c r="K250" s="11" t="b">
        <f t="shared" si="3"/>
        <v>0</v>
      </c>
    </row>
    <row r="251" ht="22.5" customHeight="1">
      <c r="A251" s="12">
        <f t="shared" si="4"/>
        <v>2249</v>
      </c>
      <c r="B251" s="30" t="s">
        <v>7363</v>
      </c>
      <c r="C251" s="7" t="str">
        <f t="shared" si="1"/>
        <v>🔊</v>
      </c>
      <c r="D251" s="8" t="s">
        <v>7364</v>
      </c>
      <c r="E251" s="6" t="s">
        <v>99</v>
      </c>
      <c r="F251" s="12" t="str">
        <f>IFERROR(__xludf.DUMMYFUNCTION("GOOGLETRANSLATE(B251,""zh_cn"",""vi"")"),"số lượng lớn")</f>
        <v>số lượng lớn</v>
      </c>
      <c r="G251" s="20" t="s">
        <v>7365</v>
      </c>
      <c r="H251" s="6"/>
      <c r="I251" s="11" t="b">
        <f t="shared" si="2"/>
        <v>0</v>
      </c>
      <c r="K251" s="11" t="b">
        <f t="shared" si="3"/>
        <v>0</v>
      </c>
    </row>
    <row r="252" ht="22.5" customHeight="1">
      <c r="A252" s="12">
        <f t="shared" si="4"/>
        <v>2250</v>
      </c>
      <c r="B252" s="30" t="s">
        <v>7366</v>
      </c>
      <c r="C252" s="7" t="str">
        <f t="shared" si="1"/>
        <v>🔊</v>
      </c>
      <c r="D252" s="8" t="s">
        <v>7367</v>
      </c>
      <c r="E252" s="6" t="s">
        <v>13</v>
      </c>
      <c r="F252" s="12" t="str">
        <f>IFERROR(__xludf.DUMMYFUNCTION("GOOGLETRANSLATE(B252,""zh_cn"",""vi"")"),"đột nhập")</f>
        <v>đột nhập</v>
      </c>
      <c r="G252" s="20" t="s">
        <v>7368</v>
      </c>
      <c r="H252" s="6"/>
      <c r="I252" s="11" t="b">
        <f t="shared" si="2"/>
        <v>0</v>
      </c>
      <c r="K252" s="11" t="b">
        <f t="shared" si="3"/>
        <v>0</v>
      </c>
    </row>
    <row r="253" ht="22.5" customHeight="1">
      <c r="A253" s="12">
        <f t="shared" si="4"/>
        <v>2251</v>
      </c>
      <c r="B253" s="30" t="s">
        <v>7369</v>
      </c>
      <c r="C253" s="7" t="str">
        <f t="shared" si="1"/>
        <v>🔊</v>
      </c>
      <c r="D253" s="8" t="s">
        <v>7370</v>
      </c>
      <c r="E253" s="6" t="s">
        <v>27</v>
      </c>
      <c r="F253" s="12" t="str">
        <f>IFERROR(__xludf.DUMMYFUNCTION("GOOGLETRANSLATE(B253,""zh_cn"",""vi"")"),"xây dựng")</f>
        <v>xây dựng</v>
      </c>
      <c r="G253" s="20" t="s">
        <v>7371</v>
      </c>
      <c r="H253" s="6"/>
      <c r="I253" s="11" t="b">
        <f t="shared" si="2"/>
        <v>0</v>
      </c>
      <c r="K253" s="11" t="b">
        <f t="shared" si="3"/>
        <v>0</v>
      </c>
    </row>
    <row r="254" ht="22.5" customHeight="1">
      <c r="A254" s="12">
        <f t="shared" si="4"/>
        <v>2252</v>
      </c>
      <c r="B254" s="30" t="s">
        <v>7372</v>
      </c>
      <c r="C254" s="7" t="str">
        <f t="shared" si="1"/>
        <v>🔊</v>
      </c>
      <c r="D254" s="8" t="s">
        <v>7373</v>
      </c>
      <c r="E254" s="6" t="s">
        <v>27</v>
      </c>
      <c r="F254" s="12" t="str">
        <f>IFERROR(__xludf.DUMMYFUNCTION("GOOGLETRANSLATE(B254,""zh_cn"",""vi"")"),"sự kiện")</f>
        <v>sự kiện</v>
      </c>
      <c r="G254" s="20" t="s">
        <v>7374</v>
      </c>
      <c r="H254" s="6"/>
      <c r="I254" s="11" t="b">
        <f t="shared" si="2"/>
        <v>0</v>
      </c>
      <c r="K254" s="11" t="b">
        <f t="shared" si="3"/>
        <v>0</v>
      </c>
    </row>
    <row r="255" ht="22.5" customHeight="1">
      <c r="A255" s="12">
        <f t="shared" si="4"/>
        <v>2253</v>
      </c>
      <c r="B255" s="30" t="s">
        <v>7375</v>
      </c>
      <c r="C255" s="7" t="str">
        <f t="shared" si="1"/>
        <v>🔊</v>
      </c>
      <c r="D255" s="8" t="s">
        <v>7376</v>
      </c>
      <c r="E255" s="6" t="s">
        <v>13</v>
      </c>
      <c r="F255" s="12" t="str">
        <f>IFERROR(__xludf.DUMMYFUNCTION("GOOGLETRANSLATE(B255,""zh_cn"",""vi"")"),"hỏi về")</f>
        <v>hỏi về</v>
      </c>
      <c r="G255" s="20" t="s">
        <v>7377</v>
      </c>
      <c r="H255" s="6"/>
      <c r="I255" s="11" t="b">
        <f t="shared" si="2"/>
        <v>0</v>
      </c>
      <c r="K255" s="11" t="b">
        <f t="shared" si="3"/>
        <v>0</v>
      </c>
    </row>
    <row r="256" ht="22.5" customHeight="1">
      <c r="A256" s="12">
        <f t="shared" si="4"/>
        <v>2254</v>
      </c>
      <c r="B256" s="30" t="s">
        <v>7378</v>
      </c>
      <c r="C256" s="7" t="str">
        <f t="shared" si="1"/>
        <v>🔊</v>
      </c>
      <c r="D256" s="8" t="s">
        <v>7379</v>
      </c>
      <c r="E256" s="6" t="s">
        <v>27</v>
      </c>
      <c r="F256" s="12" t="str">
        <f>IFERROR(__xludf.DUMMYFUNCTION("GOOGLETRANSLATE(B256,""zh_cn"",""vi"")"),"con voi")</f>
        <v>con voi</v>
      </c>
      <c r="G256" s="20" t="s">
        <v>7380</v>
      </c>
      <c r="H256" s="6"/>
      <c r="I256" s="11" t="b">
        <f t="shared" si="2"/>
        <v>0</v>
      </c>
      <c r="K256" s="11" t="b">
        <f t="shared" si="3"/>
        <v>0</v>
      </c>
    </row>
    <row r="257" ht="22.5" customHeight="1">
      <c r="A257" s="12">
        <f t="shared" si="4"/>
        <v>2255</v>
      </c>
      <c r="B257" s="30" t="s">
        <v>7381</v>
      </c>
      <c r="C257" s="7" t="str">
        <f t="shared" si="1"/>
        <v>🔊</v>
      </c>
      <c r="D257" s="8" t="s">
        <v>7382</v>
      </c>
      <c r="E257" s="6" t="s">
        <v>99</v>
      </c>
      <c r="F257" s="12" t="str">
        <f>IFERROR(__xludf.DUMMYFUNCTION("GOOGLETRANSLATE(B257,""zh_cn"",""vi"")"),"Lớn")</f>
        <v>Lớn</v>
      </c>
      <c r="G257" s="20" t="s">
        <v>7383</v>
      </c>
      <c r="H257" s="6"/>
      <c r="I257" s="11" t="b">
        <f t="shared" si="2"/>
        <v>0</v>
      </c>
      <c r="K257" s="11" t="b">
        <f t="shared" si="3"/>
        <v>0</v>
      </c>
    </row>
    <row r="258" ht="22.5" customHeight="1">
      <c r="A258" s="12">
        <f t="shared" si="4"/>
        <v>2256</v>
      </c>
      <c r="B258" s="30" t="s">
        <v>7384</v>
      </c>
      <c r="C258" s="7" t="str">
        <f t="shared" si="1"/>
        <v>🔊</v>
      </c>
      <c r="D258" s="8" t="s">
        <v>7385</v>
      </c>
      <c r="E258" s="6" t="s">
        <v>27</v>
      </c>
      <c r="F258" s="12" t="str">
        <f>IFERROR(__xludf.DUMMYFUNCTION("GOOGLETRANSLATE(B258,""zh_cn"",""vi"")"),"chú ")</f>
        <v>chú </v>
      </c>
      <c r="G258" s="20" t="s">
        <v>7386</v>
      </c>
      <c r="H258" s="6"/>
      <c r="I258" s="11" t="b">
        <f t="shared" si="2"/>
        <v>0</v>
      </c>
      <c r="K258" s="11" t="b">
        <f t="shared" si="3"/>
        <v>0</v>
      </c>
    </row>
    <row r="259" ht="22.5" customHeight="1">
      <c r="A259" s="12">
        <f t="shared" si="4"/>
        <v>2257</v>
      </c>
      <c r="B259" s="30" t="s">
        <v>7387</v>
      </c>
      <c r="C259" s="7" t="str">
        <f t="shared" si="1"/>
        <v>🔊</v>
      </c>
      <c r="D259" s="8" t="s">
        <v>7388</v>
      </c>
      <c r="E259" s="6" t="s">
        <v>13</v>
      </c>
      <c r="F259" s="12" t="str">
        <f>IFERROR(__xludf.DUMMYFUNCTION("GOOGLETRANSLATE(B259,""zh_cn"",""vi"")"),"Lớn hơn")</f>
        <v>Lớn hơn</v>
      </c>
      <c r="G259" s="20" t="s">
        <v>7389</v>
      </c>
      <c r="H259" s="6"/>
      <c r="I259" s="11" t="b">
        <f t="shared" si="2"/>
        <v>0</v>
      </c>
      <c r="K259" s="11" t="b">
        <f t="shared" si="3"/>
        <v>0</v>
      </c>
    </row>
    <row r="260" ht="22.5" customHeight="1">
      <c r="A260" s="12">
        <f t="shared" si="4"/>
        <v>2258</v>
      </c>
      <c r="B260" s="30" t="s">
        <v>7390</v>
      </c>
      <c r="C260" s="7" t="str">
        <f t="shared" si="1"/>
        <v>🔊</v>
      </c>
      <c r="D260" s="8" t="s">
        <v>7391</v>
      </c>
      <c r="E260" s="6" t="s">
        <v>27</v>
      </c>
      <c r="F260" s="12" t="str">
        <f>IFERROR(__xludf.DUMMYFUNCTION("GOOGLETRANSLATE(B260,""zh_cn"",""vi"")"),"công cộng")</f>
        <v>công cộng</v>
      </c>
      <c r="G260" s="20" t="s">
        <v>7392</v>
      </c>
      <c r="H260" s="6"/>
      <c r="I260" s="11" t="b">
        <f t="shared" si="2"/>
        <v>0</v>
      </c>
      <c r="K260" s="11" t="b">
        <f t="shared" si="3"/>
        <v>0</v>
      </c>
    </row>
    <row r="261" ht="22.5" customHeight="1">
      <c r="A261" s="12">
        <f t="shared" si="4"/>
        <v>2259</v>
      </c>
      <c r="B261" s="30" t="s">
        <v>7393</v>
      </c>
      <c r="C261" s="7" t="str">
        <f t="shared" si="1"/>
        <v>🔊</v>
      </c>
      <c r="D261" s="8" t="s">
        <v>1999</v>
      </c>
      <c r="E261" s="6" t="s">
        <v>13</v>
      </c>
      <c r="F261" s="12" t="str">
        <f>IFERROR(__xludf.DUMMYFUNCTION("GOOGLETRANSLATE(B261,""zh_cn"",""vi"")"),"Đặng")</f>
        <v>Đặng</v>
      </c>
      <c r="G261" s="20" t="s">
        <v>7394</v>
      </c>
      <c r="H261" s="6"/>
      <c r="I261" s="11" t="b">
        <f t="shared" si="2"/>
        <v>0</v>
      </c>
      <c r="K261" s="11" t="b">
        <f t="shared" si="3"/>
        <v>0</v>
      </c>
    </row>
    <row r="262" ht="22.5" customHeight="1">
      <c r="A262" s="12">
        <f t="shared" si="4"/>
        <v>2260</v>
      </c>
      <c r="B262" s="30" t="s">
        <v>7395</v>
      </c>
      <c r="C262" s="7" t="str">
        <f t="shared" si="1"/>
        <v>🔊</v>
      </c>
      <c r="D262" s="8" t="s">
        <v>7396</v>
      </c>
      <c r="E262" s="6" t="s">
        <v>13</v>
      </c>
      <c r="F262" s="12" t="str">
        <f>IFERROR(__xludf.DUMMYFUNCTION("GOOGLETRANSLATE(B262,""zh_cn"",""vi"")"),"Chờ đợi")</f>
        <v>Chờ đợi</v>
      </c>
      <c r="G262" s="20" t="s">
        <v>7397</v>
      </c>
      <c r="H262" s="6"/>
      <c r="I262" s="11" t="b">
        <f t="shared" si="2"/>
        <v>0</v>
      </c>
      <c r="K262" s="11" t="b">
        <f t="shared" si="3"/>
        <v>0</v>
      </c>
    </row>
    <row r="263" ht="22.5" customHeight="1">
      <c r="A263" s="12">
        <f t="shared" si="4"/>
        <v>2261</v>
      </c>
      <c r="B263" s="30" t="s">
        <v>7398</v>
      </c>
      <c r="C263" s="7" t="str">
        <f t="shared" si="1"/>
        <v>🔊</v>
      </c>
      <c r="D263" s="8" t="s">
        <v>7399</v>
      </c>
      <c r="E263" s="6" t="s">
        <v>27</v>
      </c>
      <c r="F263" s="12" t="str">
        <f>IFERROR(__xludf.DUMMYFUNCTION("GOOGLETRANSLATE(B263,""zh_cn"",""vi"")"),"ánh sáng")</f>
        <v>ánh sáng</v>
      </c>
      <c r="G263" s="20" t="s">
        <v>7400</v>
      </c>
      <c r="H263" s="6"/>
      <c r="I263" s="11" t="b">
        <f t="shared" si="2"/>
        <v>0</v>
      </c>
      <c r="K263" s="11" t="b">
        <f t="shared" si="3"/>
        <v>0</v>
      </c>
    </row>
    <row r="264" ht="22.5" customHeight="1">
      <c r="A264" s="12">
        <f t="shared" si="4"/>
        <v>2262</v>
      </c>
      <c r="B264" s="30" t="s">
        <v>7401</v>
      </c>
      <c r="C264" s="7" t="str">
        <f t="shared" si="1"/>
        <v>🔊</v>
      </c>
      <c r="D264" s="8" t="s">
        <v>7402</v>
      </c>
      <c r="E264" s="6" t="s">
        <v>13</v>
      </c>
      <c r="F264" s="12" t="str">
        <f>IFERROR(__xludf.DUMMYFUNCTION("GOOGLETRANSLATE(B264,""zh_cn"",""vi"")"),"chờ")</f>
        <v>chờ</v>
      </c>
      <c r="G264" s="20" t="s">
        <v>7403</v>
      </c>
      <c r="H264" s="6"/>
      <c r="I264" s="11" t="b">
        <f t="shared" si="2"/>
        <v>0</v>
      </c>
      <c r="K264" s="11" t="b">
        <f t="shared" si="3"/>
        <v>0</v>
      </c>
    </row>
    <row r="265" ht="22.5" customHeight="1">
      <c r="A265" s="12">
        <f t="shared" si="4"/>
        <v>2263</v>
      </c>
      <c r="B265" s="30" t="s">
        <v>7404</v>
      </c>
      <c r="C265" s="7" t="str">
        <f t="shared" si="1"/>
        <v>🔊</v>
      </c>
      <c r="D265" s="8" t="s">
        <v>7405</v>
      </c>
      <c r="E265" s="6" t="s">
        <v>13</v>
      </c>
      <c r="F265" s="12" t="str">
        <f>IFERROR(__xludf.DUMMYFUNCTION("GOOGLETRANSLATE(B265,""zh_cn"",""vi"")"),"Sự đăng ký")</f>
        <v>Sự đăng ký</v>
      </c>
      <c r="G265" s="20" t="s">
        <v>7406</v>
      </c>
      <c r="H265" s="6"/>
      <c r="I265" s="11" t="b">
        <f t="shared" si="2"/>
        <v>0</v>
      </c>
      <c r="K265" s="11" t="b">
        <f t="shared" si="3"/>
        <v>0</v>
      </c>
    </row>
    <row r="266" ht="22.5" customHeight="1">
      <c r="A266" s="12">
        <f t="shared" si="4"/>
        <v>2264</v>
      </c>
      <c r="B266" s="30" t="s">
        <v>7407</v>
      </c>
      <c r="C266" s="7" t="str">
        <f t="shared" si="1"/>
        <v>🔊</v>
      </c>
      <c r="D266" s="8" t="s">
        <v>7408</v>
      </c>
      <c r="E266" s="6" t="s">
        <v>13</v>
      </c>
      <c r="F266" s="12" t="str">
        <f>IFERROR(__xludf.DUMMYFUNCTION("GOOGLETRANSLATE(B266,""zh_cn"",""vi"")"),"Đăng nhập")</f>
        <v>Đăng nhập</v>
      </c>
      <c r="G266" s="20" t="s">
        <v>7409</v>
      </c>
      <c r="H266" s="6"/>
      <c r="I266" s="11" t="b">
        <f t="shared" si="2"/>
        <v>0</v>
      </c>
      <c r="K266" s="11" t="b">
        <f t="shared" si="3"/>
        <v>0</v>
      </c>
    </row>
    <row r="267" ht="22.5" customHeight="1">
      <c r="A267" s="12">
        <f t="shared" si="4"/>
        <v>2265</v>
      </c>
      <c r="B267" s="30" t="s">
        <v>7410</v>
      </c>
      <c r="C267" s="7" t="str">
        <f t="shared" si="1"/>
        <v>🔊</v>
      </c>
      <c r="D267" s="8" t="s">
        <v>7411</v>
      </c>
      <c r="E267" s="6" t="s">
        <v>13</v>
      </c>
      <c r="F267" s="12" t="str">
        <f>IFERROR(__xludf.DUMMYFUNCTION("GOOGLETRANSLATE(B267,""zh_cn"",""vi"")"),"bình đẳng")</f>
        <v>bình đẳng</v>
      </c>
      <c r="G267" s="20" t="s">
        <v>7412</v>
      </c>
      <c r="H267" s="6"/>
      <c r="I267" s="11" t="b">
        <f t="shared" si="2"/>
        <v>0</v>
      </c>
      <c r="K267" s="11" t="b">
        <f t="shared" si="3"/>
        <v>0</v>
      </c>
    </row>
    <row r="268" ht="22.5" customHeight="1">
      <c r="A268" s="12">
        <f t="shared" si="4"/>
        <v>2266</v>
      </c>
      <c r="B268" s="30" t="s">
        <v>7413</v>
      </c>
      <c r="C268" s="7" t="str">
        <f t="shared" si="1"/>
        <v>🔊</v>
      </c>
      <c r="D268" s="8" t="s">
        <v>121</v>
      </c>
      <c r="E268" s="6" t="s">
        <v>13</v>
      </c>
      <c r="F268" s="12" t="str">
        <f>IFERROR(__xludf.DUMMYFUNCTION("GOOGLETRANSLATE(B268,""zh_cn"",""vi"")"),"Vận chuyển")</f>
        <v>Vận chuyển</v>
      </c>
      <c r="G268" s="20" t="s">
        <v>7414</v>
      </c>
      <c r="H268" s="6"/>
      <c r="I268" s="11" t="b">
        <f t="shared" si="2"/>
        <v>0</v>
      </c>
      <c r="K268" s="11" t="b">
        <f t="shared" si="3"/>
        <v>0</v>
      </c>
    </row>
    <row r="269" ht="22.5" customHeight="1">
      <c r="A269" s="12">
        <f t="shared" si="4"/>
        <v>2267</v>
      </c>
      <c r="B269" s="30" t="s">
        <v>7415</v>
      </c>
      <c r="C269" s="7" t="str">
        <f t="shared" si="1"/>
        <v>🔊</v>
      </c>
      <c r="D269" s="8" t="s">
        <v>7416</v>
      </c>
      <c r="E269" s="6" t="s">
        <v>27</v>
      </c>
      <c r="F269" s="12" t="str">
        <f>IFERROR(__xludf.DUMMYFUNCTION("GOOGLETRANSLATE(B269,""zh_cn"",""vi"")"),"Ắc quy")</f>
        <v>Ắc quy</v>
      </c>
      <c r="G269" s="20" t="s">
        <v>7417</v>
      </c>
      <c r="H269" s="6"/>
      <c r="I269" s="11" t="b">
        <f t="shared" si="2"/>
        <v>0</v>
      </c>
      <c r="K269" s="11" t="b">
        <f t="shared" si="3"/>
        <v>0</v>
      </c>
    </row>
    <row r="270" ht="22.5" customHeight="1">
      <c r="A270" s="12">
        <f t="shared" si="4"/>
        <v>2268</v>
      </c>
      <c r="B270" s="30" t="s">
        <v>7418</v>
      </c>
      <c r="C270" s="7" t="str">
        <f t="shared" si="1"/>
        <v>🔊</v>
      </c>
      <c r="D270" s="8" t="s">
        <v>7419</v>
      </c>
      <c r="E270" s="6" t="s">
        <v>99</v>
      </c>
      <c r="F270" s="12" t="str">
        <f>IFERROR(__xludf.DUMMYFUNCTION("GOOGLETRANSLATE(B270,""zh_cn"",""vi"")"),"điện")</f>
        <v>điện</v>
      </c>
      <c r="G270" s="20" t="s">
        <v>7420</v>
      </c>
      <c r="H270" s="6"/>
      <c r="I270" s="11" t="b">
        <f t="shared" si="2"/>
        <v>0</v>
      </c>
      <c r="K270" s="11" t="b">
        <f t="shared" si="3"/>
        <v>0</v>
      </c>
    </row>
    <row r="271" ht="22.5" customHeight="1">
      <c r="A271" s="12">
        <f t="shared" si="4"/>
        <v>2269</v>
      </c>
      <c r="B271" s="30" t="s">
        <v>7421</v>
      </c>
      <c r="C271" s="7" t="str">
        <f t="shared" si="1"/>
        <v>🔊</v>
      </c>
      <c r="D271" s="8" t="s">
        <v>7422</v>
      </c>
      <c r="E271" s="6" t="s">
        <v>27</v>
      </c>
      <c r="F271" s="12" t="str">
        <f>IFERROR(__xludf.DUMMYFUNCTION("GOOGLETRANSLATE(B271,""zh_cn"",""vi"")"),"Thiết bị điện")</f>
        <v>Thiết bị điện</v>
      </c>
      <c r="G271" s="20" t="s">
        <v>7423</v>
      </c>
      <c r="H271" s="6"/>
      <c r="I271" s="11" t="b">
        <f t="shared" si="2"/>
        <v>0</v>
      </c>
      <c r="K271" s="11" t="b">
        <f t="shared" si="3"/>
        <v>0</v>
      </c>
    </row>
    <row r="272" ht="22.5" customHeight="1">
      <c r="A272" s="12">
        <f t="shared" si="4"/>
        <v>2270</v>
      </c>
      <c r="B272" s="30" t="s">
        <v>7424</v>
      </c>
      <c r="C272" s="7" t="str">
        <f t="shared" si="1"/>
        <v>🔊</v>
      </c>
      <c r="D272" s="8" t="s">
        <v>7425</v>
      </c>
      <c r="E272" s="6" t="s">
        <v>27</v>
      </c>
      <c r="F272" s="12" t="str">
        <f>IFERROR(__xludf.DUMMYFUNCTION("GOOGLETRANSLATE(B272,""zh_cn"",""vi"")"),"thương mại điện tử")</f>
        <v>thương mại điện tử</v>
      </c>
      <c r="G272" s="20" t="s">
        <v>7426</v>
      </c>
      <c r="H272" s="6"/>
      <c r="I272" s="11" t="b">
        <f t="shared" si="2"/>
        <v>0</v>
      </c>
      <c r="K272" s="11" t="b">
        <f t="shared" si="3"/>
        <v>0</v>
      </c>
    </row>
    <row r="273" ht="22.5" customHeight="1">
      <c r="A273" s="12">
        <f t="shared" si="4"/>
        <v>2271</v>
      </c>
      <c r="B273" s="30" t="s">
        <v>7427</v>
      </c>
      <c r="C273" s="7" t="str">
        <f t="shared" si="1"/>
        <v>🔊</v>
      </c>
      <c r="D273" s="8" t="s">
        <v>7428</v>
      </c>
      <c r="E273" s="6" t="s">
        <v>27</v>
      </c>
      <c r="F273" s="12" t="str">
        <f>IFERROR(__xludf.DUMMYFUNCTION("GOOGLETRANSLATE(B273,""zh_cn"",""vi"")"),"Đài truyền hình")</f>
        <v>Đài truyền hình</v>
      </c>
      <c r="G273" s="20" t="s">
        <v>7429</v>
      </c>
      <c r="H273" s="6"/>
      <c r="I273" s="11" t="b">
        <f t="shared" si="2"/>
        <v>0</v>
      </c>
      <c r="K273" s="11" t="b">
        <f t="shared" si="3"/>
        <v>0</v>
      </c>
    </row>
    <row r="274" ht="22.5" customHeight="1">
      <c r="A274" s="12">
        <f t="shared" si="4"/>
        <v>2272</v>
      </c>
      <c r="B274" s="30" t="s">
        <v>7430</v>
      </c>
      <c r="C274" s="7" t="str">
        <f t="shared" si="1"/>
        <v>🔊</v>
      </c>
      <c r="D274" s="8" t="s">
        <v>7431</v>
      </c>
      <c r="E274" s="6" t="s">
        <v>27</v>
      </c>
      <c r="F274" s="12" t="str">
        <f>IFERROR(__xludf.DUMMYFUNCTION("GOOGLETRANSLATE(B274,""zh_cn"",""vi"")"),"món tráng miệng")</f>
        <v>món tráng miệng</v>
      </c>
      <c r="G274" s="20" t="s">
        <v>7432</v>
      </c>
      <c r="H274" s="6"/>
      <c r="I274" s="11" t="b">
        <f t="shared" si="2"/>
        <v>0</v>
      </c>
      <c r="K274" s="11" t="b">
        <f t="shared" si="3"/>
        <v>0</v>
      </c>
    </row>
    <row r="275" ht="22.5" customHeight="1">
      <c r="A275" s="12">
        <f t="shared" si="4"/>
        <v>2273</v>
      </c>
      <c r="B275" s="30" t="s">
        <v>7433</v>
      </c>
      <c r="C275" s="7" t="str">
        <f t="shared" si="1"/>
        <v>🔊</v>
      </c>
      <c r="D275" s="8" t="s">
        <v>7434</v>
      </c>
      <c r="E275" s="6" t="s">
        <v>13</v>
      </c>
      <c r="F275" s="12" t="str">
        <f>IFERROR(__xludf.DUMMYFUNCTION("GOOGLETRANSLATE(B275,""zh_cn"",""vi"")"),"Giống")</f>
        <v>Giống</v>
      </c>
      <c r="G275" s="20" t="s">
        <v>7435</v>
      </c>
      <c r="H275" s="6"/>
      <c r="I275" s="11" t="b">
        <f t="shared" si="2"/>
        <v>0</v>
      </c>
      <c r="K275" s="11" t="b">
        <f t="shared" si="3"/>
        <v>0</v>
      </c>
    </row>
    <row r="276" ht="22.5" customHeight="1">
      <c r="A276" s="12">
        <f t="shared" si="4"/>
        <v>2274</v>
      </c>
      <c r="B276" s="30" t="s">
        <v>7436</v>
      </c>
      <c r="C276" s="7" t="str">
        <f t="shared" si="1"/>
        <v>🔊</v>
      </c>
      <c r="D276" s="8" t="s">
        <v>7437</v>
      </c>
      <c r="E276" s="6" t="s">
        <v>27</v>
      </c>
      <c r="F276" s="12" t="str">
        <f>IFERROR(__xludf.DUMMYFUNCTION("GOOGLETRANSLATE(B276,""zh_cn"",""vi"")"),"Phiên bản điện tử")</f>
        <v>Phiên bản điện tử</v>
      </c>
      <c r="G276" s="20" t="s">
        <v>7438</v>
      </c>
      <c r="H276" s="6"/>
      <c r="I276" s="11" t="b">
        <f t="shared" si="2"/>
        <v>0</v>
      </c>
      <c r="K276" s="11" t="b">
        <f t="shared" si="3"/>
        <v>0</v>
      </c>
    </row>
    <row r="277" ht="22.5" customHeight="1">
      <c r="A277" s="12">
        <f t="shared" si="4"/>
        <v>2275</v>
      </c>
      <c r="B277" s="30" t="s">
        <v>7439</v>
      </c>
      <c r="C277" s="7" t="str">
        <f t="shared" si="1"/>
        <v>🔊</v>
      </c>
      <c r="D277" s="8" t="s">
        <v>3829</v>
      </c>
      <c r="E277" s="6" t="s">
        <v>13</v>
      </c>
      <c r="F277" s="12" t="str">
        <f>IFERROR(__xludf.DUMMYFUNCTION("GOOGLETRANSLATE(B277,""zh_cn"",""vi"")"),"Điều chỉnh 1")</f>
        <v>Điều chỉnh 1</v>
      </c>
      <c r="G277" s="20" t="s">
        <v>7440</v>
      </c>
      <c r="H277" s="6"/>
      <c r="I277" s="11" t="b">
        <f t="shared" si="2"/>
        <v>0</v>
      </c>
      <c r="K277" s="11" t="b">
        <f t="shared" si="3"/>
        <v>0</v>
      </c>
    </row>
    <row r="278" ht="22.5" customHeight="1">
      <c r="A278" s="12">
        <f t="shared" si="4"/>
        <v>2276</v>
      </c>
      <c r="B278" s="30" t="s">
        <v>7441</v>
      </c>
      <c r="C278" s="7" t="str">
        <f t="shared" si="1"/>
        <v>🔊</v>
      </c>
      <c r="D278" s="8" t="s">
        <v>7442</v>
      </c>
      <c r="E278" s="6" t="s">
        <v>13</v>
      </c>
      <c r="F278" s="12" t="str">
        <f>IFERROR(__xludf.DUMMYFUNCTION("GOOGLETRANSLATE(B278,""zh_cn"",""vi"")"),"Nghiên cứu")</f>
        <v>Nghiên cứu</v>
      </c>
      <c r="G278" s="20" t="s">
        <v>7443</v>
      </c>
      <c r="H278" s="6"/>
      <c r="I278" s="11" t="b">
        <f t="shared" si="2"/>
        <v>0</v>
      </c>
      <c r="K278" s="11" t="b">
        <f t="shared" si="3"/>
        <v>0</v>
      </c>
    </row>
    <row r="279" ht="22.5" customHeight="1">
      <c r="A279" s="12">
        <f t="shared" si="4"/>
        <v>2277</v>
      </c>
      <c r="B279" s="30" t="s">
        <v>7444</v>
      </c>
      <c r="C279" s="7" t="str">
        <f t="shared" si="1"/>
        <v>🔊</v>
      </c>
      <c r="D279" s="8" t="s">
        <v>7445</v>
      </c>
      <c r="E279" s="6" t="s">
        <v>27</v>
      </c>
      <c r="F279" s="12" t="str">
        <f>IFERROR(__xludf.DUMMYFUNCTION("GOOGLETRANSLATE(B279,""zh_cn"",""vi"")"),"địa lý")</f>
        <v>địa lý</v>
      </c>
      <c r="G279" s="20" t="s">
        <v>7446</v>
      </c>
      <c r="H279" s="6"/>
      <c r="I279" s="11" t="b">
        <f t="shared" si="2"/>
        <v>0</v>
      </c>
      <c r="K279" s="11" t="b">
        <f t="shared" si="3"/>
        <v>0</v>
      </c>
    </row>
    <row r="280" ht="22.5" customHeight="1">
      <c r="A280" s="12">
        <f t="shared" si="4"/>
        <v>2278</v>
      </c>
      <c r="B280" s="30" t="s">
        <v>7447</v>
      </c>
      <c r="C280" s="7" t="str">
        <f t="shared" si="1"/>
        <v>🔊</v>
      </c>
      <c r="D280" s="8" t="s">
        <v>7448</v>
      </c>
      <c r="E280" s="6" t="s">
        <v>27</v>
      </c>
      <c r="F280" s="12" t="str">
        <f>IFERROR(__xludf.DUMMYFUNCTION("GOOGLETRANSLATE(B280,""zh_cn"",""vi"")"),"đất")</f>
        <v>đất</v>
      </c>
      <c r="G280" s="20" t="s">
        <v>7449</v>
      </c>
      <c r="H280" s="6"/>
      <c r="I280" s="11" t="b">
        <f t="shared" si="2"/>
        <v>0</v>
      </c>
      <c r="K280" s="11" t="b">
        <f t="shared" si="3"/>
        <v>0</v>
      </c>
    </row>
    <row r="281" ht="22.5" customHeight="1">
      <c r="A281" s="12">
        <f t="shared" si="4"/>
        <v>2279</v>
      </c>
      <c r="B281" s="30" t="s">
        <v>7450</v>
      </c>
      <c r="C281" s="7" t="str">
        <f t="shared" si="1"/>
        <v>🔊</v>
      </c>
      <c r="D281" s="8" t="s">
        <v>7451</v>
      </c>
      <c r="E281" s="6" t="s">
        <v>368</v>
      </c>
      <c r="F281" s="12" t="str">
        <f>IFERROR(__xludf.DUMMYFUNCTION("GOOGLETRANSLATE(B281,""zh_cn"",""vi"")"),"thường xuyên")</f>
        <v>thường xuyên</v>
      </c>
      <c r="G281" s="20" t="s">
        <v>7452</v>
      </c>
      <c r="H281" s="6"/>
      <c r="I281" s="11" t="b">
        <f t="shared" si="2"/>
        <v>0</v>
      </c>
      <c r="K281" s="11" t="b">
        <f t="shared" si="3"/>
        <v>0</v>
      </c>
    </row>
    <row r="282" ht="22.5" customHeight="1">
      <c r="A282" s="12">
        <f t="shared" si="4"/>
        <v>2280</v>
      </c>
      <c r="B282" s="30" t="s">
        <v>7453</v>
      </c>
      <c r="C282" s="7" t="str">
        <f t="shared" si="1"/>
        <v>🔊</v>
      </c>
      <c r="D282" s="8" t="s">
        <v>7454</v>
      </c>
      <c r="E282" s="6" t="s">
        <v>27</v>
      </c>
      <c r="F282" s="12" t="str">
        <f>IFERROR(__xludf.DUMMYFUNCTION("GOOGLETRANSLATE(B282,""zh_cn"",""vi"")"),"khu vực")</f>
        <v>khu vực</v>
      </c>
      <c r="G282" s="20" t="s">
        <v>7455</v>
      </c>
      <c r="H282" s="6"/>
      <c r="I282" s="11" t="b">
        <f t="shared" si="2"/>
        <v>0</v>
      </c>
      <c r="K282" s="11" t="b">
        <f t="shared" si="3"/>
        <v>0</v>
      </c>
    </row>
    <row r="283" ht="22.5" customHeight="1">
      <c r="A283" s="12">
        <f t="shared" si="4"/>
        <v>2281</v>
      </c>
      <c r="B283" s="30" t="s">
        <v>7456</v>
      </c>
      <c r="C283" s="7" t="str">
        <f t="shared" si="1"/>
        <v>🔊</v>
      </c>
      <c r="D283" s="8" t="s">
        <v>7457</v>
      </c>
      <c r="E283" s="6" t="s">
        <v>61</v>
      </c>
      <c r="F283" s="12" t="str">
        <f>IFERROR(__xludf.DUMMYFUNCTION("GOOGLETRANSLATE(B283,""zh_cn"",""vi"")"),"thực vậy")</f>
        <v>thực vậy</v>
      </c>
      <c r="G283" s="20" t="s">
        <v>7458</v>
      </c>
      <c r="H283" s="6"/>
      <c r="I283" s="11" t="b">
        <f t="shared" si="2"/>
        <v>0</v>
      </c>
      <c r="K283" s="11" t="b">
        <f t="shared" si="3"/>
        <v>0</v>
      </c>
    </row>
    <row r="284" ht="22.5" customHeight="1">
      <c r="A284" s="12">
        <f t="shared" si="4"/>
        <v>2282</v>
      </c>
      <c r="B284" s="30" t="s">
        <v>7459</v>
      </c>
      <c r="C284" s="7" t="str">
        <f t="shared" si="1"/>
        <v>🔊</v>
      </c>
      <c r="D284" s="8" t="s">
        <v>7460</v>
      </c>
      <c r="E284" s="6" t="s">
        <v>27</v>
      </c>
      <c r="F284" s="12" t="str">
        <f>IFERROR(__xludf.DUMMYFUNCTION("GOOGLETRANSLATE(B284,""zh_cn"",""vi"")"),"kẻ thù")</f>
        <v>kẻ thù</v>
      </c>
      <c r="G284" s="20" t="s">
        <v>7461</v>
      </c>
      <c r="H284" s="6"/>
      <c r="I284" s="11" t="b">
        <f t="shared" si="2"/>
        <v>0</v>
      </c>
      <c r="K284" s="11" t="b">
        <f t="shared" si="3"/>
        <v>0</v>
      </c>
    </row>
    <row r="285" ht="22.5" customHeight="1">
      <c r="A285" s="12">
        <f t="shared" si="4"/>
        <v>2283</v>
      </c>
      <c r="B285" s="30" t="s">
        <v>7462</v>
      </c>
      <c r="C285" s="7" t="str">
        <f t="shared" si="1"/>
        <v>🔊</v>
      </c>
      <c r="D285" s="8" t="s">
        <v>7463</v>
      </c>
      <c r="E285" s="6" t="s">
        <v>13</v>
      </c>
      <c r="F285" s="12" t="str">
        <f>IFERROR(__xludf.DUMMYFUNCTION("GOOGLETRANSLATE(B285,""zh_cn"",""vi"")"),"cúi chào")</f>
        <v>cúi chào</v>
      </c>
      <c r="G285" s="20" t="s">
        <v>7464</v>
      </c>
      <c r="H285" s="6"/>
      <c r="I285" s="11" t="b">
        <f t="shared" si="2"/>
        <v>0</v>
      </c>
      <c r="K285" s="11" t="b">
        <f t="shared" si="3"/>
        <v>0</v>
      </c>
    </row>
    <row r="286" ht="22.5" customHeight="1">
      <c r="A286" s="12">
        <f t="shared" si="4"/>
        <v>2284</v>
      </c>
      <c r="B286" s="30" t="s">
        <v>7465</v>
      </c>
      <c r="C286" s="7" t="str">
        <f t="shared" si="1"/>
        <v>🔊</v>
      </c>
      <c r="D286" s="8" t="s">
        <v>7466</v>
      </c>
      <c r="E286" s="6" t="s">
        <v>13</v>
      </c>
      <c r="F286" s="12" t="str">
        <f>IFERROR(__xludf.DUMMYFUNCTION("GOOGLETRANSLATE(B286,""zh_cn"",""vi"")"),"Mất")</f>
        <v>Mất</v>
      </c>
      <c r="G286" s="20" t="s">
        <v>7467</v>
      </c>
      <c r="H286" s="6"/>
      <c r="I286" s="11" t="b">
        <f t="shared" si="2"/>
        <v>0</v>
      </c>
      <c r="K286" s="11" t="b">
        <f t="shared" si="3"/>
        <v>0</v>
      </c>
    </row>
    <row r="287" ht="22.5" customHeight="1">
      <c r="A287" s="12">
        <f t="shared" si="4"/>
        <v>2285</v>
      </c>
      <c r="B287" s="30" t="s">
        <v>7468</v>
      </c>
      <c r="C287" s="7" t="str">
        <f t="shared" si="1"/>
        <v>🔊</v>
      </c>
      <c r="D287" s="8" t="s">
        <v>7469</v>
      </c>
      <c r="E287" s="6" t="s">
        <v>27</v>
      </c>
      <c r="F287" s="12" t="str">
        <f>IFERROR(__xludf.DUMMYFUNCTION("GOOGLETRANSLATE(B287,""zh_cn"",""vi"")"),"trạng thái")</f>
        <v>trạng thái</v>
      </c>
      <c r="G287" s="20" t="s">
        <v>7470</v>
      </c>
      <c r="H287" s="6"/>
      <c r="I287" s="11" t="b">
        <f t="shared" si="2"/>
        <v>0</v>
      </c>
      <c r="K287" s="11" t="b">
        <f t="shared" si="3"/>
        <v>0</v>
      </c>
    </row>
    <row r="288" ht="22.5" customHeight="1">
      <c r="A288" s="12">
        <f t="shared" si="4"/>
        <v>2286</v>
      </c>
      <c r="B288" s="30" t="s">
        <v>7471</v>
      </c>
      <c r="C288" s="7" t="str">
        <f t="shared" si="1"/>
        <v>🔊</v>
      </c>
      <c r="D288" s="8" t="s">
        <v>7472</v>
      </c>
      <c r="E288" s="6" t="s">
        <v>3430</v>
      </c>
      <c r="F288" s="12" t="str">
        <f>IFERROR(__xludf.DUMMYFUNCTION("GOOGLETRANSLATE(B288,""zh_cn"",""vi"")"),"bí mật")</f>
        <v>bí mật</v>
      </c>
      <c r="G288" s="20" t="s">
        <v>7473</v>
      </c>
      <c r="H288" s="6"/>
      <c r="I288" s="11" t="b">
        <f t="shared" si="2"/>
        <v>0</v>
      </c>
      <c r="K288" s="11" t="b">
        <f t="shared" si="3"/>
        <v>0</v>
      </c>
    </row>
    <row r="289" ht="22.5" customHeight="1">
      <c r="A289" s="12">
        <f t="shared" si="4"/>
        <v>2287</v>
      </c>
      <c r="B289" s="30" t="s">
        <v>7474</v>
      </c>
      <c r="C289" s="7" t="str">
        <f t="shared" si="1"/>
        <v>🔊</v>
      </c>
      <c r="D289" s="8" t="s">
        <v>7475</v>
      </c>
      <c r="E289" s="6" t="s">
        <v>13</v>
      </c>
      <c r="F289" s="12" t="str">
        <f>IFERROR(__xludf.DUMMYFUNCTION("GOOGLETRANSLATE(B289,""zh_cn"",""vi"")"),"động đất")</f>
        <v>động đất</v>
      </c>
      <c r="G289" s="20" t="s">
        <v>7476</v>
      </c>
      <c r="H289" s="6"/>
      <c r="I289" s="11" t="b">
        <f t="shared" si="2"/>
        <v>0</v>
      </c>
      <c r="K289" s="11" t="b">
        <f t="shared" si="3"/>
        <v>0</v>
      </c>
    </row>
    <row r="290" ht="22.5" customHeight="1">
      <c r="A290" s="12">
        <f t="shared" si="4"/>
        <v>2288</v>
      </c>
      <c r="B290" s="30" t="s">
        <v>7477</v>
      </c>
      <c r="C290" s="7" t="str">
        <f t="shared" si="1"/>
        <v>🔊</v>
      </c>
      <c r="D290" s="8" t="s">
        <v>1149</v>
      </c>
      <c r="E290" s="6" t="s">
        <v>13</v>
      </c>
      <c r="F290" s="12" t="str">
        <f>IFERROR(__xludf.DUMMYFUNCTION("GOOGLETRANSLATE(B290,""zh_cn"",""vi"")"),"đông cứng")</f>
        <v>đông cứng</v>
      </c>
      <c r="G290" s="20" t="s">
        <v>7478</v>
      </c>
      <c r="H290" s="6"/>
      <c r="I290" s="11" t="b">
        <f t="shared" si="2"/>
        <v>0</v>
      </c>
      <c r="K290" s="11" t="b">
        <f t="shared" si="3"/>
        <v>0</v>
      </c>
    </row>
    <row r="291" ht="22.5" customHeight="1">
      <c r="A291" s="12">
        <f t="shared" si="4"/>
        <v>2289</v>
      </c>
      <c r="B291" s="30" t="s">
        <v>7479</v>
      </c>
      <c r="C291" s="7" t="str">
        <f t="shared" si="1"/>
        <v>🔊</v>
      </c>
      <c r="D291" s="8" t="s">
        <v>1149</v>
      </c>
      <c r="E291" s="6" t="s">
        <v>27</v>
      </c>
      <c r="F291" s="12" t="str">
        <f>IFERROR(__xludf.DUMMYFUNCTION("GOOGLETRANSLATE(B291,""zh_cn"",""vi"")"),"Hố")</f>
        <v>Hố</v>
      </c>
      <c r="G291" s="20" t="s">
        <v>7480</v>
      </c>
      <c r="H291" s="6"/>
      <c r="I291" s="11" t="b">
        <f t="shared" si="2"/>
        <v>0</v>
      </c>
      <c r="K291" s="11" t="b">
        <f t="shared" si="3"/>
        <v>0</v>
      </c>
    </row>
    <row r="292" ht="22.5" customHeight="1">
      <c r="A292" s="12">
        <f t="shared" si="4"/>
        <v>2290</v>
      </c>
      <c r="B292" s="30" t="s">
        <v>7481</v>
      </c>
      <c r="C292" s="7" t="str">
        <f t="shared" si="1"/>
        <v>🔊</v>
      </c>
      <c r="D292" s="8" t="s">
        <v>7482</v>
      </c>
      <c r="E292" s="6" t="s">
        <v>27</v>
      </c>
      <c r="F292" s="12" t="str">
        <f>IFERROR(__xludf.DUMMYFUNCTION("GOOGLETRANSLATE(B292,""zh_cn"",""vi"")"),"Hoạt hình")</f>
        <v>Hoạt hình</v>
      </c>
      <c r="G292" s="20" t="s">
        <v>7483</v>
      </c>
      <c r="H292" s="6"/>
      <c r="I292" s="11" t="b">
        <f t="shared" si="2"/>
        <v>0</v>
      </c>
      <c r="K292" s="11" t="b">
        <f t="shared" si="3"/>
        <v>0</v>
      </c>
    </row>
    <row r="293" ht="22.5" customHeight="1">
      <c r="A293" s="12">
        <f t="shared" si="4"/>
        <v>2291</v>
      </c>
      <c r="B293" s="30" t="s">
        <v>7484</v>
      </c>
      <c r="C293" s="7" t="str">
        <f t="shared" si="1"/>
        <v>🔊</v>
      </c>
      <c r="D293" s="8" t="s">
        <v>7485</v>
      </c>
      <c r="E293" s="6" t="s">
        <v>99</v>
      </c>
      <c r="F293" s="12" t="str">
        <f>IFERROR(__xludf.DUMMYFUNCTION("GOOGLETRANSLATE(B293,""zh_cn"",""vi"")"),"di chuyển")</f>
        <v>di chuyển</v>
      </c>
      <c r="G293" s="20" t="s">
        <v>7486</v>
      </c>
      <c r="H293" s="6"/>
      <c r="I293" s="11" t="b">
        <f t="shared" si="2"/>
        <v>0</v>
      </c>
      <c r="K293" s="11" t="b">
        <f t="shared" si="3"/>
        <v>0</v>
      </c>
    </row>
    <row r="294" ht="22.5" customHeight="1">
      <c r="A294" s="12">
        <f t="shared" si="4"/>
        <v>2292</v>
      </c>
      <c r="B294" s="30" t="s">
        <v>7487</v>
      </c>
      <c r="C294" s="7" t="str">
        <f t="shared" si="1"/>
        <v>🔊</v>
      </c>
      <c r="D294" s="8" t="s">
        <v>7488</v>
      </c>
      <c r="E294" s="6" t="s">
        <v>13</v>
      </c>
      <c r="F294" s="12" t="str">
        <f>IFERROR(__xludf.DUMMYFUNCTION("GOOGLETRANSLATE(B294,""zh_cn"",""vi"")"),"Hãy hành động")</f>
        <v>Hãy hành động</v>
      </c>
      <c r="G294" s="20" t="s">
        <v>7489</v>
      </c>
      <c r="H294" s="6"/>
      <c r="I294" s="11" t="b">
        <f t="shared" si="2"/>
        <v>0</v>
      </c>
      <c r="K294" s="11" t="b">
        <f t="shared" si="3"/>
        <v>0</v>
      </c>
    </row>
    <row r="295" ht="22.5" customHeight="1">
      <c r="A295" s="12">
        <f t="shared" si="4"/>
        <v>2293</v>
      </c>
      <c r="B295" s="30" t="s">
        <v>7490</v>
      </c>
      <c r="C295" s="7" t="str">
        <f t="shared" si="1"/>
        <v>🔊</v>
      </c>
      <c r="D295" s="8" t="s">
        <v>7491</v>
      </c>
      <c r="E295" s="6" t="s">
        <v>27</v>
      </c>
      <c r="F295" s="12" t="str">
        <f>IFERROR(__xludf.DUMMYFUNCTION("GOOGLETRANSLATE(B295,""zh_cn"",""vi"")"),"Đậu phụ")</f>
        <v>Đậu phụ</v>
      </c>
      <c r="G295" s="20" t="s">
        <v>7492</v>
      </c>
      <c r="H295" s="6"/>
      <c r="I295" s="11" t="b">
        <f t="shared" si="2"/>
        <v>0</v>
      </c>
      <c r="K295" s="11" t="b">
        <f t="shared" si="3"/>
        <v>0</v>
      </c>
    </row>
    <row r="296" ht="22.5" customHeight="1">
      <c r="A296" s="12">
        <f t="shared" si="4"/>
        <v>2294</v>
      </c>
      <c r="B296" s="30" t="s">
        <v>7493</v>
      </c>
      <c r="C296" s="7" t="str">
        <f t="shared" si="1"/>
        <v>🔊</v>
      </c>
      <c r="D296" s="8" t="s">
        <v>7494</v>
      </c>
      <c r="E296" s="6" t="s">
        <v>27</v>
      </c>
      <c r="F296" s="12" t="str">
        <f>IFERROR(__xludf.DUMMYFUNCTION("GOOGLETRANSLATE(B296,""zh_cn"",""vi"")"),"Sữa đậu nành")</f>
        <v>Sữa đậu nành</v>
      </c>
      <c r="G296" s="20" t="s">
        <v>7495</v>
      </c>
      <c r="H296" s="6"/>
      <c r="I296" s="11" t="b">
        <f t="shared" si="2"/>
        <v>0</v>
      </c>
      <c r="K296" s="11" t="b">
        <f t="shared" si="3"/>
        <v>0</v>
      </c>
    </row>
    <row r="297" ht="22.5" customHeight="1">
      <c r="A297" s="12">
        <f t="shared" si="4"/>
        <v>2295</v>
      </c>
      <c r="B297" s="30" t="s">
        <v>7496</v>
      </c>
      <c r="C297" s="7" t="str">
        <f t="shared" si="1"/>
        <v>🔊</v>
      </c>
      <c r="D297" s="8" t="s">
        <v>7497</v>
      </c>
      <c r="E297" s="6" t="s">
        <v>7498</v>
      </c>
      <c r="F297" s="12" t="str">
        <f>IFERROR(__xludf.DUMMYFUNCTION("GOOGLETRANSLATE(B297,""zh_cn"",""vi"")"),"Tiêu")</f>
        <v>Tiêu</v>
      </c>
      <c r="G297" s="20" t="s">
        <v>7499</v>
      </c>
      <c r="H297" s="6"/>
      <c r="I297" s="11" t="b">
        <f t="shared" si="2"/>
        <v>0</v>
      </c>
      <c r="K297" s="11" t="b">
        <f t="shared" si="3"/>
        <v>0</v>
      </c>
    </row>
    <row r="298" ht="22.5" customHeight="1">
      <c r="A298" s="12">
        <f t="shared" si="4"/>
        <v>2296</v>
      </c>
      <c r="B298" s="30" t="s">
        <v>7500</v>
      </c>
      <c r="C298" s="7" t="str">
        <f t="shared" si="1"/>
        <v>🔊</v>
      </c>
      <c r="D298" s="8" t="s">
        <v>7501</v>
      </c>
      <c r="E298" s="6" t="s">
        <v>7502</v>
      </c>
      <c r="F298" s="12" t="str">
        <f>IFERROR(__xludf.DUMMYFUNCTION("GOOGLETRANSLATE(B298,""zh_cn"",""vi"")"),"khối")</f>
        <v>khối</v>
      </c>
      <c r="G298" s="20" t="s">
        <v>7503</v>
      </c>
      <c r="H298" s="6"/>
      <c r="I298" s="11" t="b">
        <f t="shared" si="2"/>
        <v>0</v>
      </c>
      <c r="K298" s="11" t="b">
        <f t="shared" si="3"/>
        <v>0</v>
      </c>
    </row>
    <row r="299" ht="22.5" customHeight="1">
      <c r="A299" s="12">
        <f t="shared" si="4"/>
        <v>2297</v>
      </c>
      <c r="B299" s="30" t="s">
        <v>7504</v>
      </c>
      <c r="C299" s="7" t="str">
        <f t="shared" si="1"/>
        <v>🔊</v>
      </c>
      <c r="D299" s="8" t="s">
        <v>2052</v>
      </c>
      <c r="E299" s="6" t="s">
        <v>13</v>
      </c>
      <c r="F299" s="12" t="str">
        <f>IFERROR(__xludf.DUMMYFUNCTION("GOOGLETRANSLATE(B299,""zh_cn"",""vi"")"),"Vỡ")</f>
        <v>Vỡ</v>
      </c>
      <c r="G299" s="20" t="s">
        <v>7505</v>
      </c>
      <c r="H299" s="6"/>
      <c r="I299" s="11" t="b">
        <f t="shared" si="2"/>
        <v>0</v>
      </c>
      <c r="K299" s="11" t="b">
        <f t="shared" si="3"/>
        <v>0</v>
      </c>
    </row>
    <row r="300" ht="22.5" customHeight="1">
      <c r="A300" s="12">
        <f t="shared" si="4"/>
        <v>2298</v>
      </c>
      <c r="B300" s="30" t="s">
        <v>7506</v>
      </c>
      <c r="C300" s="7" t="str">
        <f t="shared" si="1"/>
        <v>🔊</v>
      </c>
      <c r="D300" s="8" t="s">
        <v>7507</v>
      </c>
      <c r="E300" s="6" t="s">
        <v>27</v>
      </c>
      <c r="F300" s="12" t="str">
        <f>IFERROR(__xludf.DUMMYFUNCTION("GOOGLETRANSLATE(B300,""zh_cn"",""vi"")"),"Những thiếu sót")</f>
        <v>Những thiếu sót</v>
      </c>
      <c r="G300" s="20" t="s">
        <v>7508</v>
      </c>
      <c r="H300" s="6"/>
      <c r="I300" s="11" t="b">
        <f t="shared" si="2"/>
        <v>0</v>
      </c>
      <c r="K300" s="11" t="b">
        <f t="shared" si="3"/>
        <v>0</v>
      </c>
    </row>
    <row r="301" ht="22.5" customHeight="1">
      <c r="A301" s="12">
        <f t="shared" si="4"/>
        <v>2299</v>
      </c>
      <c r="B301" s="30" t="s">
        <v>7509</v>
      </c>
      <c r="C301" s="7" t="str">
        <f t="shared" si="1"/>
        <v>🔊</v>
      </c>
      <c r="D301" s="8" t="s">
        <v>7510</v>
      </c>
      <c r="E301" s="6" t="s">
        <v>3430</v>
      </c>
      <c r="F301" s="12" t="str">
        <f>IFERROR(__xludf.DUMMYFUNCTION("GOOGLETRANSLATE(B301,""zh_cn"",""vi"")"),"ngắn hạn")</f>
        <v>ngắn hạn</v>
      </c>
      <c r="G301" s="20" t="s">
        <v>7511</v>
      </c>
      <c r="H301" s="6"/>
      <c r="I301" s="11" t="b">
        <f t="shared" si="2"/>
        <v>0</v>
      </c>
      <c r="K301" s="11" t="b">
        <f t="shared" si="3"/>
        <v>0</v>
      </c>
    </row>
    <row r="302" ht="22.5" customHeight="1">
      <c r="A302" s="12">
        <f t="shared" si="4"/>
        <v>2300</v>
      </c>
      <c r="B302" s="30" t="s">
        <v>7512</v>
      </c>
      <c r="C302" s="7" t="str">
        <f t="shared" si="1"/>
        <v>🔊</v>
      </c>
      <c r="D302" s="8" t="s">
        <v>7513</v>
      </c>
      <c r="E302" s="6" t="s">
        <v>1046</v>
      </c>
      <c r="F302" s="12" t="str">
        <f>IFERROR(__xludf.DUMMYFUNCTION("GOOGLETRANSLATE(B302,""zh_cn"",""vi"")"),"đống")</f>
        <v>đống</v>
      </c>
      <c r="G302" s="20" t="s">
        <v>7514</v>
      </c>
      <c r="H302" s="6"/>
      <c r="I302" s="11" t="b">
        <f t="shared" si="2"/>
        <v>0</v>
      </c>
      <c r="J302" s="24"/>
      <c r="K302" s="11" t="b">
        <f t="shared" si="3"/>
        <v>0</v>
      </c>
    </row>
    <row r="303" ht="22.5" customHeight="1">
      <c r="A303" s="12">
        <f t="shared" si="4"/>
        <v>2301</v>
      </c>
      <c r="B303" s="30" t="s">
        <v>7515</v>
      </c>
      <c r="C303" s="1" t="s">
        <v>2</v>
      </c>
      <c r="D303" s="8" t="s">
        <v>7516</v>
      </c>
      <c r="E303" s="6" t="s">
        <v>232</v>
      </c>
      <c r="F303" s="12" t="str">
        <f>IFERROR(__xludf.DUMMYFUNCTION("GOOGLETRANSLATE(B303,""zh_cn"",""vi"")"),"sự tương phản")</f>
        <v>sự tương phản</v>
      </c>
      <c r="G303" s="20" t="s">
        <v>7517</v>
      </c>
      <c r="H303" s="6"/>
      <c r="I303" s="11" t="b">
        <f t="shared" si="2"/>
        <v>0</v>
      </c>
      <c r="J303" s="24"/>
      <c r="K303" s="11" t="b">
        <f t="shared" si="3"/>
        <v>0</v>
      </c>
    </row>
    <row r="304" ht="22.5" customHeight="1">
      <c r="A304" s="12">
        <f t="shared" si="4"/>
        <v>2302</v>
      </c>
      <c r="B304" s="30" t="s">
        <v>7518</v>
      </c>
      <c r="C304" s="7" t="str">
        <f t="shared" ref="C304:C804" si="5">HYPERLINK("https://translate.google.com/translate_tts?ie=UTF-8&amp;client=tw-ob&amp;tl=zh-CN&amp;q="&amp;ENCODEURL(B304),"🔊")</f>
        <v>🔊</v>
      </c>
      <c r="D304" s="8" t="s">
        <v>7519</v>
      </c>
      <c r="E304" s="6" t="s">
        <v>13</v>
      </c>
      <c r="F304" s="12" t="str">
        <f>IFERROR(__xludf.DUMMYFUNCTION("GOOGLETRANSLATE(B304,""zh_cn"",""vi"")"),"đối xử")</f>
        <v>đối xử</v>
      </c>
      <c r="G304" s="20" t="s">
        <v>7520</v>
      </c>
      <c r="H304" s="6"/>
      <c r="I304" s="11" t="b">
        <f t="shared" si="2"/>
        <v>0</v>
      </c>
      <c r="J304" s="24"/>
      <c r="K304" s="11" t="b">
        <f t="shared" si="3"/>
        <v>0</v>
      </c>
    </row>
    <row r="305" ht="22.5" customHeight="1">
      <c r="A305" s="12">
        <f t="shared" si="4"/>
        <v>2303</v>
      </c>
      <c r="B305" s="30" t="s">
        <v>7521</v>
      </c>
      <c r="C305" s="7" t="str">
        <f t="shared" si="5"/>
        <v>🔊</v>
      </c>
      <c r="D305" s="8" t="s">
        <v>7522</v>
      </c>
      <c r="E305" s="6" t="s">
        <v>27</v>
      </c>
      <c r="F305" s="12" t="str">
        <f>IFERROR(__xludf.DUMMYFUNCTION("GOOGLETRANSLATE(B305,""zh_cn"",""vi"")"),"đối thủ")</f>
        <v>đối thủ</v>
      </c>
      <c r="G305" s="20" t="s">
        <v>7523</v>
      </c>
      <c r="H305" s="6"/>
      <c r="I305" s="11" t="b">
        <f t="shared" si="2"/>
        <v>0</v>
      </c>
      <c r="J305" s="24"/>
      <c r="K305" s="11" t="b">
        <f t="shared" si="3"/>
        <v>0</v>
      </c>
    </row>
    <row r="306" ht="22.5" customHeight="1">
      <c r="A306" s="12">
        <f t="shared" si="4"/>
        <v>2304</v>
      </c>
      <c r="B306" s="30" t="s">
        <v>7524</v>
      </c>
      <c r="C306" s="7" t="str">
        <f t="shared" si="5"/>
        <v>🔊</v>
      </c>
      <c r="D306" s="8" t="s">
        <v>7525</v>
      </c>
      <c r="E306" s="6" t="s">
        <v>27</v>
      </c>
      <c r="F306" s="12" t="str">
        <f>IFERROR(__xludf.DUMMYFUNCTION("GOOGLETRANSLATE(B306,""zh_cn"",""vi"")"),"Đội")</f>
        <v>Đội</v>
      </c>
      <c r="G306" s="20" t="s">
        <v>7526</v>
      </c>
      <c r="H306" s="6"/>
      <c r="I306" s="11" t="b">
        <f t="shared" si="2"/>
        <v>0</v>
      </c>
      <c r="J306" s="24"/>
      <c r="K306" s="11" t="b">
        <f t="shared" si="3"/>
        <v>0</v>
      </c>
    </row>
    <row r="307" ht="22.5" customHeight="1">
      <c r="A307" s="12">
        <f t="shared" si="4"/>
        <v>2305</v>
      </c>
      <c r="B307" s="30" t="s">
        <v>7527</v>
      </c>
      <c r="C307" s="7" t="str">
        <f t="shared" si="5"/>
        <v>🔊</v>
      </c>
      <c r="D307" s="8" t="s">
        <v>7528</v>
      </c>
      <c r="E307" s="6" t="s">
        <v>27</v>
      </c>
      <c r="F307" s="12" t="str">
        <f>IFERROR(__xludf.DUMMYFUNCTION("GOOGLETRANSLATE(B307,""zh_cn"",""vi"")"),"sự vật")</f>
        <v>sự vật</v>
      </c>
      <c r="G307" s="20" t="s">
        <v>7529</v>
      </c>
      <c r="H307" s="6"/>
      <c r="I307" s="11" t="b">
        <f t="shared" si="2"/>
        <v>0</v>
      </c>
      <c r="J307" s="24"/>
      <c r="K307" s="11" t="b">
        <f t="shared" si="3"/>
        <v>0</v>
      </c>
    </row>
    <row r="308" ht="22.5" customHeight="1">
      <c r="A308" s="12">
        <f t="shared" si="4"/>
        <v>2306</v>
      </c>
      <c r="B308" s="30" t="s">
        <v>7530</v>
      </c>
      <c r="C308" s="7" t="str">
        <f t="shared" si="5"/>
        <v>🔊</v>
      </c>
      <c r="D308" s="8" t="s">
        <v>7531</v>
      </c>
      <c r="E308" s="6" t="s">
        <v>368</v>
      </c>
      <c r="F308" s="12" t="str">
        <f>IFERROR(__xludf.DUMMYFUNCTION("GOOGLETRANSLATE(B308,""zh_cn"",""vi"")"),"độc lập")</f>
        <v>độc lập</v>
      </c>
      <c r="G308" s="20" t="s">
        <v>7532</v>
      </c>
      <c r="H308" s="6"/>
      <c r="I308" s="11" t="b">
        <f t="shared" si="2"/>
        <v>0</v>
      </c>
      <c r="J308" s="24"/>
      <c r="K308" s="11" t="b">
        <f t="shared" si="3"/>
        <v>0</v>
      </c>
    </row>
    <row r="309" ht="22.5" customHeight="1">
      <c r="A309" s="12">
        <f t="shared" si="4"/>
        <v>2307</v>
      </c>
      <c r="B309" s="30" t="s">
        <v>7533</v>
      </c>
      <c r="C309" s="7" t="str">
        <f t="shared" si="5"/>
        <v>🔊</v>
      </c>
      <c r="D309" s="8" t="s">
        <v>7534</v>
      </c>
      <c r="E309" s="6" t="s">
        <v>47</v>
      </c>
      <c r="F309" s="12" t="str">
        <f>IFERROR(__xludf.DUMMYFUNCTION("GOOGLETRANSLATE(B309,""zh_cn"",""vi"")"),"tấn")</f>
        <v>tấn</v>
      </c>
      <c r="G309" s="20" t="s">
        <v>7535</v>
      </c>
      <c r="H309" s="6"/>
      <c r="I309" s="11" t="b">
        <f t="shared" si="2"/>
        <v>0</v>
      </c>
      <c r="J309" s="24"/>
      <c r="K309" s="11" t="b">
        <f t="shared" si="3"/>
        <v>0</v>
      </c>
    </row>
    <row r="310" ht="22.5" customHeight="1">
      <c r="A310" s="12">
        <f t="shared" si="4"/>
        <v>2308</v>
      </c>
      <c r="B310" s="30" t="s">
        <v>7536</v>
      </c>
      <c r="C310" s="7" t="str">
        <f t="shared" si="5"/>
        <v>🔊</v>
      </c>
      <c r="D310" s="8" t="s">
        <v>7537</v>
      </c>
      <c r="E310" s="6" t="s">
        <v>47</v>
      </c>
      <c r="F310" s="12" t="str">
        <f>IFERROR(__xludf.DUMMYFUNCTION("GOOGLETRANSLATE(B310,""zh_cn"",""vi"")"),"Cặp đôi")</f>
        <v>Cặp đôi</v>
      </c>
      <c r="G310" s="20" t="s">
        <v>7538</v>
      </c>
      <c r="H310" s="6"/>
      <c r="I310" s="11" t="b">
        <f t="shared" si="2"/>
        <v>0</v>
      </c>
      <c r="J310" s="24"/>
      <c r="K310" s="11" t="b">
        <f t="shared" si="3"/>
        <v>0</v>
      </c>
    </row>
    <row r="311" ht="22.5" customHeight="1">
      <c r="A311" s="12">
        <f t="shared" si="4"/>
        <v>2309</v>
      </c>
      <c r="B311" s="30" t="s">
        <v>7539</v>
      </c>
      <c r="C311" s="7" t="str">
        <f t="shared" si="5"/>
        <v>🔊</v>
      </c>
      <c r="D311" s="8" t="s">
        <v>7537</v>
      </c>
      <c r="E311" s="6" t="s">
        <v>13</v>
      </c>
      <c r="F311" s="12" t="str">
        <f>IFERROR(__xludf.DUMMYFUNCTION("GOOGLETRANSLATE(B311,""zh_cn"",""vi"")"),"trốn")</f>
        <v>trốn</v>
      </c>
      <c r="G311" s="20" t="s">
        <v>7540</v>
      </c>
      <c r="H311" s="6"/>
      <c r="I311" s="11" t="b">
        <f t="shared" si="2"/>
        <v>0</v>
      </c>
      <c r="J311" s="24"/>
      <c r="K311" s="11" t="b">
        <f t="shared" si="3"/>
        <v>0</v>
      </c>
    </row>
    <row r="312" ht="22.5" customHeight="1">
      <c r="A312" s="12">
        <f t="shared" si="4"/>
        <v>2310</v>
      </c>
      <c r="B312" s="30" t="s">
        <v>7541</v>
      </c>
      <c r="C312" s="7" t="str">
        <f t="shared" si="5"/>
        <v>🔊</v>
      </c>
      <c r="D312" s="8" t="s">
        <v>7542</v>
      </c>
      <c r="E312" s="6" t="s">
        <v>99</v>
      </c>
      <c r="F312" s="12" t="str">
        <f>IFERROR(__xludf.DUMMYFUNCTION("GOOGLETRANSLATE(B312,""zh_cn"",""vi"")"),"độc nhất")</f>
        <v>độc nhất</v>
      </c>
      <c r="G312" s="20" t="s">
        <v>7543</v>
      </c>
      <c r="H312" s="6"/>
      <c r="I312" s="11" t="b">
        <f t="shared" si="2"/>
        <v>0</v>
      </c>
      <c r="J312" s="24"/>
      <c r="K312" s="11" t="b">
        <f t="shared" si="3"/>
        <v>0</v>
      </c>
    </row>
    <row r="313" ht="22.5" customHeight="1">
      <c r="A313" s="12">
        <f t="shared" si="4"/>
        <v>2311</v>
      </c>
      <c r="B313" s="30" t="s">
        <v>7544</v>
      </c>
      <c r="C313" s="7" t="str">
        <f t="shared" si="5"/>
        <v>🔊</v>
      </c>
      <c r="D313" s="8" t="s">
        <v>7545</v>
      </c>
      <c r="E313" s="6" t="s">
        <v>27</v>
      </c>
      <c r="F313" s="12" t="str">
        <f>IFERROR(__xludf.DUMMYFUNCTION("GOOGLETRANSLATE(B313,""zh_cn"",""vi"")"),"cách phát âm")</f>
        <v>cách phát âm</v>
      </c>
      <c r="G313" s="20" t="s">
        <v>7546</v>
      </c>
      <c r="H313" s="6"/>
      <c r="I313" s="11" t="b">
        <f t="shared" si="2"/>
        <v>0</v>
      </c>
      <c r="J313" s="24"/>
      <c r="K313" s="11" t="b">
        <f t="shared" si="3"/>
        <v>0</v>
      </c>
    </row>
    <row r="314" ht="22.5" customHeight="1">
      <c r="A314" s="12">
        <f t="shared" si="4"/>
        <v>2312</v>
      </c>
      <c r="B314" s="30" t="s">
        <v>7547</v>
      </c>
      <c r="C314" s="7" t="str">
        <f t="shared" si="5"/>
        <v>🔊</v>
      </c>
      <c r="D314" s="8" t="s">
        <v>7548</v>
      </c>
      <c r="E314" s="6" t="s">
        <v>61</v>
      </c>
      <c r="F314" s="12" t="str">
        <f>IFERROR(__xludf.DUMMYFUNCTION("GOOGLETRANSLATE(B314,""zh_cn"",""vi"")"),"một mình")</f>
        <v>một mình</v>
      </c>
      <c r="G314" s="20" t="s">
        <v>7549</v>
      </c>
      <c r="H314" s="6"/>
      <c r="I314" s="11" t="b">
        <f t="shared" si="2"/>
        <v>0</v>
      </c>
      <c r="J314" s="24"/>
      <c r="K314" s="11" t="b">
        <f t="shared" si="3"/>
        <v>0</v>
      </c>
    </row>
    <row r="315" ht="22.5" customHeight="1">
      <c r="A315" s="12">
        <f t="shared" si="4"/>
        <v>2313</v>
      </c>
      <c r="B315" s="30" t="s">
        <v>7550</v>
      </c>
      <c r="C315" s="7" t="str">
        <f t="shared" si="5"/>
        <v>🔊</v>
      </c>
      <c r="D315" s="8" t="s">
        <v>7551</v>
      </c>
      <c r="E315" s="6" t="s">
        <v>27</v>
      </c>
      <c r="F315" s="12" t="str">
        <f>IFERROR(__xludf.DUMMYFUNCTION("GOOGLETRANSLATE(B315,""zh_cn"",""vi"")"),"những đứa trẻ")</f>
        <v>những đứa trẻ</v>
      </c>
      <c r="G315" s="20" t="s">
        <v>7552</v>
      </c>
      <c r="H315" s="6"/>
      <c r="I315" s="11" t="b">
        <f t="shared" si="2"/>
        <v>0</v>
      </c>
      <c r="J315" s="24"/>
      <c r="K315" s="11" t="b">
        <f t="shared" si="3"/>
        <v>0</v>
      </c>
    </row>
    <row r="316" ht="22.5" customHeight="1">
      <c r="A316" s="12">
        <f t="shared" si="4"/>
        <v>2314</v>
      </c>
      <c r="B316" s="30" t="s">
        <v>7553</v>
      </c>
      <c r="C316" s="7" t="str">
        <f t="shared" si="5"/>
        <v>🔊</v>
      </c>
      <c r="D316" s="8" t="s">
        <v>7554</v>
      </c>
      <c r="E316" s="6" t="s">
        <v>99</v>
      </c>
      <c r="F316" s="12" t="str">
        <f>IFERROR(__xludf.DUMMYFUNCTION("GOOGLETRANSLATE(B316,""zh_cn"",""vi"")"),"đồ cũ")</f>
        <v>đồ cũ</v>
      </c>
      <c r="G316" s="20" t="s">
        <v>7555</v>
      </c>
      <c r="H316" s="6"/>
      <c r="I316" s="11" t="b">
        <f t="shared" si="2"/>
        <v>0</v>
      </c>
      <c r="J316" s="24"/>
      <c r="K316" s="11" t="b">
        <f t="shared" si="3"/>
        <v>0</v>
      </c>
    </row>
    <row r="317" ht="22.5" customHeight="1">
      <c r="A317" s="12">
        <f t="shared" si="4"/>
        <v>2315</v>
      </c>
      <c r="B317" s="30" t="s">
        <v>7556</v>
      </c>
      <c r="C317" s="7" t="str">
        <f t="shared" si="5"/>
        <v>🔊</v>
      </c>
      <c r="D317" s="8" t="s">
        <v>7557</v>
      </c>
      <c r="E317" s="6" t="s">
        <v>27</v>
      </c>
      <c r="F317" s="12" t="str">
        <f>IFERROR(__xludf.DUMMYFUNCTION("GOOGLETRANSLATE(B317,""zh_cn"",""vi"")"),"Mã QR")</f>
        <v>Mã QR</v>
      </c>
      <c r="G317" s="20" t="s">
        <v>7558</v>
      </c>
      <c r="H317" s="6"/>
      <c r="I317" s="11" t="b">
        <f t="shared" si="2"/>
        <v>0</v>
      </c>
      <c r="J317" s="24"/>
      <c r="K317" s="11" t="b">
        <f t="shared" si="3"/>
        <v>0</v>
      </c>
    </row>
    <row r="318" ht="22.5" customHeight="1">
      <c r="A318" s="12">
        <f t="shared" si="4"/>
        <v>2316</v>
      </c>
      <c r="B318" s="30" t="s">
        <v>7559</v>
      </c>
      <c r="C318" s="7" t="str">
        <f t="shared" si="5"/>
        <v>🔊</v>
      </c>
      <c r="D318" s="8" t="s">
        <v>7560</v>
      </c>
      <c r="E318" s="6" t="s">
        <v>13</v>
      </c>
      <c r="F318" s="12" t="str">
        <f>IFERROR(__xludf.DUMMYFUNCTION("GOOGLETRANSLATE(B318,""zh_cn"",""vi"")"),"Hình phạt")</f>
        <v>Hình phạt</v>
      </c>
      <c r="G318" s="20" t="s">
        <v>7561</v>
      </c>
      <c r="H318" s="6"/>
      <c r="I318" s="11" t="b">
        <f t="shared" si="2"/>
        <v>0</v>
      </c>
      <c r="J318" s="24"/>
      <c r="K318" s="11" t="b">
        <f t="shared" si="3"/>
        <v>0</v>
      </c>
    </row>
    <row r="319" ht="22.5" customHeight="1">
      <c r="A319" s="12">
        <f t="shared" si="4"/>
        <v>2317</v>
      </c>
      <c r="B319" s="30" t="s">
        <v>7562</v>
      </c>
      <c r="C319" s="7" t="str">
        <f t="shared" si="5"/>
        <v>🔊</v>
      </c>
      <c r="D319" s="8" t="s">
        <v>7563</v>
      </c>
      <c r="E319" s="6" t="s">
        <v>13</v>
      </c>
      <c r="F319" s="12" t="str">
        <f>IFERROR(__xludf.DUMMYFUNCTION("GOOGLETRANSLATE(B319,""zh_cn"",""vi"")"),"Xuất bản")</f>
        <v>Xuất bản</v>
      </c>
      <c r="G319" s="20" t="s">
        <v>7564</v>
      </c>
      <c r="H319" s="6"/>
      <c r="I319" s="11" t="b">
        <f t="shared" si="2"/>
        <v>0</v>
      </c>
      <c r="J319" s="24"/>
      <c r="K319" s="11" t="b">
        <f t="shared" si="3"/>
        <v>0</v>
      </c>
    </row>
    <row r="320" ht="22.5" customHeight="1">
      <c r="A320" s="12">
        <f t="shared" si="4"/>
        <v>2318</v>
      </c>
      <c r="B320" s="30" t="s">
        <v>7565</v>
      </c>
      <c r="C320" s="7" t="str">
        <f t="shared" si="5"/>
        <v>🔊</v>
      </c>
      <c r="D320" s="8" t="s">
        <v>7566</v>
      </c>
      <c r="E320" s="6" t="s">
        <v>13</v>
      </c>
      <c r="F320" s="12" t="str">
        <f>IFERROR(__xludf.DUMMYFUNCTION("GOOGLETRANSLATE(B320,""zh_cn"",""vi"")"),"giải phóng")</f>
        <v>giải phóng</v>
      </c>
      <c r="G320" s="20" t="s">
        <v>7567</v>
      </c>
      <c r="H320" s="6"/>
      <c r="I320" s="11" t="b">
        <f t="shared" si="2"/>
        <v>0</v>
      </c>
      <c r="J320" s="24"/>
      <c r="K320" s="11" t="b">
        <f t="shared" si="3"/>
        <v>0</v>
      </c>
    </row>
    <row r="321" ht="22.5" customHeight="1">
      <c r="A321" s="12">
        <f t="shared" si="4"/>
        <v>2319</v>
      </c>
      <c r="B321" s="30" t="s">
        <v>7568</v>
      </c>
      <c r="C321" s="7" t="str">
        <f t="shared" si="5"/>
        <v>🔊</v>
      </c>
      <c r="D321" s="8" t="s">
        <v>7569</v>
      </c>
      <c r="E321" s="6" t="s">
        <v>416</v>
      </c>
      <c r="F321" s="12" t="str">
        <f>IFERROR(__xludf.DUMMYFUNCTION("GOOGLETRANSLATE(B321,""zh_cn"",""vi"")"),"đã phát triển")</f>
        <v>đã phát triển</v>
      </c>
      <c r="G321" s="20" t="s">
        <v>7570</v>
      </c>
      <c r="H321" s="6"/>
      <c r="I321" s="11" t="b">
        <f t="shared" si="2"/>
        <v>0</v>
      </c>
      <c r="J321" s="24"/>
      <c r="K321" s="11" t="b">
        <f t="shared" si="3"/>
        <v>0</v>
      </c>
    </row>
    <row r="322" ht="22.5" customHeight="1">
      <c r="A322" s="12">
        <f t="shared" si="4"/>
        <v>2320</v>
      </c>
      <c r="B322" s="30" t="s">
        <v>7571</v>
      </c>
      <c r="C322" s="7" t="str">
        <f t="shared" si="5"/>
        <v>🔊</v>
      </c>
      <c r="D322" s="8" t="s">
        <v>7572</v>
      </c>
      <c r="E322" s="6" t="s">
        <v>13</v>
      </c>
      <c r="F322" s="12" t="str">
        <f>IFERROR(__xludf.DUMMYFUNCTION("GOOGLETRANSLATE(B322,""zh_cn"",""vi"")"),"Chơi")</f>
        <v>Chơi</v>
      </c>
      <c r="G322" s="20" t="s">
        <v>7573</v>
      </c>
      <c r="H322" s="6"/>
      <c r="I322" s="11" t="b">
        <f t="shared" si="2"/>
        <v>0</v>
      </c>
      <c r="J322" s="24"/>
      <c r="K322" s="11" t="b">
        <f t="shared" si="3"/>
        <v>0</v>
      </c>
    </row>
    <row r="323" ht="22.5" customHeight="1">
      <c r="A323" s="12">
        <f t="shared" si="4"/>
        <v>2321</v>
      </c>
      <c r="B323" s="30" t="s">
        <v>7574</v>
      </c>
      <c r="C323" s="7" t="str">
        <f t="shared" si="5"/>
        <v>🔊</v>
      </c>
      <c r="D323" s="8" t="s">
        <v>7575</v>
      </c>
      <c r="E323" s="6" t="s">
        <v>232</v>
      </c>
      <c r="F323" s="12" t="str">
        <f>IFERROR(__xludf.DUMMYFUNCTION("GOOGLETRANSLATE(B323,""zh_cn"",""vi"")"),"khỏe")</f>
        <v>khỏe</v>
      </c>
      <c r="G323" s="20" t="s">
        <v>7576</v>
      </c>
      <c r="H323" s="6"/>
      <c r="I323" s="11" t="b">
        <f t="shared" si="2"/>
        <v>0</v>
      </c>
      <c r="J323" s="24"/>
      <c r="K323" s="11" t="b">
        <f t="shared" si="3"/>
        <v>0</v>
      </c>
    </row>
    <row r="324" ht="22.5" customHeight="1">
      <c r="A324" s="12">
        <f t="shared" si="4"/>
        <v>2322</v>
      </c>
      <c r="B324" s="30" t="s">
        <v>7577</v>
      </c>
      <c r="C324" s="7" t="str">
        <f t="shared" si="5"/>
        <v>🔊</v>
      </c>
      <c r="D324" s="8" t="s">
        <v>7578</v>
      </c>
      <c r="E324" s="6" t="s">
        <v>232</v>
      </c>
      <c r="F324" s="12" t="str">
        <f>IFERROR(__xludf.DUMMYFUNCTION("GOOGLETRANSLATE(B324,""zh_cn"",""vi"")"),"sự phát minh")</f>
        <v>sự phát minh</v>
      </c>
      <c r="G324" s="20" t="s">
        <v>7579</v>
      </c>
      <c r="H324" s="6"/>
      <c r="I324" s="11" t="b">
        <f t="shared" si="2"/>
        <v>0</v>
      </c>
      <c r="J324" s="24"/>
      <c r="K324" s="11" t="b">
        <f t="shared" si="3"/>
        <v>0</v>
      </c>
    </row>
    <row r="325" ht="22.5" customHeight="1">
      <c r="A325" s="12">
        <f t="shared" si="4"/>
        <v>2323</v>
      </c>
      <c r="B325" s="30" t="s">
        <v>7580</v>
      </c>
      <c r="C325" s="7" t="str">
        <f t="shared" si="5"/>
        <v>🔊</v>
      </c>
      <c r="D325" s="8" t="s">
        <v>7581</v>
      </c>
      <c r="E325" s="6" t="s">
        <v>7582</v>
      </c>
      <c r="F325" s="12" t="str">
        <f>IFERROR(__xludf.DUMMYFUNCTION("GOOGLETRANSLATE(B325,""zh_cn"",""vi"")"),"đối diện")</f>
        <v>đối diện</v>
      </c>
      <c r="G325" s="20" t="s">
        <v>7583</v>
      </c>
      <c r="H325" s="6"/>
      <c r="I325" s="11" t="b">
        <f t="shared" si="2"/>
        <v>0</v>
      </c>
      <c r="J325" s="24"/>
      <c r="K325" s="11" t="b">
        <f t="shared" si="3"/>
        <v>0</v>
      </c>
    </row>
    <row r="326" ht="22.5" customHeight="1">
      <c r="A326" s="12">
        <f t="shared" si="4"/>
        <v>2324</v>
      </c>
      <c r="B326" s="30" t="s">
        <v>7584</v>
      </c>
      <c r="C326" s="7" t="str">
        <f t="shared" si="5"/>
        <v>🔊</v>
      </c>
      <c r="D326" s="8" t="s">
        <v>7585</v>
      </c>
      <c r="E326" s="6" t="s">
        <v>13</v>
      </c>
      <c r="F326" s="12" t="str">
        <f>IFERROR(__xludf.DUMMYFUNCTION("GOOGLETRANSLATE(B326,""zh_cn"",""vi"")"),"xoay")</f>
        <v>xoay</v>
      </c>
      <c r="G326" s="20" t="s">
        <v>7586</v>
      </c>
      <c r="H326" s="6"/>
      <c r="I326" s="11" t="b">
        <f t="shared" si="2"/>
        <v>0</v>
      </c>
      <c r="J326" s="24"/>
      <c r="K326" s="11" t="b">
        <f t="shared" si="3"/>
        <v>0</v>
      </c>
    </row>
    <row r="327" ht="22.5" customHeight="1">
      <c r="A327" s="12">
        <f t="shared" si="4"/>
        <v>2325</v>
      </c>
      <c r="B327" s="30" t="s">
        <v>7587</v>
      </c>
      <c r="C327" s="7" t="str">
        <f t="shared" si="5"/>
        <v>🔊</v>
      </c>
      <c r="D327" s="8" t="s">
        <v>7588</v>
      </c>
      <c r="E327" s="6" t="s">
        <v>61</v>
      </c>
      <c r="F327" s="12" t="str">
        <f>IFERROR(__xludf.DUMMYFUNCTION("GOOGLETRANSLATE(B327,""zh_cn"",""vi"")"),"thay vì")</f>
        <v>thay vì</v>
      </c>
      <c r="G327" s="20" t="s">
        <v>7589</v>
      </c>
      <c r="H327" s="6"/>
      <c r="I327" s="11" t="b">
        <f t="shared" si="2"/>
        <v>0</v>
      </c>
      <c r="J327" s="24"/>
      <c r="K327" s="11" t="b">
        <f t="shared" si="3"/>
        <v>0</v>
      </c>
    </row>
    <row r="328" ht="22.5" customHeight="1">
      <c r="A328" s="12">
        <f t="shared" si="4"/>
        <v>2326</v>
      </c>
      <c r="B328" s="30" t="s">
        <v>7590</v>
      </c>
      <c r="C328" s="7" t="str">
        <f t="shared" si="5"/>
        <v>🔊</v>
      </c>
      <c r="D328" s="8" t="s">
        <v>7591</v>
      </c>
      <c r="E328" s="6" t="s">
        <v>7592</v>
      </c>
      <c r="F328" s="12" t="str">
        <f>IFERROR(__xludf.DUMMYFUNCTION("GOOGLETRANSLATE(B328,""zh_cn"",""vi"")"),"lặp đi lặp lại")</f>
        <v>lặp đi lặp lại</v>
      </c>
      <c r="G328" s="20" t="s">
        <v>7593</v>
      </c>
      <c r="H328" s="6"/>
      <c r="I328" s="11" t="b">
        <f t="shared" si="2"/>
        <v>0</v>
      </c>
      <c r="J328" s="24"/>
      <c r="K328" s="11" t="b">
        <f t="shared" si="3"/>
        <v>0</v>
      </c>
    </row>
    <row r="329" ht="22.5" customHeight="1">
      <c r="A329" s="12">
        <f t="shared" si="4"/>
        <v>2327</v>
      </c>
      <c r="B329" s="30" t="s">
        <v>7594</v>
      </c>
      <c r="C329" s="7" t="str">
        <f t="shared" si="5"/>
        <v>🔊</v>
      </c>
      <c r="D329" s="8" t="s">
        <v>7595</v>
      </c>
      <c r="E329" s="6" t="s">
        <v>13</v>
      </c>
      <c r="F329" s="12" t="str">
        <f>IFERROR(__xludf.DUMMYFUNCTION("GOOGLETRANSLATE(B329,""zh_cn"",""vi"")"),"Phòng vệ")</f>
        <v>Phòng vệ</v>
      </c>
      <c r="G329" s="20" t="s">
        <v>7596</v>
      </c>
      <c r="H329" s="6"/>
      <c r="I329" s="11" t="b">
        <f t="shared" si="2"/>
        <v>0</v>
      </c>
      <c r="J329" s="24"/>
      <c r="K329" s="11" t="b">
        <f t="shared" si="3"/>
        <v>0</v>
      </c>
    </row>
    <row r="330" ht="22.5" customHeight="1">
      <c r="A330" s="12">
        <f t="shared" si="4"/>
        <v>2328</v>
      </c>
      <c r="B330" s="30" t="s">
        <v>7597</v>
      </c>
      <c r="C330" s="7" t="str">
        <f t="shared" si="5"/>
        <v>🔊</v>
      </c>
      <c r="D330" s="8" t="s">
        <v>7598</v>
      </c>
      <c r="E330" s="6" t="s">
        <v>1164</v>
      </c>
      <c r="F330" s="12" t="str">
        <f>IFERROR(__xludf.DUMMYFUNCTION("GOOGLETRANSLATE(B330,""zh_cn"",""vi"")"),"quảng trường")</f>
        <v>quảng trường</v>
      </c>
      <c r="H330" s="6"/>
      <c r="I330" s="11" t="b">
        <f t="shared" si="2"/>
        <v>0</v>
      </c>
      <c r="J330" s="24"/>
      <c r="K330" s="11" t="b">
        <f t="shared" si="3"/>
        <v>0</v>
      </c>
    </row>
    <row r="331" ht="22.5" customHeight="1">
      <c r="A331" s="12">
        <f t="shared" si="4"/>
        <v>2329</v>
      </c>
      <c r="B331" s="30" t="s">
        <v>7599</v>
      </c>
      <c r="C331" s="7" t="str">
        <f t="shared" si="5"/>
        <v>🔊</v>
      </c>
      <c r="D331" s="8" t="s">
        <v>7600</v>
      </c>
      <c r="E331" s="6" t="s">
        <v>27</v>
      </c>
      <c r="F331" s="12" t="str">
        <f>IFERROR(__xludf.DUMMYFUNCTION("GOOGLETRANSLATE(B331,""zh_cn"",""vi"")"),"kế hoạch")</f>
        <v>kế hoạch</v>
      </c>
      <c r="G331" s="20" t="s">
        <v>7601</v>
      </c>
      <c r="H331" s="6"/>
      <c r="I331" s="11" t="b">
        <f t="shared" si="2"/>
        <v>0</v>
      </c>
      <c r="J331" s="24"/>
      <c r="K331" s="11" t="b">
        <f t="shared" si="3"/>
        <v>0</v>
      </c>
    </row>
    <row r="332" ht="22.5" customHeight="1">
      <c r="A332" s="12">
        <f t="shared" si="4"/>
        <v>2330</v>
      </c>
      <c r="B332" s="30" t="s">
        <v>7602</v>
      </c>
      <c r="C332" s="7" t="str">
        <f t="shared" si="5"/>
        <v>🔊</v>
      </c>
      <c r="D332" s="8" t="s">
        <v>7603</v>
      </c>
      <c r="E332" s="6" t="s">
        <v>61</v>
      </c>
      <c r="F332" s="12" t="str">
        <f>IFERROR(__xludf.DUMMYFUNCTION("GOOGLETRANSLATE(B332,""zh_cn"",""vi"")"),"như thể")</f>
        <v>như thể</v>
      </c>
      <c r="G332" s="20" t="s">
        <v>7604</v>
      </c>
      <c r="H332" s="6"/>
      <c r="I332" s="11" t="b">
        <f t="shared" si="2"/>
        <v>0</v>
      </c>
      <c r="J332" s="24"/>
      <c r="K332" s="11" t="b">
        <f t="shared" si="3"/>
        <v>0</v>
      </c>
    </row>
    <row r="333" ht="22.5" customHeight="1">
      <c r="A333" s="12">
        <f t="shared" si="4"/>
        <v>2331</v>
      </c>
      <c r="B333" s="30" t="s">
        <v>7605</v>
      </c>
      <c r="C333" s="7" t="str">
        <f t="shared" si="5"/>
        <v>🔊</v>
      </c>
      <c r="D333" s="8" t="s">
        <v>7606</v>
      </c>
      <c r="E333" s="6" t="s">
        <v>13</v>
      </c>
      <c r="F333" s="12" t="str">
        <f>IFERROR(__xludf.DUMMYFUNCTION("GOOGLETRANSLATE(B333,""zh_cn"",""vi"")"),"truy cập")</f>
        <v>truy cập</v>
      </c>
      <c r="G333" s="20" t="s">
        <v>7607</v>
      </c>
      <c r="H333" s="6"/>
      <c r="I333" s="11" t="b">
        <f t="shared" si="2"/>
        <v>0</v>
      </c>
      <c r="J333" s="24"/>
      <c r="K333" s="11" t="b">
        <f t="shared" si="3"/>
        <v>0</v>
      </c>
    </row>
    <row r="334" ht="22.5" customHeight="1">
      <c r="A334" s="12">
        <f t="shared" si="4"/>
        <v>2332</v>
      </c>
      <c r="B334" s="30" t="s">
        <v>7608</v>
      </c>
      <c r="C334" s="7" t="str">
        <f t="shared" si="5"/>
        <v>🔊</v>
      </c>
      <c r="D334" s="8" t="s">
        <v>7609</v>
      </c>
      <c r="E334" s="6" t="s">
        <v>27</v>
      </c>
      <c r="F334" s="12" t="str">
        <f>IFERROR(__xludf.DUMMYFUNCTION("GOOGLETRANSLATE(B334,""zh_cn"",""vi"")"),"nhà cửa")</f>
        <v>nhà cửa</v>
      </c>
      <c r="G334" s="20" t="s">
        <v>7610</v>
      </c>
      <c r="H334" s="6"/>
      <c r="I334" s="11" t="b">
        <f t="shared" si="2"/>
        <v>0</v>
      </c>
      <c r="J334" s="24"/>
      <c r="K334" s="11" t="b">
        <f t="shared" si="3"/>
        <v>0</v>
      </c>
    </row>
    <row r="335" ht="22.5" customHeight="1">
      <c r="A335" s="12">
        <f t="shared" si="4"/>
        <v>2333</v>
      </c>
      <c r="B335" s="30" t="s">
        <v>7611</v>
      </c>
      <c r="C335" s="7" t="str">
        <f t="shared" si="5"/>
        <v>🔊</v>
      </c>
      <c r="D335" s="8" t="s">
        <v>7612</v>
      </c>
      <c r="E335" s="6" t="s">
        <v>13</v>
      </c>
      <c r="F335" s="12" t="str">
        <f>IFERROR(__xludf.DUMMYFUNCTION("GOOGLETRANSLATE(B335,""zh_cn"",""vi"")"),"ngăn chặn")</f>
        <v>ngăn chặn</v>
      </c>
      <c r="G335" s="20" t="s">
        <v>7613</v>
      </c>
      <c r="H335" s="6"/>
      <c r="I335" s="11" t="b">
        <f t="shared" si="2"/>
        <v>0</v>
      </c>
      <c r="J335" s="24"/>
      <c r="K335" s="11" t="b">
        <f t="shared" si="3"/>
        <v>0</v>
      </c>
    </row>
    <row r="336" ht="22.5" customHeight="1">
      <c r="A336" s="12">
        <f t="shared" si="4"/>
        <v>2334</v>
      </c>
      <c r="B336" s="30" t="s">
        <v>7614</v>
      </c>
      <c r="C336" s="7" t="str">
        <f t="shared" si="5"/>
        <v>🔊</v>
      </c>
      <c r="D336" s="8" t="s">
        <v>7615</v>
      </c>
      <c r="E336" s="6" t="s">
        <v>13</v>
      </c>
      <c r="F336" s="12" t="str">
        <f>IFERROR(__xludf.DUMMYFUNCTION("GOOGLETRANSLATE(B336,""zh_cn"",""vi"")"),"trở lại")</f>
        <v>trở lại</v>
      </c>
      <c r="G336" s="20" t="s">
        <v>7616</v>
      </c>
      <c r="H336" s="6"/>
      <c r="I336" s="11" t="b">
        <f t="shared" si="2"/>
        <v>0</v>
      </c>
      <c r="J336" s="24"/>
      <c r="K336" s="11" t="b">
        <f t="shared" si="3"/>
        <v>0</v>
      </c>
    </row>
    <row r="337" ht="22.5" customHeight="1">
      <c r="A337" s="12">
        <f t="shared" si="4"/>
        <v>2335</v>
      </c>
      <c r="B337" s="30" t="s">
        <v>7617</v>
      </c>
      <c r="C337" s="7" t="str">
        <f t="shared" si="5"/>
        <v>🔊</v>
      </c>
      <c r="D337" s="8" t="s">
        <v>7618</v>
      </c>
      <c r="E337" s="6" t="s">
        <v>27</v>
      </c>
      <c r="F337" s="12" t="str">
        <f>IFERROR(__xludf.DUMMYFUNCTION("GOOGLETRANSLATE(B337,""zh_cn"",""vi"")"),"cà chua")</f>
        <v>cà chua</v>
      </c>
      <c r="G337" s="20" t="s">
        <v>7619</v>
      </c>
      <c r="H337" s="6"/>
      <c r="I337" s="11" t="b">
        <f t="shared" si="2"/>
        <v>0</v>
      </c>
      <c r="J337" s="24"/>
      <c r="K337" s="11" t="b">
        <f t="shared" si="3"/>
        <v>0</v>
      </c>
    </row>
    <row r="338" ht="22.5" customHeight="1">
      <c r="A338" s="12">
        <f t="shared" si="4"/>
        <v>2336</v>
      </c>
      <c r="B338" s="30" t="s">
        <v>7620</v>
      </c>
      <c r="C338" s="7" t="str">
        <f t="shared" si="5"/>
        <v>🔊</v>
      </c>
      <c r="D338" s="8" t="s">
        <v>7621</v>
      </c>
      <c r="E338" s="6" t="s">
        <v>416</v>
      </c>
      <c r="F338" s="12" t="str">
        <f>IFERROR(__xludf.DUMMYFUNCTION("GOOGLETRANSLATE(B338,""zh_cn"",""vi"")"),"Sự phồn vinh")</f>
        <v>Sự phồn vinh</v>
      </c>
      <c r="G338" s="20" t="s">
        <v>7622</v>
      </c>
      <c r="H338" s="6"/>
      <c r="I338" s="11" t="b">
        <f t="shared" si="2"/>
        <v>0</v>
      </c>
      <c r="J338" s="24"/>
      <c r="K338" s="11" t="b">
        <f t="shared" si="3"/>
        <v>0</v>
      </c>
    </row>
    <row r="339" ht="22.5" customHeight="1">
      <c r="A339" s="12">
        <f t="shared" si="4"/>
        <v>2337</v>
      </c>
      <c r="B339" s="30" t="s">
        <v>7623</v>
      </c>
      <c r="C339" s="7" t="str">
        <f t="shared" si="5"/>
        <v>🔊</v>
      </c>
      <c r="D339" s="8" t="s">
        <v>7624</v>
      </c>
      <c r="E339" s="6" t="s">
        <v>27</v>
      </c>
      <c r="F339" s="12" t="str">
        <f>IFERROR(__xludf.DUMMYFUNCTION("GOOGLETRANSLATE(B339,""zh_cn"",""vi"")"),"phạm vi")</f>
        <v>phạm vi</v>
      </c>
      <c r="G339" s="20" t="s">
        <v>7625</v>
      </c>
      <c r="H339" s="6"/>
      <c r="I339" s="11" t="b">
        <f t="shared" si="2"/>
        <v>0</v>
      </c>
      <c r="J339" s="24"/>
      <c r="K339" s="11" t="b">
        <f t="shared" si="3"/>
        <v>0</v>
      </c>
    </row>
    <row r="340" ht="22.5" customHeight="1">
      <c r="A340" s="12">
        <f t="shared" si="4"/>
        <v>2338</v>
      </c>
      <c r="B340" s="30" t="s">
        <v>7626</v>
      </c>
      <c r="C340" s="7" t="str">
        <f t="shared" si="5"/>
        <v>🔊</v>
      </c>
      <c r="D340" s="8" t="s">
        <v>7627</v>
      </c>
      <c r="E340" s="6" t="s">
        <v>232</v>
      </c>
      <c r="F340" s="12" t="str">
        <f>IFERROR(__xludf.DUMMYFUNCTION("GOOGLETRANSLATE(B340,""zh_cn"",""vi"")"),"sự phản ứng lại")</f>
        <v>sự phản ứng lại</v>
      </c>
      <c r="G340" s="20" t="s">
        <v>7628</v>
      </c>
      <c r="H340" s="6"/>
      <c r="I340" s="11" t="b">
        <f t="shared" si="2"/>
        <v>0</v>
      </c>
      <c r="J340" s="24"/>
      <c r="K340" s="11" t="b">
        <f t="shared" si="3"/>
        <v>0</v>
      </c>
    </row>
    <row r="341" ht="22.5" customHeight="1">
      <c r="A341" s="12">
        <f t="shared" si="4"/>
        <v>2339</v>
      </c>
      <c r="B341" s="30" t="s">
        <v>7629</v>
      </c>
      <c r="C341" s="7" t="str">
        <f t="shared" si="5"/>
        <v>🔊</v>
      </c>
      <c r="D341" s="8" t="s">
        <v>7627</v>
      </c>
      <c r="E341" s="6" t="s">
        <v>13</v>
      </c>
      <c r="F341" s="12" t="str">
        <f>IFERROR(__xludf.DUMMYFUNCTION("GOOGLETRANSLATE(B341,""zh_cn"",""vi"")"),"phản ánh")</f>
        <v>phản ánh</v>
      </c>
      <c r="G341" s="20" t="s">
        <v>7630</v>
      </c>
      <c r="H341" s="6"/>
      <c r="I341" s="11" t="b">
        <f t="shared" si="2"/>
        <v>0</v>
      </c>
      <c r="J341" s="24"/>
      <c r="K341" s="11" t="b">
        <f t="shared" si="3"/>
        <v>0</v>
      </c>
    </row>
    <row r="342" ht="22.5" customHeight="1">
      <c r="A342" s="12">
        <f t="shared" si="4"/>
        <v>2340</v>
      </c>
      <c r="B342" s="30" t="s">
        <v>7631</v>
      </c>
      <c r="C342" s="7" t="str">
        <f t="shared" si="5"/>
        <v>🔊</v>
      </c>
      <c r="D342" s="8" t="s">
        <v>7632</v>
      </c>
      <c r="E342" s="6" t="s">
        <v>61</v>
      </c>
      <c r="F342" s="12" t="str">
        <f>IFERROR(__xludf.DUMMYFUNCTION("GOOGLETRANSLATE(B342,""zh_cn"",""vi"")"),"Dù sao")</f>
        <v>Dù sao</v>
      </c>
      <c r="G342" s="20" t="s">
        <v>7633</v>
      </c>
      <c r="H342" s="6"/>
      <c r="I342" s="11" t="b">
        <f t="shared" si="2"/>
        <v>0</v>
      </c>
      <c r="J342" s="24"/>
      <c r="K342" s="11" t="b">
        <f t="shared" si="3"/>
        <v>0</v>
      </c>
    </row>
    <row r="343" ht="22.5" customHeight="1">
      <c r="A343" s="12">
        <f t="shared" si="4"/>
        <v>2341</v>
      </c>
      <c r="B343" s="30" t="s">
        <v>7634</v>
      </c>
      <c r="C343" s="7" t="str">
        <f t="shared" si="5"/>
        <v>🔊</v>
      </c>
      <c r="D343" s="8" t="s">
        <v>7635</v>
      </c>
      <c r="E343" s="6" t="s">
        <v>13</v>
      </c>
      <c r="F343" s="12" t="str">
        <f>IFERROR(__xludf.DUMMYFUNCTION("GOOGLETRANSLATE(B343,""zh_cn"",""vi"")"),"Bắt đầu")</f>
        <v>Bắt đầu</v>
      </c>
      <c r="G343" s="20" t="s">
        <v>7636</v>
      </c>
      <c r="H343" s="6"/>
      <c r="I343" s="11" t="b">
        <f t="shared" si="2"/>
        <v>0</v>
      </c>
      <c r="J343" s="24"/>
      <c r="K343" s="11" t="b">
        <f t="shared" si="3"/>
        <v>0</v>
      </c>
    </row>
    <row r="344" ht="22.5" customHeight="1">
      <c r="A344" s="12">
        <f t="shared" si="4"/>
        <v>2342</v>
      </c>
      <c r="B344" s="30" t="s">
        <v>7637</v>
      </c>
      <c r="C344" s="7" t="str">
        <f t="shared" si="5"/>
        <v>🔊</v>
      </c>
      <c r="D344" s="8" t="s">
        <v>7638</v>
      </c>
      <c r="E344" s="6" t="s">
        <v>232</v>
      </c>
      <c r="F344" s="12" t="str">
        <f>IFERROR(__xludf.DUMMYFUNCTION("GOOGLETRANSLATE(B344,""zh_cn"",""vi"")"),"Lời nói")</f>
        <v>Lời nói</v>
      </c>
      <c r="G344" s="20" t="s">
        <v>7639</v>
      </c>
      <c r="H344" s="6"/>
      <c r="I344" s="11" t="b">
        <f t="shared" si="2"/>
        <v>0</v>
      </c>
      <c r="J344" s="24"/>
      <c r="K344" s="11" t="b">
        <f t="shared" si="3"/>
        <v>0</v>
      </c>
    </row>
    <row r="345" ht="22.5" customHeight="1">
      <c r="A345" s="12">
        <f t="shared" si="4"/>
        <v>2343</v>
      </c>
      <c r="B345" s="30" t="s">
        <v>7640</v>
      </c>
      <c r="C345" s="7" t="str">
        <f t="shared" si="5"/>
        <v>🔊</v>
      </c>
      <c r="D345" s="8" t="s">
        <v>7641</v>
      </c>
      <c r="E345" s="6" t="s">
        <v>232</v>
      </c>
      <c r="F345" s="12" t="str">
        <f>IFERROR(__xludf.DUMMYFUNCTION("GOOGLETRANSLATE(B345,""zh_cn"",""vi"")"),"phát âm")</f>
        <v>phát âm</v>
      </c>
      <c r="G345" s="20" t="s">
        <v>7642</v>
      </c>
      <c r="H345" s="6"/>
      <c r="I345" s="11" t="b">
        <f t="shared" si="2"/>
        <v>0</v>
      </c>
      <c r="J345" s="24"/>
      <c r="K345" s="11" t="b">
        <f t="shared" si="3"/>
        <v>0</v>
      </c>
    </row>
    <row r="346" ht="22.5" customHeight="1">
      <c r="A346" s="12">
        <f t="shared" si="4"/>
        <v>2344</v>
      </c>
      <c r="B346" s="30" t="s">
        <v>7643</v>
      </c>
      <c r="C346" s="7" t="str">
        <f t="shared" si="5"/>
        <v>🔊</v>
      </c>
      <c r="D346" s="8" t="s">
        <v>7644</v>
      </c>
      <c r="E346" s="6" t="s">
        <v>27</v>
      </c>
      <c r="F346" s="12" t="str">
        <f>IFERROR(__xludf.DUMMYFUNCTION("GOOGLETRANSLATE(B346,""zh_cn"",""vi"")"),"tòa án")</f>
        <v>tòa án</v>
      </c>
      <c r="G346" s="20" t="s">
        <v>7645</v>
      </c>
      <c r="H346" s="6"/>
      <c r="I346" s="11" t="b">
        <f t="shared" si="2"/>
        <v>0</v>
      </c>
      <c r="J346" s="24"/>
      <c r="K346" s="11" t="b">
        <f t="shared" si="3"/>
        <v>0</v>
      </c>
    </row>
    <row r="347" ht="22.5" customHeight="1">
      <c r="A347" s="12">
        <f t="shared" si="4"/>
        <v>2345</v>
      </c>
      <c r="B347" s="30" t="s">
        <v>7646</v>
      </c>
      <c r="C347" s="7" t="str">
        <f t="shared" si="5"/>
        <v>🔊</v>
      </c>
      <c r="D347" s="8" t="s">
        <v>7647</v>
      </c>
      <c r="E347" s="6" t="s">
        <v>13</v>
      </c>
      <c r="F347" s="12" t="str">
        <f>IFERROR(__xludf.DUMMYFUNCTION("GOOGLETRANSLATE(B347,""zh_cn"",""vi"")"),"chuyến bay")</f>
        <v>chuyến bay</v>
      </c>
      <c r="G347" s="20" t="s">
        <v>7648</v>
      </c>
      <c r="H347" s="6"/>
      <c r="I347" s="11" t="b">
        <f t="shared" si="2"/>
        <v>0</v>
      </c>
      <c r="J347" s="24"/>
      <c r="K347" s="11" t="b">
        <f t="shared" si="3"/>
        <v>0</v>
      </c>
    </row>
    <row r="348" ht="22.5" customHeight="1">
      <c r="A348" s="12">
        <f t="shared" si="4"/>
        <v>2346</v>
      </c>
      <c r="B348" s="30" t="s">
        <v>7649</v>
      </c>
      <c r="C348" s="7" t="str">
        <f t="shared" si="5"/>
        <v>🔊</v>
      </c>
      <c r="D348" s="8" t="s">
        <v>7650</v>
      </c>
      <c r="E348" s="6" t="s">
        <v>27</v>
      </c>
      <c r="F348" s="12" t="str">
        <f>IFERROR(__xludf.DUMMYFUNCTION("GOOGLETRANSLATE(B348,""zh_cn"",""vi"")"),"phi công")</f>
        <v>phi công</v>
      </c>
      <c r="G348" s="20" t="s">
        <v>7651</v>
      </c>
      <c r="H348" s="6"/>
      <c r="I348" s="11" t="b">
        <f t="shared" si="2"/>
        <v>0</v>
      </c>
      <c r="J348" s="24"/>
      <c r="K348" s="11" t="b">
        <f t="shared" si="3"/>
        <v>0</v>
      </c>
    </row>
    <row r="349" ht="22.5" customHeight="1">
      <c r="A349" s="12">
        <f t="shared" si="4"/>
        <v>2347</v>
      </c>
      <c r="B349" s="30" t="s">
        <v>7652</v>
      </c>
      <c r="C349" s="7" t="str">
        <f t="shared" si="5"/>
        <v>🔊</v>
      </c>
      <c r="D349" s="8" t="s">
        <v>7653</v>
      </c>
      <c r="E349" s="6" t="s">
        <v>27</v>
      </c>
      <c r="F349" s="12" t="str">
        <f>IFERROR(__xludf.DUMMYFUNCTION("GOOGLETRANSLATE(B349,""zh_cn"",""vi"")"),"Châu phi")</f>
        <v>Châu phi</v>
      </c>
      <c r="G349" s="20" t="s">
        <v>7654</v>
      </c>
      <c r="H349" s="6"/>
      <c r="I349" s="11" t="b">
        <f t="shared" si="2"/>
        <v>0</v>
      </c>
      <c r="J349" s="24"/>
      <c r="K349" s="11" t="b">
        <f t="shared" si="3"/>
        <v>0</v>
      </c>
    </row>
    <row r="350" ht="22.5" customHeight="1">
      <c r="A350" s="12">
        <f t="shared" si="4"/>
        <v>2348</v>
      </c>
      <c r="B350" s="30" t="s">
        <v>7655</v>
      </c>
      <c r="C350" s="7" t="str">
        <f t="shared" si="5"/>
        <v>🔊</v>
      </c>
      <c r="D350" s="8" t="s">
        <v>7656</v>
      </c>
      <c r="E350" s="6" t="s">
        <v>7657</v>
      </c>
      <c r="F350" s="12" t="str">
        <f>IFERROR(__xludf.DUMMYFUNCTION("GOOGLETRANSLATE(B350,""zh_cn"",""vi"")"),"tương ứng")</f>
        <v>tương ứng</v>
      </c>
      <c r="G350" s="20" t="s">
        <v>7658</v>
      </c>
      <c r="H350" s="6"/>
      <c r="I350" s="11" t="b">
        <f t="shared" si="2"/>
        <v>0</v>
      </c>
      <c r="J350" s="24"/>
      <c r="K350" s="11" t="b">
        <f t="shared" si="3"/>
        <v>0</v>
      </c>
    </row>
    <row r="351" ht="22.5" customHeight="1">
      <c r="A351" s="12">
        <f t="shared" si="4"/>
        <v>2349</v>
      </c>
      <c r="B351" s="30" t="s">
        <v>7659</v>
      </c>
      <c r="C351" s="7" t="str">
        <f t="shared" si="5"/>
        <v>🔊</v>
      </c>
      <c r="D351" s="8" t="s">
        <v>7660</v>
      </c>
      <c r="E351" s="6" t="s">
        <v>13</v>
      </c>
      <c r="F351" s="12" t="str">
        <f>IFERROR(__xludf.DUMMYFUNCTION("GOOGLETRANSLATE(B351,""zh_cn"",""vi"")"),"phân phối")</f>
        <v>phân phối</v>
      </c>
      <c r="G351" s="20" t="s">
        <v>7661</v>
      </c>
      <c r="H351" s="6"/>
      <c r="I351" s="11" t="b">
        <f t="shared" si="2"/>
        <v>0</v>
      </c>
      <c r="J351" s="24"/>
      <c r="K351" s="11" t="b">
        <f t="shared" si="3"/>
        <v>0</v>
      </c>
    </row>
    <row r="352" ht="22.5" customHeight="1">
      <c r="A352" s="12">
        <f t="shared" si="4"/>
        <v>2350</v>
      </c>
      <c r="B352" s="30" t="s">
        <v>7662</v>
      </c>
      <c r="C352" s="7" t="str">
        <f t="shared" si="5"/>
        <v>🔊</v>
      </c>
      <c r="D352" s="8" t="s">
        <v>7663</v>
      </c>
      <c r="E352" s="6" t="s">
        <v>13</v>
      </c>
      <c r="F352" s="12" t="str">
        <f>IFERROR(__xludf.DUMMYFUNCTION("GOOGLETRANSLATE(B352,""zh_cn"",""vi"")"),"đấu tranh ")</f>
        <v>đấu tranh </v>
      </c>
      <c r="G352" s="20" t="s">
        <v>7664</v>
      </c>
      <c r="H352" s="6"/>
      <c r="I352" s="11" t="b">
        <f t="shared" si="2"/>
        <v>0</v>
      </c>
      <c r="J352" s="24"/>
      <c r="K352" s="11" t="b">
        <f t="shared" si="3"/>
        <v>0</v>
      </c>
    </row>
    <row r="353" ht="22.5" customHeight="1">
      <c r="A353" s="12">
        <f t="shared" si="4"/>
        <v>2351</v>
      </c>
      <c r="B353" s="30" t="s">
        <v>7665</v>
      </c>
      <c r="C353" s="7" t="str">
        <f t="shared" si="5"/>
        <v>🔊</v>
      </c>
      <c r="D353" s="8" t="s">
        <v>7666</v>
      </c>
      <c r="E353" s="6" t="s">
        <v>1308</v>
      </c>
      <c r="F353" s="12" t="str">
        <f>IFERROR(__xludf.DUMMYFUNCTION("GOOGLETRANSLATE(B353,""zh_cn"",""vi"")"),"Hết cái này đến cái khác")</f>
        <v>Hết cái này đến cái khác</v>
      </c>
      <c r="G353" s="20" t="s">
        <v>7667</v>
      </c>
      <c r="H353" s="6"/>
      <c r="I353" s="11" t="b">
        <f t="shared" si="2"/>
        <v>0</v>
      </c>
      <c r="J353" s="24"/>
      <c r="K353" s="11" t="b">
        <f t="shared" si="3"/>
        <v>0</v>
      </c>
    </row>
    <row r="354" ht="22.5" customHeight="1">
      <c r="A354" s="12">
        <f t="shared" si="4"/>
        <v>2352</v>
      </c>
      <c r="B354" s="30" t="s">
        <v>7668</v>
      </c>
      <c r="C354" s="7" t="str">
        <f t="shared" si="5"/>
        <v>🔊</v>
      </c>
      <c r="D354" s="8" t="s">
        <v>7669</v>
      </c>
      <c r="E354" s="14"/>
      <c r="F354" s="12" t="str">
        <f>IFERROR(__xludf.DUMMYFUNCTION("GOOGLETRANSLATE(B354,""zh_cn"",""vi"")"),"Phong phú và đầy màu sắc")</f>
        <v>Phong phú và đầy màu sắc</v>
      </c>
      <c r="G354" s="20" t="s">
        <v>7670</v>
      </c>
      <c r="H354" s="6"/>
      <c r="I354" s="11" t="b">
        <f t="shared" si="2"/>
        <v>0</v>
      </c>
      <c r="J354" s="24"/>
      <c r="K354" s="11" t="b">
        <f t="shared" si="3"/>
        <v>0</v>
      </c>
    </row>
    <row r="355" ht="22.5" customHeight="1">
      <c r="A355" s="12">
        <f t="shared" si="4"/>
        <v>2353</v>
      </c>
      <c r="B355" s="30" t="s">
        <v>7671</v>
      </c>
      <c r="C355" s="7" t="str">
        <f t="shared" si="5"/>
        <v>🔊</v>
      </c>
      <c r="D355" s="8" t="s">
        <v>7672</v>
      </c>
      <c r="E355" s="6" t="s">
        <v>27</v>
      </c>
      <c r="F355" s="12" t="str">
        <f>IFERROR(__xludf.DUMMYFUNCTION("GOOGLETRANSLATE(B355,""zh_cn"",""vi"")"),"phong cách")</f>
        <v>phong cách</v>
      </c>
      <c r="G355" s="20" t="s">
        <v>7673</v>
      </c>
      <c r="H355" s="6"/>
      <c r="I355" s="11" t="b">
        <f t="shared" si="2"/>
        <v>0</v>
      </c>
      <c r="J355" s="24"/>
      <c r="K355" s="11" t="b">
        <f t="shared" si="3"/>
        <v>0</v>
      </c>
    </row>
    <row r="356" ht="22.5" customHeight="1">
      <c r="A356" s="12">
        <f t="shared" si="4"/>
        <v>2354</v>
      </c>
      <c r="B356" s="30" t="s">
        <v>7674</v>
      </c>
      <c r="C356" s="7" t="str">
        <f t="shared" si="5"/>
        <v>🔊</v>
      </c>
      <c r="D356" s="8" t="s">
        <v>7675</v>
      </c>
      <c r="E356" s="6" t="s">
        <v>99</v>
      </c>
      <c r="F356" s="12" t="str">
        <f>IFERROR(__xludf.DUMMYFUNCTION("GOOGLETRANSLATE(B356,""zh_cn"",""vi"")"),"điên")</f>
        <v>điên</v>
      </c>
      <c r="G356" s="20" t="s">
        <v>7676</v>
      </c>
      <c r="H356" s="6"/>
      <c r="I356" s="11" t="b">
        <f t="shared" si="2"/>
        <v>0</v>
      </c>
      <c r="J356" s="24"/>
      <c r="K356" s="11" t="b">
        <f t="shared" si="3"/>
        <v>0</v>
      </c>
    </row>
    <row r="357" ht="22.5" customHeight="1">
      <c r="A357" s="12">
        <f t="shared" si="4"/>
        <v>2355</v>
      </c>
      <c r="B357" s="30" t="s">
        <v>7677</v>
      </c>
      <c r="C357" s="7" t="str">
        <f t="shared" si="5"/>
        <v>🔊</v>
      </c>
      <c r="D357" s="8" t="s">
        <v>7678</v>
      </c>
      <c r="E357" s="6" t="s">
        <v>27</v>
      </c>
      <c r="F357" s="12" t="str">
        <f>IFERROR(__xludf.DUMMYFUNCTION("GOOGLETRANSLATE(B357,""zh_cn"",""vi"")"),"phong tục")</f>
        <v>phong tục</v>
      </c>
      <c r="G357" s="20" t="s">
        <v>7679</v>
      </c>
      <c r="H357" s="6"/>
      <c r="I357" s="11" t="b">
        <f t="shared" si="2"/>
        <v>0</v>
      </c>
      <c r="J357" s="24"/>
      <c r="K357" s="11" t="b">
        <f t="shared" si="3"/>
        <v>0</v>
      </c>
    </row>
    <row r="358" ht="22.5" customHeight="1">
      <c r="A358" s="12">
        <f t="shared" si="4"/>
        <v>2356</v>
      </c>
      <c r="B358" s="30" t="s">
        <v>7680</v>
      </c>
      <c r="C358" s="7" t="str">
        <f t="shared" si="5"/>
        <v>🔊</v>
      </c>
      <c r="D358" s="8" t="s">
        <v>7681</v>
      </c>
      <c r="E358" s="6" t="s">
        <v>27</v>
      </c>
      <c r="F358" s="12" t="str">
        <f>IFERROR(__xludf.DUMMYFUNCTION("GOOGLETRANSLATE(B358,""zh_cn"",""vi"")"),"rủi ro")</f>
        <v>rủi ro</v>
      </c>
      <c r="G358" s="20" t="s">
        <v>7682</v>
      </c>
      <c r="H358" s="6"/>
      <c r="I358" s="11" t="b">
        <f t="shared" si="2"/>
        <v>0</v>
      </c>
      <c r="J358" s="24"/>
      <c r="K358" s="11" t="b">
        <f t="shared" si="3"/>
        <v>0</v>
      </c>
    </row>
    <row r="359" ht="22.5" customHeight="1">
      <c r="A359" s="12">
        <f t="shared" si="4"/>
        <v>2357</v>
      </c>
      <c r="B359" s="30" t="s">
        <v>7683</v>
      </c>
      <c r="C359" s="7" t="str">
        <f t="shared" si="5"/>
        <v>🔊</v>
      </c>
      <c r="D359" s="8" t="s">
        <v>7684</v>
      </c>
      <c r="E359" s="6" t="s">
        <v>13</v>
      </c>
      <c r="F359" s="12" t="str">
        <f>IFERROR(__xludf.DUMMYFUNCTION("GOOGLETRANSLATE(B359,""zh_cn"",""vi"")"),"Phân loại")</f>
        <v>Phân loại</v>
      </c>
      <c r="G359" s="20" t="s">
        <v>7685</v>
      </c>
      <c r="H359" s="6"/>
      <c r="I359" s="11" t="b">
        <f t="shared" si="2"/>
        <v>0</v>
      </c>
      <c r="J359" s="24"/>
      <c r="K359" s="11" t="b">
        <f t="shared" si="3"/>
        <v>0</v>
      </c>
    </row>
    <row r="360" ht="22.5" customHeight="1">
      <c r="A360" s="12">
        <f t="shared" si="4"/>
        <v>2358</v>
      </c>
      <c r="B360" s="30" t="s">
        <v>7686</v>
      </c>
      <c r="C360" s="7" t="str">
        <f t="shared" si="5"/>
        <v>🔊</v>
      </c>
      <c r="D360" s="8" t="s">
        <v>7687</v>
      </c>
      <c r="E360" s="6" t="s">
        <v>13</v>
      </c>
      <c r="F360" s="12" t="str">
        <f>IFERROR(__xludf.DUMMYFUNCTION("GOOGLETRANSLATE(B360,""zh_cn"",""vi"")"),"Sự tách biệt")</f>
        <v>Sự tách biệt</v>
      </c>
      <c r="G360" s="20" t="s">
        <v>7688</v>
      </c>
      <c r="H360" s="6"/>
      <c r="I360" s="11" t="b">
        <f t="shared" si="2"/>
        <v>0</v>
      </c>
      <c r="J360" s="24"/>
      <c r="K360" s="11" t="b">
        <f t="shared" si="3"/>
        <v>0</v>
      </c>
    </row>
    <row r="361" ht="22.5" customHeight="1">
      <c r="A361" s="12">
        <f t="shared" si="4"/>
        <v>2359</v>
      </c>
      <c r="B361" s="30" t="s">
        <v>7689</v>
      </c>
      <c r="C361" s="7" t="str">
        <f t="shared" si="5"/>
        <v>🔊</v>
      </c>
      <c r="D361" s="8" t="s">
        <v>7690</v>
      </c>
      <c r="E361" s="6" t="s">
        <v>13</v>
      </c>
      <c r="F361" s="12" t="str">
        <f>IFERROR(__xludf.DUMMYFUNCTION("GOOGLETRANSLATE(B361,""zh_cn"",""vi"")"),"phân phát")</f>
        <v>phân phát</v>
      </c>
      <c r="G361" s="20" t="s">
        <v>7691</v>
      </c>
      <c r="H361" s="6"/>
      <c r="I361" s="11" t="b">
        <f t="shared" si="2"/>
        <v>0</v>
      </c>
      <c r="J361" s="24"/>
      <c r="K361" s="11" t="b">
        <f t="shared" si="3"/>
        <v>0</v>
      </c>
    </row>
    <row r="362" ht="22.5" customHeight="1">
      <c r="A362" s="12">
        <f t="shared" si="4"/>
        <v>2360</v>
      </c>
      <c r="B362" s="30" t="s">
        <v>7692</v>
      </c>
      <c r="C362" s="7" t="str">
        <f t="shared" si="5"/>
        <v>🔊</v>
      </c>
      <c r="D362" s="8" t="s">
        <v>7693</v>
      </c>
      <c r="E362" s="6" t="s">
        <v>13</v>
      </c>
      <c r="F362" s="12" t="str">
        <f>IFERROR(__xludf.DUMMYFUNCTION("GOOGLETRANSLATE(B362,""zh_cn"",""vi"")"),"chia")</f>
        <v>chia</v>
      </c>
      <c r="G362" s="20" t="s">
        <v>7694</v>
      </c>
      <c r="H362" s="6"/>
      <c r="I362" s="11" t="b">
        <f t="shared" si="2"/>
        <v>0</v>
      </c>
      <c r="J362" s="24"/>
      <c r="K362" s="11" t="b">
        <f t="shared" si="3"/>
        <v>0</v>
      </c>
    </row>
    <row r="363" ht="22.5" customHeight="1">
      <c r="A363" s="12">
        <f t="shared" si="4"/>
        <v>2361</v>
      </c>
      <c r="B363" s="30" t="s">
        <v>7695</v>
      </c>
      <c r="C363" s="7" t="str">
        <f t="shared" si="5"/>
        <v>🔊</v>
      </c>
      <c r="D363" s="8" t="s">
        <v>7696</v>
      </c>
      <c r="E363" s="6" t="s">
        <v>13</v>
      </c>
      <c r="F363" s="12" t="str">
        <f>IFERROR(__xludf.DUMMYFUNCTION("GOOGLETRANSLATE(B363,""zh_cn"",""vi"")"),"phân tích")</f>
        <v>phân tích</v>
      </c>
      <c r="G363" s="20" t="s">
        <v>7697</v>
      </c>
      <c r="H363" s="6"/>
      <c r="I363" s="11" t="b">
        <f t="shared" si="2"/>
        <v>0</v>
      </c>
      <c r="J363" s="24"/>
      <c r="K363" s="11" t="b">
        <f t="shared" si="3"/>
        <v>0</v>
      </c>
    </row>
    <row r="364" ht="22.5" customHeight="1">
      <c r="A364" s="12">
        <f t="shared" si="4"/>
        <v>2362</v>
      </c>
      <c r="B364" s="30" t="s">
        <v>7698</v>
      </c>
      <c r="C364" s="7" t="str">
        <f t="shared" si="5"/>
        <v>🔊</v>
      </c>
      <c r="D364" s="8" t="s">
        <v>7699</v>
      </c>
      <c r="E364" s="6" t="s">
        <v>13</v>
      </c>
      <c r="F364" s="12" t="str">
        <f>IFERROR(__xludf.DUMMYFUNCTION("GOOGLETRANSLATE(B364,""zh_cn"",""vi"")"),"chia sẻ")</f>
        <v>chia sẻ</v>
      </c>
      <c r="G364" s="20" t="s">
        <v>7700</v>
      </c>
      <c r="H364" s="6"/>
      <c r="I364" s="11" t="b">
        <f t="shared" si="2"/>
        <v>0</v>
      </c>
      <c r="J364" s="24"/>
      <c r="K364" s="11" t="b">
        <f t="shared" si="3"/>
        <v>0</v>
      </c>
    </row>
    <row r="365" ht="22.5" customHeight="1">
      <c r="A365" s="12">
        <f t="shared" si="4"/>
        <v>2363</v>
      </c>
      <c r="B365" s="30" t="s">
        <v>7701</v>
      </c>
      <c r="C365" s="7" t="str">
        <f t="shared" si="5"/>
        <v>🔊</v>
      </c>
      <c r="D365" s="8" t="s">
        <v>7702</v>
      </c>
      <c r="E365" s="6" t="s">
        <v>368</v>
      </c>
      <c r="F365" s="12" t="str">
        <f>IFERROR(__xludf.DUMMYFUNCTION("GOOGLETRANSLATE(B365,""zh_cn"",""vi"")"),"tiêu cực")</f>
        <v>tiêu cực</v>
      </c>
      <c r="G365" s="20" t="s">
        <v>7703</v>
      </c>
      <c r="H365" s="6"/>
      <c r="I365" s="11" t="b">
        <f t="shared" si="2"/>
        <v>0</v>
      </c>
      <c r="J365" s="24"/>
      <c r="K365" s="11" t="b">
        <f t="shared" si="3"/>
        <v>0</v>
      </c>
    </row>
    <row r="366" ht="22.5" customHeight="1">
      <c r="A366" s="12">
        <f t="shared" si="4"/>
        <v>2364</v>
      </c>
      <c r="B366" s="30" t="s">
        <v>7704</v>
      </c>
      <c r="C366" s="7" t="str">
        <f t="shared" si="5"/>
        <v>🔊</v>
      </c>
      <c r="D366" s="8" t="s">
        <v>7705</v>
      </c>
      <c r="E366" s="6" t="s">
        <v>13</v>
      </c>
      <c r="F366" s="12" t="str">
        <f>IFERROR(__xludf.DUMMYFUNCTION("GOOGLETRANSLATE(B366,""zh_cn"",""vi"")"),"từ chối")</f>
        <v>từ chối</v>
      </c>
      <c r="G366" s="20" t="s">
        <v>7706</v>
      </c>
      <c r="H366" s="6"/>
      <c r="I366" s="11" t="b">
        <f t="shared" si="2"/>
        <v>0</v>
      </c>
      <c r="J366" s="24"/>
      <c r="K366" s="11" t="b">
        <f t="shared" si="3"/>
        <v>0</v>
      </c>
    </row>
    <row r="367" ht="22.5" customHeight="1">
      <c r="A367" s="12">
        <f t="shared" si="4"/>
        <v>2365</v>
      </c>
      <c r="B367" s="30" t="s">
        <v>7707</v>
      </c>
      <c r="C367" s="7" t="str">
        <f t="shared" si="5"/>
        <v>🔊</v>
      </c>
      <c r="D367" s="8" t="s">
        <v>4005</v>
      </c>
      <c r="E367" s="6" t="s">
        <v>13</v>
      </c>
      <c r="F367" s="12" t="str">
        <f>IFERROR(__xludf.DUMMYFUNCTION("GOOGLETRANSLATE(B367,""zh_cn"",""vi"")"),"giúp đỡ")</f>
        <v>giúp đỡ</v>
      </c>
      <c r="G367" s="20" t="s">
        <v>7708</v>
      </c>
      <c r="H367" s="6"/>
      <c r="I367" s="11" t="b">
        <f t="shared" si="2"/>
        <v>0</v>
      </c>
      <c r="J367" s="24"/>
      <c r="K367" s="11" t="b">
        <f t="shared" si="3"/>
        <v>0</v>
      </c>
    </row>
    <row r="368" ht="22.5" customHeight="1">
      <c r="A368" s="12">
        <f t="shared" si="4"/>
        <v>2366</v>
      </c>
      <c r="B368" s="30" t="s">
        <v>7709</v>
      </c>
      <c r="C368" s="7" t="str">
        <f t="shared" si="5"/>
        <v>🔊</v>
      </c>
      <c r="D368" s="8" t="s">
        <v>4005</v>
      </c>
      <c r="E368" s="6" t="s">
        <v>27</v>
      </c>
      <c r="F368" s="12" t="str">
        <f>IFERROR(__xludf.DUMMYFUNCTION("GOOGLETRANSLATE(B368,""zh_cn"",""vi"")"),"lời chúc phúc")</f>
        <v>lời chúc phúc</v>
      </c>
      <c r="G368" s="20" t="s">
        <v>7710</v>
      </c>
      <c r="H368" s="6"/>
      <c r="I368" s="11" t="b">
        <f t="shared" si="2"/>
        <v>0</v>
      </c>
      <c r="J368" s="24"/>
      <c r="K368" s="11" t="b">
        <f t="shared" si="3"/>
        <v>0</v>
      </c>
    </row>
    <row r="369" ht="22.5" customHeight="1">
      <c r="A369" s="12">
        <f t="shared" si="4"/>
        <v>2367</v>
      </c>
      <c r="B369" s="30" t="s">
        <v>7711</v>
      </c>
      <c r="C369" s="7" t="str">
        <f t="shared" si="5"/>
        <v>🔊</v>
      </c>
      <c r="D369" s="8" t="s">
        <v>4008</v>
      </c>
      <c r="E369" s="6" t="s">
        <v>47</v>
      </c>
      <c r="F369" s="12" t="str">
        <f>IFERROR(__xludf.DUMMYFUNCTION("GOOGLETRANSLATE(B369,""zh_cn"",""vi"")"),"Tiểu-1")</f>
        <v>Tiểu-1</v>
      </c>
      <c r="G369" s="20" t="s">
        <v>7712</v>
      </c>
      <c r="H369" s="6"/>
      <c r="I369" s="11" t="b">
        <f t="shared" si="2"/>
        <v>0</v>
      </c>
      <c r="J369" s="24"/>
      <c r="K369" s="11" t="b">
        <f t="shared" si="3"/>
        <v>0</v>
      </c>
    </row>
    <row r="370" ht="22.5" customHeight="1">
      <c r="A370" s="12">
        <f t="shared" si="4"/>
        <v>2368</v>
      </c>
      <c r="B370" s="30" t="s">
        <v>7713</v>
      </c>
      <c r="C370" s="7" t="str">
        <f t="shared" si="5"/>
        <v>🔊</v>
      </c>
      <c r="D370" s="8" t="s">
        <v>4008</v>
      </c>
      <c r="E370" s="6" t="s">
        <v>99</v>
      </c>
      <c r="F370" s="12" t="str">
        <f>IFERROR(__xludf.DUMMYFUNCTION("GOOGLETRANSLATE(B370,""zh_cn"",""vi"")"),"giàu có")</f>
        <v>giàu có</v>
      </c>
      <c r="G370" s="20" t="s">
        <v>7714</v>
      </c>
      <c r="H370" s="6"/>
      <c r="I370" s="11" t="b">
        <f t="shared" si="2"/>
        <v>0</v>
      </c>
      <c r="J370" s="24"/>
      <c r="K370" s="11" t="b">
        <f t="shared" si="3"/>
        <v>0</v>
      </c>
    </row>
    <row r="371" ht="22.5" customHeight="1">
      <c r="A371" s="12">
        <f t="shared" si="4"/>
        <v>2369</v>
      </c>
      <c r="B371" s="30" t="s">
        <v>7715</v>
      </c>
      <c r="C371" s="7" t="str">
        <f t="shared" si="5"/>
        <v>🔊</v>
      </c>
      <c r="D371" s="8" t="s">
        <v>7716</v>
      </c>
      <c r="E371" s="6" t="s">
        <v>13</v>
      </c>
      <c r="F371" s="12" t="str">
        <f>IFERROR(__xludf.DUMMYFUNCTION("GOOGLETRANSLATE(B371,""zh_cn"",""vi"")"),"chi trả")</f>
        <v>chi trả</v>
      </c>
      <c r="G371" s="20" t="s">
        <v>7717</v>
      </c>
      <c r="H371" s="6"/>
      <c r="I371" s="11" t="b">
        <f t="shared" si="2"/>
        <v>0</v>
      </c>
      <c r="J371" s="24"/>
      <c r="K371" s="11" t="b">
        <f t="shared" si="3"/>
        <v>0</v>
      </c>
    </row>
    <row r="372" ht="22.5" customHeight="1">
      <c r="A372" s="12">
        <f t="shared" si="4"/>
        <v>2370</v>
      </c>
      <c r="B372" s="30" t="s">
        <v>7718</v>
      </c>
      <c r="C372" s="7" t="str">
        <f t="shared" si="5"/>
        <v>🔊</v>
      </c>
      <c r="D372" s="8" t="s">
        <v>7719</v>
      </c>
      <c r="E372" s="6" t="s">
        <v>232</v>
      </c>
      <c r="F372" s="12" t="str">
        <f>IFERROR(__xludf.DUMMYFUNCTION("GOOGLETRANSLATE(B372,""zh_cn"",""vi"")"),"gánh nặng")</f>
        <v>gánh nặng</v>
      </c>
      <c r="G372" s="20" t="s">
        <v>7720</v>
      </c>
      <c r="H372" s="6"/>
      <c r="I372" s="11" t="b">
        <f t="shared" si="2"/>
        <v>0</v>
      </c>
      <c r="J372" s="24"/>
      <c r="K372" s="11" t="b">
        <f t="shared" si="3"/>
        <v>0</v>
      </c>
    </row>
    <row r="373" ht="22.5" customHeight="1">
      <c r="A373" s="12">
        <f t="shared" si="4"/>
        <v>2371</v>
      </c>
      <c r="B373" s="30" t="s">
        <v>7721</v>
      </c>
      <c r="C373" s="7" t="str">
        <f t="shared" si="5"/>
        <v>🔊</v>
      </c>
      <c r="D373" s="8" t="s">
        <v>7722</v>
      </c>
      <c r="E373" s="6" t="s">
        <v>27</v>
      </c>
      <c r="F373" s="12" t="str">
        <f>IFERROR(__xludf.DUMMYFUNCTION("GOOGLETRANSLATE(B373,""zh_cn"",""vi"")"),"cặp đôi")</f>
        <v>cặp đôi</v>
      </c>
      <c r="G373" s="20" t="s">
        <v>7723</v>
      </c>
      <c r="H373" s="6"/>
      <c r="I373" s="11" t="b">
        <f t="shared" si="2"/>
        <v>0</v>
      </c>
      <c r="J373" s="24"/>
      <c r="K373" s="11" t="b">
        <f t="shared" si="3"/>
        <v>0</v>
      </c>
    </row>
    <row r="374" ht="22.5" customHeight="1">
      <c r="A374" s="12">
        <f t="shared" si="4"/>
        <v>2372</v>
      </c>
      <c r="B374" s="30" t="s">
        <v>7724</v>
      </c>
      <c r="C374" s="7" t="str">
        <f t="shared" si="5"/>
        <v>🔊</v>
      </c>
      <c r="D374" s="8" t="s">
        <v>4018</v>
      </c>
      <c r="E374" s="6" t="s">
        <v>27</v>
      </c>
      <c r="F374" s="12" t="str">
        <f>IFERROR(__xludf.DUMMYFUNCTION("GOOGLETRANSLATE(B374,""zh_cn"",""vi"")"),"Phụ nữ")</f>
        <v>Phụ nữ</v>
      </c>
      <c r="G374" s="20" t="s">
        <v>7725</v>
      </c>
      <c r="H374" s="6"/>
      <c r="I374" s="11" t="b">
        <f t="shared" si="2"/>
        <v>0</v>
      </c>
      <c r="J374" s="24"/>
      <c r="K374" s="11" t="b">
        <f t="shared" si="3"/>
        <v>0</v>
      </c>
    </row>
    <row r="375" ht="22.5" customHeight="1">
      <c r="A375" s="12">
        <f t="shared" si="4"/>
        <v>2373</v>
      </c>
      <c r="B375" s="30" t="s">
        <v>7726</v>
      </c>
      <c r="C375" s="7" t="str">
        <f t="shared" si="5"/>
        <v>🔊</v>
      </c>
      <c r="D375" s="8" t="s">
        <v>7727</v>
      </c>
      <c r="E375" s="6" t="s">
        <v>416</v>
      </c>
      <c r="F375" s="12" t="str">
        <f>IFERROR(__xludf.DUMMYFUNCTION("GOOGLETRANSLATE(B375,""zh_cn"",""vi"")"),"giàu có")</f>
        <v>giàu có</v>
      </c>
      <c r="G375" s="20" t="s">
        <v>7728</v>
      </c>
      <c r="H375" s="6"/>
      <c r="I375" s="11" t="b">
        <f t="shared" si="2"/>
        <v>0</v>
      </c>
      <c r="J375" s="24"/>
      <c r="K375" s="11" t="b">
        <f t="shared" si="3"/>
        <v>0</v>
      </c>
    </row>
    <row r="376" ht="22.5" customHeight="1">
      <c r="A376" s="12">
        <f t="shared" si="4"/>
        <v>2374</v>
      </c>
      <c r="B376" s="30" t="s">
        <v>7729</v>
      </c>
      <c r="C376" s="7" t="str">
        <f t="shared" si="5"/>
        <v>🔊</v>
      </c>
      <c r="D376" s="8" t="s">
        <v>7730</v>
      </c>
      <c r="E376" s="6" t="s">
        <v>13</v>
      </c>
      <c r="F376" s="12" t="str">
        <f>IFERROR(__xludf.DUMMYFUNCTION("GOOGLETRANSLATE(B376,""zh_cn"",""vi"")"),"bản sao")</f>
        <v>bản sao</v>
      </c>
      <c r="G376" s="20" t="s">
        <v>7731</v>
      </c>
      <c r="H376" s="6"/>
      <c r="I376" s="11" t="b">
        <f t="shared" si="2"/>
        <v>0</v>
      </c>
      <c r="J376" s="24"/>
      <c r="K376" s="11" t="b">
        <f t="shared" si="3"/>
        <v>0</v>
      </c>
    </row>
    <row r="377" ht="22.5" customHeight="1">
      <c r="A377" s="12">
        <f t="shared" si="4"/>
        <v>2375</v>
      </c>
      <c r="B377" s="30" t="s">
        <v>7732</v>
      </c>
      <c r="C377" s="7" t="str">
        <f t="shared" si="5"/>
        <v>🔊</v>
      </c>
      <c r="D377" s="8" t="s">
        <v>7733</v>
      </c>
      <c r="E377" s="6" t="s">
        <v>27</v>
      </c>
      <c r="F377" s="12" t="str">
        <f>IFERROR(__xludf.DUMMYFUNCTION("GOOGLETRANSLATE(B377,""zh_cn"",""vi"")"),"quần áo")</f>
        <v>quần áo</v>
      </c>
      <c r="G377" s="20" t="s">
        <v>7734</v>
      </c>
      <c r="H377" s="6"/>
      <c r="I377" s="11" t="b">
        <f t="shared" si="2"/>
        <v>0</v>
      </c>
      <c r="J377" s="24"/>
      <c r="K377" s="11" t="b">
        <f t="shared" si="3"/>
        <v>0</v>
      </c>
    </row>
    <row r="378" ht="22.5" customHeight="1">
      <c r="A378" s="12">
        <f t="shared" si="4"/>
        <v>2376</v>
      </c>
      <c r="B378" s="30" t="s">
        <v>7735</v>
      </c>
      <c r="C378" s="7" t="str">
        <f t="shared" si="5"/>
        <v>🔊</v>
      </c>
      <c r="D378" s="8" t="s">
        <v>7736</v>
      </c>
      <c r="E378" s="6" t="s">
        <v>57</v>
      </c>
      <c r="F378" s="12" t="str">
        <f>IFERROR(__xludf.DUMMYFUNCTION("GOOGLETRANSLATE(B378,""zh_cn"",""vi"")"),"xây dựng")</f>
        <v>xây dựng</v>
      </c>
      <c r="G378" s="20" t="s">
        <v>7737</v>
      </c>
      <c r="H378" s="6"/>
      <c r="I378" s="11" t="b">
        <f t="shared" si="2"/>
        <v>0</v>
      </c>
      <c r="J378" s="24"/>
      <c r="K378" s="11" t="b">
        <f t="shared" si="3"/>
        <v>0</v>
      </c>
    </row>
    <row r="379" ht="22.5" customHeight="1">
      <c r="A379" s="12">
        <f t="shared" si="4"/>
        <v>2377</v>
      </c>
      <c r="B379" s="30" t="s">
        <v>7738</v>
      </c>
      <c r="C379" s="7" t="str">
        <f t="shared" si="5"/>
        <v>🔊</v>
      </c>
      <c r="D379" s="8" t="s">
        <v>7739</v>
      </c>
      <c r="E379" s="6" t="s">
        <v>13</v>
      </c>
      <c r="F379" s="12" t="str">
        <f>IFERROR(__xludf.DUMMYFUNCTION("GOOGLETRANSLATE(B379,""zh_cn"",""vi"")"),"cải cách")</f>
        <v>cải cách</v>
      </c>
      <c r="G379" s="20" t="s">
        <v>7740</v>
      </c>
      <c r="H379" s="6"/>
      <c r="I379" s="11" t="b">
        <f t="shared" si="2"/>
        <v>0</v>
      </c>
      <c r="J379" s="24"/>
      <c r="K379" s="11" t="b">
        <f t="shared" si="3"/>
        <v>0</v>
      </c>
    </row>
    <row r="380" ht="22.5" customHeight="1">
      <c r="A380" s="12">
        <f t="shared" si="4"/>
        <v>2378</v>
      </c>
      <c r="B380" s="30" t="s">
        <v>7741</v>
      </c>
      <c r="C380" s="7" t="str">
        <f t="shared" si="5"/>
        <v>🔊</v>
      </c>
      <c r="D380" s="8" t="s">
        <v>7742</v>
      </c>
      <c r="E380" s="6" t="s">
        <v>13</v>
      </c>
      <c r="F380" s="12" t="str">
        <f>IFERROR(__xludf.DUMMYFUNCTION("GOOGLETRANSLATE(B380,""zh_cn"",""vi"")"),"cải thiện ")</f>
        <v>cải thiện </v>
      </c>
      <c r="G380" s="20" t="s">
        <v>7743</v>
      </c>
      <c r="H380" s="6"/>
      <c r="I380" s="11" t="b">
        <f t="shared" si="2"/>
        <v>0</v>
      </c>
      <c r="J380" s="24"/>
      <c r="K380" s="11" t="b">
        <f t="shared" si="3"/>
        <v>0</v>
      </c>
    </row>
    <row r="381" ht="22.5" customHeight="1">
      <c r="A381" s="12">
        <f t="shared" si="4"/>
        <v>2379</v>
      </c>
      <c r="B381" s="30" t="s">
        <v>7744</v>
      </c>
      <c r="C381" s="7" t="str">
        <f t="shared" si="5"/>
        <v>🔊</v>
      </c>
      <c r="D381" s="8" t="s">
        <v>7745</v>
      </c>
      <c r="E381" s="6" t="s">
        <v>368</v>
      </c>
      <c r="F381" s="12" t="str">
        <f>IFERROR(__xludf.DUMMYFUNCTION("GOOGLETRANSLATE(B381,""zh_cn"",""vi"")"),"Bản tóm tắt")</f>
        <v>Bản tóm tắt</v>
      </c>
      <c r="G381" s="20" t="s">
        <v>7746</v>
      </c>
      <c r="H381" s="6"/>
      <c r="I381" s="11" t="b">
        <f t="shared" si="2"/>
        <v>0</v>
      </c>
      <c r="J381" s="24"/>
      <c r="K381" s="11" t="b">
        <f t="shared" si="3"/>
        <v>0</v>
      </c>
    </row>
    <row r="382" ht="22.5" customHeight="1">
      <c r="A382" s="12">
        <f t="shared" si="4"/>
        <v>2380</v>
      </c>
      <c r="B382" s="30" t="s">
        <v>7747</v>
      </c>
      <c r="C382" s="7" t="str">
        <f t="shared" si="5"/>
        <v>🔊</v>
      </c>
      <c r="D382" s="8" t="s">
        <v>7748</v>
      </c>
      <c r="E382" s="6" t="s">
        <v>27</v>
      </c>
      <c r="F382" s="12" t="str">
        <f>IFERROR(__xludf.DUMMYFUNCTION("GOOGLETRANSLATE(B382,""zh_cn"",""vi"")"),"ý tưởng")</f>
        <v>ý tưởng</v>
      </c>
      <c r="G382" s="20" t="s">
        <v>7749</v>
      </c>
      <c r="H382" s="6"/>
      <c r="I382" s="11" t="b">
        <f t="shared" si="2"/>
        <v>0</v>
      </c>
      <c r="J382" s="24"/>
      <c r="K382" s="11" t="b">
        <f t="shared" si="3"/>
        <v>0</v>
      </c>
    </row>
    <row r="383" ht="22.5" customHeight="1">
      <c r="A383" s="12">
        <f t="shared" si="4"/>
        <v>2381</v>
      </c>
      <c r="B383" s="30" t="s">
        <v>7750</v>
      </c>
      <c r="C383" s="7" t="str">
        <f t="shared" si="5"/>
        <v>🔊</v>
      </c>
      <c r="D383" s="8" t="s">
        <v>7751</v>
      </c>
      <c r="E383" s="6" t="s">
        <v>13</v>
      </c>
      <c r="F383" s="12" t="str">
        <f>IFERROR(__xludf.DUMMYFUNCTION("GOOGLETRANSLATE(B383,""zh_cn"",""vi"")"),"cải thiện ")</f>
        <v>cải thiện </v>
      </c>
      <c r="G383" s="20" t="s">
        <v>7752</v>
      </c>
      <c r="H383" s="6"/>
      <c r="I383" s="11" t="b">
        <f t="shared" si="2"/>
        <v>0</v>
      </c>
      <c r="J383" s="24"/>
      <c r="K383" s="11" t="b">
        <f t="shared" si="3"/>
        <v>0</v>
      </c>
    </row>
    <row r="384" ht="22.5" customHeight="1">
      <c r="A384" s="12">
        <f t="shared" si="4"/>
        <v>2382</v>
      </c>
      <c r="B384" s="30" t="s">
        <v>7753</v>
      </c>
      <c r="C384" s="7" t="str">
        <f t="shared" si="5"/>
        <v>🔊</v>
      </c>
      <c r="D384" s="8" t="s">
        <v>7754</v>
      </c>
      <c r="E384" s="6" t="s">
        <v>61</v>
      </c>
      <c r="F384" s="12" t="str">
        <f>IFERROR(__xludf.DUMMYFUNCTION("GOOGLETRANSLATE(B384,""zh_cn"",""vi"")"),"Một ngày khác")</f>
        <v>Một ngày khác</v>
      </c>
      <c r="G384" s="20" t="s">
        <v>7755</v>
      </c>
      <c r="H384" s="6"/>
      <c r="I384" s="11" t="b">
        <f t="shared" si="2"/>
        <v>0</v>
      </c>
      <c r="J384" s="24"/>
      <c r="K384" s="11" t="b">
        <f t="shared" si="3"/>
        <v>0</v>
      </c>
    </row>
    <row r="385" ht="22.5" customHeight="1">
      <c r="A385" s="12">
        <f t="shared" si="4"/>
        <v>2383</v>
      </c>
      <c r="B385" s="30" t="s">
        <v>7756</v>
      </c>
      <c r="C385" s="7" t="str">
        <f t="shared" si="5"/>
        <v>🔊</v>
      </c>
      <c r="D385" s="8" t="s">
        <v>7757</v>
      </c>
      <c r="E385" s="6" t="s">
        <v>13</v>
      </c>
      <c r="F385" s="12" t="str">
        <f>IFERROR(__xludf.DUMMYFUNCTION("GOOGLETRANSLATE(B385,""zh_cn"",""vi"")"),"Chính xác")</f>
        <v>Chính xác</v>
      </c>
      <c r="G385" s="20" t="s">
        <v>7758</v>
      </c>
      <c r="H385" s="6"/>
      <c r="I385" s="11" t="b">
        <f t="shared" si="2"/>
        <v>0</v>
      </c>
      <c r="J385" s="24"/>
      <c r="K385" s="11" t="b">
        <f t="shared" si="3"/>
        <v>0</v>
      </c>
    </row>
    <row r="386" ht="22.5" customHeight="1">
      <c r="A386" s="12">
        <f t="shared" si="4"/>
        <v>2384</v>
      </c>
      <c r="B386" s="30" t="s">
        <v>7759</v>
      </c>
      <c r="C386" s="7" t="str">
        <f t="shared" si="5"/>
        <v>🔊</v>
      </c>
      <c r="D386" s="8" t="s">
        <v>7760</v>
      </c>
      <c r="E386" s="6" t="s">
        <v>1308</v>
      </c>
      <c r="F386" s="12" t="str">
        <f>IFERROR(__xludf.DUMMYFUNCTION("GOOGLETRANSLATE(B386,""zh_cn"",""vi"")"),"chỉ")</f>
        <v>chỉ</v>
      </c>
      <c r="G386" s="20" t="s">
        <v>7761</v>
      </c>
      <c r="H386" s="6"/>
      <c r="I386" s="11" t="b">
        <f t="shared" si="2"/>
        <v>0</v>
      </c>
      <c r="J386" s="24"/>
      <c r="K386" s="11" t="b">
        <f t="shared" si="3"/>
        <v>0</v>
      </c>
    </row>
    <row r="387" ht="22.5" customHeight="1">
      <c r="A387" s="12">
        <f t="shared" si="4"/>
        <v>2385</v>
      </c>
      <c r="B387" s="30" t="s">
        <v>7762</v>
      </c>
      <c r="C387" s="7" t="str">
        <f t="shared" si="5"/>
        <v>🔊</v>
      </c>
      <c r="D387" s="8" t="s">
        <v>7763</v>
      </c>
      <c r="E387" s="6" t="s">
        <v>13</v>
      </c>
      <c r="F387" s="12" t="str">
        <f>IFERROR(__xludf.DUMMYFUNCTION("GOOGLETRANSLATE(B387,""zh_cn"",""vi"")"),"Dám")</f>
        <v>Dám</v>
      </c>
      <c r="G387" s="20" t="s">
        <v>7764</v>
      </c>
      <c r="H387" s="6"/>
      <c r="I387" s="11" t="b">
        <f t="shared" si="2"/>
        <v>0</v>
      </c>
      <c r="J387" s="24"/>
      <c r="K387" s="11" t="b">
        <f t="shared" si="3"/>
        <v>0</v>
      </c>
    </row>
    <row r="388" ht="22.5" customHeight="1">
      <c r="A388" s="12">
        <f t="shared" si="4"/>
        <v>2386</v>
      </c>
      <c r="B388" s="30" t="s">
        <v>7765</v>
      </c>
      <c r="C388" s="7" t="str">
        <f t="shared" si="5"/>
        <v>🔊</v>
      </c>
      <c r="D388" s="8" t="s">
        <v>7766</v>
      </c>
      <c r="E388" s="6" t="s">
        <v>13</v>
      </c>
      <c r="F388" s="12" t="str">
        <f>IFERROR(__xludf.DUMMYFUNCTION("GOOGLETRANSLATE(B388,""zh_cn"",""vi"")"),"LÀM")</f>
        <v>LÀM</v>
      </c>
      <c r="G388" s="20" t="s">
        <v>7767</v>
      </c>
      <c r="H388" s="6"/>
      <c r="I388" s="11" t="b">
        <f t="shared" si="2"/>
        <v>0</v>
      </c>
      <c r="J388" s="24"/>
      <c r="K388" s="11" t="b">
        <f t="shared" si="3"/>
        <v>0</v>
      </c>
    </row>
    <row r="389" ht="22.5" customHeight="1">
      <c r="A389" s="12">
        <f t="shared" si="4"/>
        <v>2387</v>
      </c>
      <c r="B389" s="30" t="s">
        <v>7768</v>
      </c>
      <c r="C389" s="7" t="str">
        <f t="shared" si="5"/>
        <v>🔊</v>
      </c>
      <c r="D389" s="8" t="s">
        <v>7769</v>
      </c>
      <c r="E389" s="6" t="s">
        <v>13</v>
      </c>
      <c r="F389" s="12" t="str">
        <f>IFERROR(__xludf.DUMMYFUNCTION("GOOGLETRANSLATE(B389,""zh_cn"",""vi"")"),"tạm biệt")</f>
        <v>tạm biệt</v>
      </c>
      <c r="G389" s="20" t="s">
        <v>7770</v>
      </c>
      <c r="H389" s="6"/>
      <c r="I389" s="11" t="b">
        <f t="shared" si="2"/>
        <v>0</v>
      </c>
      <c r="J389" s="24"/>
      <c r="K389" s="11" t="b">
        <f t="shared" si="3"/>
        <v>0</v>
      </c>
    </row>
    <row r="390" ht="22.5" customHeight="1">
      <c r="A390" s="12">
        <f t="shared" si="4"/>
        <v>2388</v>
      </c>
      <c r="B390" s="30" t="s">
        <v>7771</v>
      </c>
      <c r="C390" s="7" t="str">
        <f t="shared" si="5"/>
        <v>🔊</v>
      </c>
      <c r="D390" s="8" t="s">
        <v>7772</v>
      </c>
      <c r="E390" s="6" t="s">
        <v>99</v>
      </c>
      <c r="F390" s="12" t="str">
        <f>IFERROR(__xludf.DUMMYFUNCTION("GOOGLETRANSLATE(B390,""zh_cn"",""vi"")"),"cao")</f>
        <v>cao</v>
      </c>
      <c r="G390" s="20" t="s">
        <v>7773</v>
      </c>
      <c r="H390" s="6"/>
      <c r="I390" s="11" t="b">
        <f t="shared" si="2"/>
        <v>0</v>
      </c>
      <c r="J390" s="24"/>
      <c r="K390" s="11" t="b">
        <f t="shared" si="3"/>
        <v>0</v>
      </c>
    </row>
    <row r="391" ht="22.5" customHeight="1">
      <c r="A391" s="12">
        <f t="shared" si="4"/>
        <v>2389</v>
      </c>
      <c r="B391" s="30" t="s">
        <v>7774</v>
      </c>
      <c r="C391" s="7" t="str">
        <f t="shared" si="5"/>
        <v>🔊</v>
      </c>
      <c r="D391" s="8" t="s">
        <v>7775</v>
      </c>
      <c r="E391" s="6" t="s">
        <v>99</v>
      </c>
      <c r="F391" s="12" t="str">
        <f>IFERROR(__xludf.DUMMYFUNCTION("GOOGLETRANSLATE(B391,""zh_cn"",""vi"")"),"cao cấp")</f>
        <v>cao cấp</v>
      </c>
      <c r="G391" s="20" t="s">
        <v>7776</v>
      </c>
      <c r="H391" s="6"/>
      <c r="I391" s="11" t="b">
        <f t="shared" si="2"/>
        <v>0</v>
      </c>
      <c r="J391" s="24"/>
      <c r="K391" s="11" t="b">
        <f t="shared" si="3"/>
        <v>0</v>
      </c>
    </row>
    <row r="392" ht="22.5" customHeight="1">
      <c r="A392" s="12">
        <f t="shared" si="4"/>
        <v>2390</v>
      </c>
      <c r="B392" s="30" t="s">
        <v>7777</v>
      </c>
      <c r="C392" s="7" t="str">
        <f t="shared" si="5"/>
        <v>🔊</v>
      </c>
      <c r="D392" s="8" t="s">
        <v>7778</v>
      </c>
      <c r="E392" s="6" t="s">
        <v>3430</v>
      </c>
      <c r="F392" s="12" t="str">
        <f>IFERROR(__xludf.DUMMYFUNCTION("GOOGLETRANSLATE(B392,""zh_cn"",""vi"")"),"cao")</f>
        <v>cao</v>
      </c>
      <c r="G392" s="20" t="s">
        <v>7779</v>
      </c>
      <c r="H392" s="6"/>
      <c r="I392" s="11" t="b">
        <f t="shared" si="2"/>
        <v>0</v>
      </c>
      <c r="J392" s="24"/>
      <c r="K392" s="11" t="b">
        <f t="shared" si="3"/>
        <v>0</v>
      </c>
    </row>
    <row r="393" ht="22.5" customHeight="1">
      <c r="A393" s="12">
        <f t="shared" si="4"/>
        <v>2391</v>
      </c>
      <c r="B393" s="30" t="s">
        <v>7780</v>
      </c>
      <c r="C393" s="7" t="str">
        <f t="shared" si="5"/>
        <v>🔊</v>
      </c>
      <c r="D393" s="8" t="s">
        <v>7781</v>
      </c>
      <c r="E393" s="6" t="s">
        <v>99</v>
      </c>
      <c r="F393" s="12" t="str">
        <f>IFERROR(__xludf.DUMMYFUNCTION("GOOGLETRANSLATE(B393,""zh_cn"",""vi"")"),"trình độ cao")</f>
        <v>trình độ cao</v>
      </c>
      <c r="G393" s="20" t="s">
        <v>7782</v>
      </c>
      <c r="H393" s="6"/>
      <c r="I393" s="11" t="b">
        <f t="shared" si="2"/>
        <v>0</v>
      </c>
      <c r="J393" s="24"/>
      <c r="K393" s="11" t="b">
        <f t="shared" si="3"/>
        <v>0</v>
      </c>
    </row>
    <row r="394" ht="22.5" customHeight="1">
      <c r="A394" s="12">
        <f t="shared" si="4"/>
        <v>2392</v>
      </c>
      <c r="B394" s="30" t="s">
        <v>7783</v>
      </c>
      <c r="C394" s="7" t="str">
        <f t="shared" si="5"/>
        <v>🔊</v>
      </c>
      <c r="D394" s="8" t="s">
        <v>7784</v>
      </c>
      <c r="E394" s="6" t="s">
        <v>27</v>
      </c>
      <c r="F394" s="12" t="str">
        <f>IFERROR(__xludf.DUMMYFUNCTION("GOOGLETRANSLATE(B394,""zh_cn"",""vi"")"),"công nghệ cao")</f>
        <v>công nghệ cao</v>
      </c>
      <c r="G394" s="20" t="s">
        <v>7785</v>
      </c>
      <c r="H394" s="6"/>
      <c r="I394" s="11" t="b">
        <f t="shared" si="2"/>
        <v>0</v>
      </c>
      <c r="J394" s="24"/>
      <c r="K394" s="11" t="b">
        <f t="shared" si="3"/>
        <v>0</v>
      </c>
    </row>
    <row r="395" ht="22.5" customHeight="1">
      <c r="A395" s="12">
        <f t="shared" si="4"/>
        <v>2393</v>
      </c>
      <c r="B395" s="30" t="s">
        <v>7786</v>
      </c>
      <c r="C395" s="7" t="str">
        <f t="shared" si="5"/>
        <v>🔊</v>
      </c>
      <c r="D395" s="8" t="s">
        <v>7787</v>
      </c>
      <c r="E395" s="6" t="s">
        <v>99</v>
      </c>
      <c r="F395" s="12" t="str">
        <f>IFERROR(__xludf.DUMMYFUNCTION("GOOGLETRANSLATE(B395,""zh_cn"",""vi"")"),"Hiệu quả cao")</f>
        <v>Hiệu quả cao</v>
      </c>
      <c r="G395" s="20" t="s">
        <v>7788</v>
      </c>
      <c r="H395" s="6"/>
      <c r="I395" s="11" t="b">
        <f t="shared" si="2"/>
        <v>0</v>
      </c>
      <c r="J395" s="24"/>
      <c r="K395" s="11" t="b">
        <f t="shared" si="3"/>
        <v>0</v>
      </c>
    </row>
    <row r="396" ht="22.5" customHeight="1">
      <c r="A396" s="12">
        <f t="shared" si="4"/>
        <v>2394</v>
      </c>
      <c r="B396" s="30" t="s">
        <v>7789</v>
      </c>
      <c r="C396" s="7" t="str">
        <f t="shared" si="5"/>
        <v>🔊</v>
      </c>
      <c r="D396" s="8" t="s">
        <v>7790</v>
      </c>
      <c r="E396" s="6" t="s">
        <v>13</v>
      </c>
      <c r="F396" s="12" t="str">
        <f>IFERROR(__xludf.DUMMYFUNCTION("GOOGLETRANSLATE(B396,""zh_cn"",""vi"")"),"Sự tách biệt")</f>
        <v>Sự tách biệt</v>
      </c>
      <c r="G396" s="20" t="s">
        <v>7791</v>
      </c>
      <c r="H396" s="6"/>
      <c r="I396" s="11" t="b">
        <f t="shared" si="2"/>
        <v>0</v>
      </c>
      <c r="J396" s="24"/>
      <c r="K396" s="11" t="b">
        <f t="shared" si="3"/>
        <v>0</v>
      </c>
    </row>
    <row r="397" ht="22.5" customHeight="1">
      <c r="A397" s="12">
        <f t="shared" si="4"/>
        <v>2395</v>
      </c>
      <c r="B397" s="30" t="s">
        <v>7792</v>
      </c>
      <c r="C397" s="7" t="str">
        <f t="shared" si="5"/>
        <v>🔊</v>
      </c>
      <c r="D397" s="8" t="s">
        <v>7793</v>
      </c>
      <c r="E397" s="6" t="s">
        <v>5100</v>
      </c>
      <c r="F397" s="12" t="str">
        <f>IFERROR(__xludf.DUMMYFUNCTION("GOOGLETRANSLATE(B397,""zh_cn"",""vi"")"),"cá nhân")</f>
        <v>cá nhân</v>
      </c>
      <c r="G397" s="20" t="s">
        <v>7794</v>
      </c>
      <c r="H397" s="6"/>
      <c r="I397" s="11" t="b">
        <f t="shared" si="2"/>
        <v>0</v>
      </c>
      <c r="J397" s="24"/>
      <c r="K397" s="11" t="b">
        <f t="shared" si="3"/>
        <v>0</v>
      </c>
    </row>
    <row r="398" ht="22.5" customHeight="1">
      <c r="A398" s="12">
        <f t="shared" si="4"/>
        <v>2396</v>
      </c>
      <c r="B398" s="30" t="s">
        <v>7795</v>
      </c>
      <c r="C398" s="7" t="str">
        <f t="shared" si="5"/>
        <v>🔊</v>
      </c>
      <c r="D398" s="8" t="s">
        <v>7796</v>
      </c>
      <c r="E398" s="6" t="s">
        <v>27</v>
      </c>
      <c r="F398" s="12" t="str">
        <f>IFERROR(__xludf.DUMMYFUNCTION("GOOGLETRANSLATE(B398,""zh_cn"",""vi"")"),"lời bài hát")</f>
        <v>lời bài hát</v>
      </c>
      <c r="G398" s="20" t="s">
        <v>7797</v>
      </c>
      <c r="H398" s="6"/>
      <c r="I398" s="11" t="b">
        <f t="shared" si="2"/>
        <v>0</v>
      </c>
      <c r="J398" s="24"/>
      <c r="K398" s="11" t="b">
        <f t="shared" si="3"/>
        <v>0</v>
      </c>
    </row>
    <row r="399" ht="22.5" customHeight="1">
      <c r="A399" s="12">
        <f t="shared" si="4"/>
        <v>2397</v>
      </c>
      <c r="B399" s="30" t="s">
        <v>7798</v>
      </c>
      <c r="C399" s="7" t="str">
        <f t="shared" si="5"/>
        <v>🔊</v>
      </c>
      <c r="D399" s="8" t="s">
        <v>7799</v>
      </c>
      <c r="E399" s="14"/>
      <c r="F399" s="12" t="str">
        <f>IFERROR(__xludf.DUMMYFUNCTION("GOOGLETRANSLATE(B399,""zh_cn"",""vi"")"),"mọi tầng lớp xã hội")</f>
        <v>mọi tầng lớp xã hội</v>
      </c>
      <c r="G399" s="20" t="s">
        <v>7800</v>
      </c>
      <c r="H399" s="6"/>
      <c r="I399" s="11" t="b">
        <f t="shared" si="2"/>
        <v>0</v>
      </c>
      <c r="J399" s="24"/>
      <c r="K399" s="11" t="b">
        <f t="shared" si="3"/>
        <v>0</v>
      </c>
    </row>
    <row r="400" ht="22.5" customHeight="1">
      <c r="A400" s="12">
        <f t="shared" si="4"/>
        <v>2398</v>
      </c>
      <c r="B400" s="30" t="s">
        <v>7801</v>
      </c>
      <c r="C400" s="7" t="str">
        <f t="shared" si="5"/>
        <v>🔊</v>
      </c>
      <c r="D400" s="8" t="s">
        <v>1175</v>
      </c>
      <c r="E400" s="6" t="s">
        <v>259</v>
      </c>
      <c r="F400" s="12" t="str">
        <f>IFERROR(__xludf.DUMMYFUNCTION("GOOGLETRANSLATE(B400,""zh_cn"",""vi"")"),"gốc")</f>
        <v>gốc</v>
      </c>
      <c r="G400" s="20" t="s">
        <v>7802</v>
      </c>
      <c r="H400" s="6"/>
      <c r="I400" s="11" t="b">
        <f t="shared" si="2"/>
        <v>0</v>
      </c>
      <c r="J400" s="24"/>
      <c r="K400" s="11" t="b">
        <f t="shared" si="3"/>
        <v>0</v>
      </c>
    </row>
    <row r="401" ht="22.5" customHeight="1">
      <c r="A401" s="12">
        <f t="shared" si="4"/>
        <v>2399</v>
      </c>
      <c r="B401" s="30" t="s">
        <v>7803</v>
      </c>
      <c r="C401" s="7" t="str">
        <f t="shared" si="5"/>
        <v>🔊</v>
      </c>
      <c r="D401" s="8" t="s">
        <v>7804</v>
      </c>
      <c r="E401" s="6" t="s">
        <v>6264</v>
      </c>
      <c r="F401" s="12" t="str">
        <f>IFERROR(__xludf.DUMMYFUNCTION("GOOGLETRANSLATE(B401,""zh_cn"",""vi"")"),"cơ bản")</f>
        <v>cơ bản</v>
      </c>
      <c r="G401" s="20" t="s">
        <v>7805</v>
      </c>
      <c r="H401" s="6"/>
      <c r="I401" s="11" t="b">
        <f t="shared" si="2"/>
        <v>0</v>
      </c>
      <c r="J401" s="24"/>
      <c r="K401" s="11" t="b">
        <f t="shared" si="3"/>
        <v>0</v>
      </c>
    </row>
    <row r="402" ht="22.5" customHeight="1">
      <c r="A402" s="12">
        <f t="shared" si="4"/>
        <v>2400</v>
      </c>
      <c r="B402" s="30" t="s">
        <v>7806</v>
      </c>
      <c r="C402" s="7" t="str">
        <f t="shared" si="5"/>
        <v>🔊</v>
      </c>
      <c r="D402" s="8" t="s">
        <v>7807</v>
      </c>
      <c r="E402" s="6" t="s">
        <v>13</v>
      </c>
      <c r="F402" s="12" t="str">
        <f>IFERROR(__xludf.DUMMYFUNCTION("GOOGLETRANSLATE(B402,""zh_cn"",""vi"")"),"thay thế")</f>
        <v>thay thế</v>
      </c>
      <c r="G402" s="20" t="s">
        <v>7808</v>
      </c>
      <c r="H402" s="6"/>
      <c r="I402" s="11" t="b">
        <f t="shared" si="2"/>
        <v>0</v>
      </c>
      <c r="J402" s="24"/>
      <c r="K402" s="11" t="b">
        <f t="shared" si="3"/>
        <v>0</v>
      </c>
    </row>
    <row r="403" ht="22.5" customHeight="1">
      <c r="A403" s="12">
        <f t="shared" si="4"/>
        <v>2401</v>
      </c>
      <c r="B403" s="30" t="s">
        <v>7809</v>
      </c>
      <c r="C403" s="7" t="str">
        <f t="shared" si="5"/>
        <v>🔊</v>
      </c>
      <c r="D403" s="8" t="s">
        <v>7810</v>
      </c>
      <c r="E403" s="6" t="s">
        <v>13</v>
      </c>
      <c r="F403" s="12" t="str">
        <f>IFERROR(__xludf.DUMMYFUNCTION("GOOGLETRANSLATE(B403,""zh_cn"",""vi"")"),"gia hạn")</f>
        <v>gia hạn</v>
      </c>
      <c r="G403" s="20" t="s">
        <v>7811</v>
      </c>
      <c r="H403" s="6"/>
      <c r="I403" s="11" t="b">
        <f t="shared" si="2"/>
        <v>0</v>
      </c>
      <c r="J403" s="24"/>
      <c r="K403" s="11" t="b">
        <f t="shared" si="3"/>
        <v>0</v>
      </c>
    </row>
    <row r="404" ht="22.5" customHeight="1">
      <c r="A404" s="12">
        <f t="shared" si="4"/>
        <v>2402</v>
      </c>
      <c r="B404" s="30" t="s">
        <v>7812</v>
      </c>
      <c r="C404" s="7" t="str">
        <f t="shared" si="5"/>
        <v>🔊</v>
      </c>
      <c r="D404" s="8" t="s">
        <v>7813</v>
      </c>
      <c r="E404" s="6" t="s">
        <v>27</v>
      </c>
      <c r="F404" s="12" t="str">
        <f>IFERROR(__xludf.DUMMYFUNCTION("GOOGLETRANSLATE(B404,""zh_cn"",""vi"")"),"bài hát")</f>
        <v>bài hát</v>
      </c>
      <c r="G404" s="20" t="s">
        <v>7814</v>
      </c>
      <c r="H404" s="6"/>
      <c r="I404" s="11" t="b">
        <f t="shared" si="2"/>
        <v>0</v>
      </c>
      <c r="J404" s="24"/>
      <c r="K404" s="11" t="b">
        <f t="shared" si="3"/>
        <v>0</v>
      </c>
    </row>
    <row r="405" ht="22.5" customHeight="1">
      <c r="A405" s="12">
        <f t="shared" si="4"/>
        <v>2403</v>
      </c>
      <c r="B405" s="30" t="s">
        <v>7815</v>
      </c>
      <c r="C405" s="7" t="str">
        <f t="shared" si="5"/>
        <v>🔊</v>
      </c>
      <c r="D405" s="8" t="s">
        <v>7816</v>
      </c>
      <c r="E405" s="6" t="s">
        <v>27</v>
      </c>
      <c r="F405" s="12" t="str">
        <f>IFERROR(__xludf.DUMMYFUNCTION("GOOGLETRANSLATE(B405,""zh_cn"",""vi"")"),"riêng tư")</f>
        <v>riêng tư</v>
      </c>
      <c r="G405" s="20" t="s">
        <v>7817</v>
      </c>
      <c r="H405" s="6"/>
      <c r="I405" s="11" t="b">
        <f t="shared" si="2"/>
        <v>0</v>
      </c>
      <c r="J405" s="24"/>
      <c r="K405" s="11" t="b">
        <f t="shared" si="3"/>
        <v>0</v>
      </c>
    </row>
    <row r="406" ht="22.5" customHeight="1">
      <c r="A406" s="12">
        <f t="shared" si="4"/>
        <v>2404</v>
      </c>
      <c r="B406" s="30" t="s">
        <v>7818</v>
      </c>
      <c r="C406" s="7" t="str">
        <f t="shared" si="5"/>
        <v>🔊</v>
      </c>
      <c r="D406" s="8" t="s">
        <v>7819</v>
      </c>
      <c r="E406" s="6" t="s">
        <v>61</v>
      </c>
      <c r="F406" s="12" t="str">
        <f>IFERROR(__xludf.DUMMYFUNCTION("GOOGLETRANSLATE(B406,""zh_cn"",""vi"")"),"cụ thể")</f>
        <v>cụ thể</v>
      </c>
      <c r="G406" s="20" t="s">
        <v>7820</v>
      </c>
      <c r="H406" s="6"/>
      <c r="I406" s="11" t="b">
        <f t="shared" si="2"/>
        <v>0</v>
      </c>
      <c r="J406" s="24"/>
      <c r="K406" s="11" t="b">
        <f t="shared" si="3"/>
        <v>0</v>
      </c>
    </row>
    <row r="407" ht="22.5" customHeight="1">
      <c r="A407" s="12">
        <f t="shared" si="4"/>
        <v>2405</v>
      </c>
      <c r="B407" s="30" t="s">
        <v>7821</v>
      </c>
      <c r="C407" s="7" t="str">
        <f t="shared" si="5"/>
        <v>🔊</v>
      </c>
      <c r="D407" s="8" t="s">
        <v>7822</v>
      </c>
      <c r="E407" s="6" t="s">
        <v>27</v>
      </c>
      <c r="F407" s="12" t="str">
        <f>IFERROR(__xludf.DUMMYFUNCTION("GOOGLETRANSLATE(B407,""zh_cn"",""vi"")"),"nhân cách")</f>
        <v>nhân cách</v>
      </c>
      <c r="G407" s="20" t="s">
        <v>7823</v>
      </c>
      <c r="H407" s="6"/>
      <c r="I407" s="11" t="b">
        <f t="shared" si="2"/>
        <v>0</v>
      </c>
      <c r="J407" s="24"/>
      <c r="K407" s="11" t="b">
        <f t="shared" si="3"/>
        <v>0</v>
      </c>
    </row>
    <row r="408" ht="22.5" customHeight="1">
      <c r="A408" s="12">
        <f t="shared" si="4"/>
        <v>2406</v>
      </c>
      <c r="B408" s="30" t="s">
        <v>7824</v>
      </c>
      <c r="C408" s="7" t="str">
        <f t="shared" si="5"/>
        <v>🔊</v>
      </c>
      <c r="D408" s="8" t="s">
        <v>7825</v>
      </c>
      <c r="E408" s="6" t="s">
        <v>106</v>
      </c>
      <c r="F408" s="12" t="str">
        <f>IFERROR(__xludf.DUMMYFUNCTION("GOOGLETRANSLATE(B408,""zh_cn"",""vi"")"),"tương ứng")</f>
        <v>tương ứng</v>
      </c>
      <c r="G408" s="20" t="s">
        <v>7826</v>
      </c>
      <c r="H408" s="6"/>
      <c r="I408" s="11" t="b">
        <f t="shared" si="2"/>
        <v>0</v>
      </c>
      <c r="J408" s="24"/>
      <c r="K408" s="11" t="b">
        <f t="shared" si="3"/>
        <v>0</v>
      </c>
    </row>
    <row r="409" ht="22.5" customHeight="1">
      <c r="A409" s="12">
        <f t="shared" si="4"/>
        <v>2407</v>
      </c>
      <c r="B409" s="30" t="s">
        <v>7827</v>
      </c>
      <c r="C409" s="7" t="str">
        <f t="shared" si="5"/>
        <v>🔊</v>
      </c>
      <c r="D409" s="8" t="s">
        <v>7828</v>
      </c>
      <c r="E409" s="6" t="s">
        <v>13</v>
      </c>
      <c r="F409" s="12" t="str">
        <f>IFERROR(__xludf.DUMMYFUNCTION("GOOGLETRANSLATE(B409,""zh_cn"",""vi"")"),"Thông báo")</f>
        <v>Thông báo</v>
      </c>
      <c r="G409" s="20" t="s">
        <v>7829</v>
      </c>
      <c r="H409" s="6"/>
      <c r="I409" s="11" t="b">
        <f t="shared" si="2"/>
        <v>0</v>
      </c>
      <c r="J409" s="24"/>
      <c r="K409" s="11" t="b">
        <f t="shared" si="3"/>
        <v>0</v>
      </c>
    </row>
    <row r="410" ht="22.5" customHeight="1">
      <c r="A410" s="12">
        <f t="shared" si="4"/>
        <v>2408</v>
      </c>
      <c r="B410" s="30" t="s">
        <v>7830</v>
      </c>
      <c r="C410" s="7" t="str">
        <f t="shared" si="5"/>
        <v>🔊</v>
      </c>
      <c r="D410" s="8" t="s">
        <v>7831</v>
      </c>
      <c r="E410" s="6" t="s">
        <v>27</v>
      </c>
      <c r="F410" s="12" t="str">
        <f>IFERROR(__xludf.DUMMYFUNCTION("GOOGLETRANSLATE(B410,""zh_cn"",""vi"")"),"dự án")</f>
        <v>dự án</v>
      </c>
      <c r="G410" s="20" t="s">
        <v>7832</v>
      </c>
      <c r="H410" s="6"/>
      <c r="I410" s="11" t="b">
        <f t="shared" si="2"/>
        <v>0</v>
      </c>
      <c r="J410" s="24"/>
      <c r="K410" s="11" t="b">
        <f t="shared" si="3"/>
        <v>0</v>
      </c>
    </row>
    <row r="411" ht="22.5" customHeight="1">
      <c r="A411" s="12">
        <f t="shared" si="4"/>
        <v>2409</v>
      </c>
      <c r="B411" s="30" t="s">
        <v>7833</v>
      </c>
      <c r="C411" s="7" t="str">
        <f t="shared" si="5"/>
        <v>🔊</v>
      </c>
      <c r="D411" s="8" t="s">
        <v>7834</v>
      </c>
      <c r="E411" s="6" t="s">
        <v>27</v>
      </c>
      <c r="F411" s="12" t="str">
        <f>IFERROR(__xludf.DUMMYFUNCTION("GOOGLETRANSLATE(B411,""zh_cn"",""vi"")"),"kỹ sư")</f>
        <v>kỹ sư</v>
      </c>
      <c r="G411" s="20" t="s">
        <v>7835</v>
      </c>
      <c r="H411" s="6"/>
      <c r="I411" s="11" t="b">
        <f t="shared" si="2"/>
        <v>0</v>
      </c>
      <c r="J411" s="24"/>
      <c r="K411" s="11" t="b">
        <f t="shared" si="3"/>
        <v>0</v>
      </c>
    </row>
    <row r="412" ht="22.5" customHeight="1">
      <c r="A412" s="12">
        <f t="shared" si="4"/>
        <v>2410</v>
      </c>
      <c r="B412" s="30" t="s">
        <v>7836</v>
      </c>
      <c r="C412" s="7" t="str">
        <f t="shared" si="5"/>
        <v>🔊</v>
      </c>
      <c r="D412" s="8" t="s">
        <v>7837</v>
      </c>
      <c r="E412" s="6" t="s">
        <v>27</v>
      </c>
      <c r="F412" s="12" t="str">
        <f>IFERROR(__xludf.DUMMYFUNCTION("GOOGLETRANSLATE(B412,""zh_cn"",""vi"")"),"dụng cụ")</f>
        <v>dụng cụ</v>
      </c>
      <c r="G412" s="20" t="s">
        <v>7838</v>
      </c>
      <c r="H412" s="6"/>
      <c r="I412" s="11" t="b">
        <f t="shared" si="2"/>
        <v>0</v>
      </c>
      <c r="J412" s="24"/>
      <c r="K412" s="11" t="b">
        <f t="shared" si="3"/>
        <v>0</v>
      </c>
    </row>
    <row r="413" ht="22.5" customHeight="1">
      <c r="A413" s="12">
        <f t="shared" si="4"/>
        <v>2411</v>
      </c>
      <c r="B413" s="30" t="s">
        <v>7839</v>
      </c>
      <c r="C413" s="7" t="str">
        <f t="shared" si="5"/>
        <v>🔊</v>
      </c>
      <c r="D413" s="8" t="s">
        <v>7840</v>
      </c>
      <c r="E413" s="6" t="s">
        <v>27</v>
      </c>
      <c r="F413" s="12" t="str">
        <f>IFERROR(__xludf.DUMMYFUNCTION("GOOGLETRANSLATE(B413,""zh_cn"",""vi"")"),"Chức năng")</f>
        <v>Chức năng</v>
      </c>
      <c r="G413" s="20" t="s">
        <v>7841</v>
      </c>
      <c r="H413" s="6"/>
      <c r="I413" s="11" t="b">
        <f t="shared" si="2"/>
        <v>0</v>
      </c>
      <c r="J413" s="24"/>
      <c r="K413" s="11" t="b">
        <f t="shared" si="3"/>
        <v>0</v>
      </c>
    </row>
    <row r="414" ht="22.5" customHeight="1">
      <c r="A414" s="12">
        <f t="shared" si="4"/>
        <v>2412</v>
      </c>
      <c r="B414" s="30" t="s">
        <v>7842</v>
      </c>
      <c r="C414" s="7" t="str">
        <f t="shared" si="5"/>
        <v>🔊</v>
      </c>
      <c r="D414" s="8" t="s">
        <v>7843</v>
      </c>
      <c r="E414" s="6" t="s">
        <v>99</v>
      </c>
      <c r="F414" s="12" t="str">
        <f>IFERROR(__xludf.DUMMYFUNCTION("GOOGLETRANSLATE(B414,""zh_cn"",""vi"")"),"hội chợ")</f>
        <v>hội chợ</v>
      </c>
      <c r="G414" s="20" t="s">
        <v>7844</v>
      </c>
      <c r="H414" s="6"/>
      <c r="I414" s="11" t="b">
        <f t="shared" si="2"/>
        <v>0</v>
      </c>
      <c r="J414" s="24"/>
      <c r="K414" s="11" t="b">
        <f t="shared" si="3"/>
        <v>0</v>
      </c>
    </row>
    <row r="415" ht="22.5" customHeight="1">
      <c r="A415" s="12">
        <f t="shared" si="4"/>
        <v>2413</v>
      </c>
      <c r="B415" s="30" t="s">
        <v>7845</v>
      </c>
      <c r="C415" s="7" t="str">
        <f t="shared" si="5"/>
        <v>🔊</v>
      </c>
      <c r="D415" s="8" t="s">
        <v>7846</v>
      </c>
      <c r="E415" s="6" t="s">
        <v>27</v>
      </c>
      <c r="F415" s="12" t="str">
        <f>IFERROR(__xludf.DUMMYFUNCTION("GOOGLETRANSLATE(B415,""zh_cn"",""vi"")"),"công chức")</f>
        <v>công chức</v>
      </c>
      <c r="G415" s="20" t="s">
        <v>7847</v>
      </c>
      <c r="H415" s="6"/>
      <c r="I415" s="11" t="b">
        <f t="shared" si="2"/>
        <v>0</v>
      </c>
      <c r="J415" s="24"/>
      <c r="K415" s="11" t="b">
        <f t="shared" si="3"/>
        <v>0</v>
      </c>
    </row>
    <row r="416" ht="22.5" customHeight="1">
      <c r="A416" s="12">
        <f t="shared" si="4"/>
        <v>2414</v>
      </c>
      <c r="B416" s="30" t="s">
        <v>7848</v>
      </c>
      <c r="C416" s="7" t="str">
        <f t="shared" si="5"/>
        <v>🔊</v>
      </c>
      <c r="D416" s="8" t="s">
        <v>7849</v>
      </c>
      <c r="E416" s="6" t="s">
        <v>13</v>
      </c>
      <c r="F416" s="12" t="str">
        <f>IFERROR(__xludf.DUMMYFUNCTION("GOOGLETRANSLATE(B416,""zh_cn"",""vi"")"),"Chúc mừng")</f>
        <v>Chúc mừng</v>
      </c>
      <c r="G416" s="20" t="s">
        <v>7850</v>
      </c>
      <c r="H416" s="6"/>
      <c r="I416" s="11" t="b">
        <f t="shared" si="2"/>
        <v>0</v>
      </c>
      <c r="J416" s="24"/>
      <c r="K416" s="11" t="b">
        <f t="shared" si="3"/>
        <v>0</v>
      </c>
    </row>
    <row r="417" ht="22.5" customHeight="1">
      <c r="A417" s="12">
        <f t="shared" si="4"/>
        <v>2415</v>
      </c>
      <c r="B417" s="30" t="s">
        <v>7851</v>
      </c>
      <c r="C417" s="7" t="str">
        <f t="shared" si="5"/>
        <v>🔊</v>
      </c>
      <c r="D417" s="8" t="s">
        <v>7852</v>
      </c>
      <c r="E417" s="6" t="s">
        <v>232</v>
      </c>
      <c r="F417" s="12" t="str">
        <f>IFERROR(__xludf.DUMMYFUNCTION("GOOGLETRANSLATE(B417,""zh_cn"",""vi"")"),"đóng góp")</f>
        <v>đóng góp</v>
      </c>
      <c r="G417" s="20" t="s">
        <v>7853</v>
      </c>
      <c r="H417" s="6"/>
      <c r="I417" s="11" t="b">
        <f t="shared" si="2"/>
        <v>0</v>
      </c>
      <c r="J417" s="24"/>
      <c r="K417" s="11" t="b">
        <f t="shared" si="3"/>
        <v>0</v>
      </c>
    </row>
    <row r="418" ht="22.5" customHeight="1">
      <c r="A418" s="12">
        <f t="shared" si="4"/>
        <v>2416</v>
      </c>
      <c r="B418" s="30" t="s">
        <v>7854</v>
      </c>
      <c r="C418" s="7" t="str">
        <f t="shared" si="5"/>
        <v>🔊</v>
      </c>
      <c r="D418" s="8" t="s">
        <v>7855</v>
      </c>
      <c r="E418" s="6" t="s">
        <v>13</v>
      </c>
      <c r="F418" s="12" t="str">
        <f>IFERROR(__xludf.DUMMYFUNCTION("GOOGLETRANSLATE(B418,""zh_cn"",""vi"")"),"đã chia sẻ")</f>
        <v>đã chia sẻ</v>
      </c>
      <c r="G418" s="20" t="s">
        <v>7856</v>
      </c>
      <c r="H418" s="6"/>
      <c r="I418" s="11" t="b">
        <f t="shared" si="2"/>
        <v>0</v>
      </c>
      <c r="J418" s="24"/>
      <c r="K418" s="11" t="b">
        <f t="shared" si="3"/>
        <v>0</v>
      </c>
    </row>
    <row r="419" ht="22.5" customHeight="1">
      <c r="A419" s="12">
        <f t="shared" si="4"/>
        <v>2417</v>
      </c>
      <c r="B419" s="30" t="s">
        <v>7857</v>
      </c>
      <c r="C419" s="7" t="str">
        <f t="shared" si="5"/>
        <v>🔊</v>
      </c>
      <c r="D419" s="8" t="s">
        <v>7858</v>
      </c>
      <c r="E419" s="6" t="s">
        <v>27</v>
      </c>
      <c r="F419" s="12" t="str">
        <f>IFERROR(__xludf.DUMMYFUNCTION("GOOGLETRANSLATE(B419,""zh_cn"",""vi"")"),"ngành công nghiệp")</f>
        <v>ngành công nghiệp</v>
      </c>
      <c r="G419" s="20" t="s">
        <v>7859</v>
      </c>
      <c r="H419" s="6"/>
      <c r="I419" s="11" t="b">
        <f t="shared" si="2"/>
        <v>0</v>
      </c>
      <c r="J419" s="24"/>
      <c r="K419" s="11" t="b">
        <f t="shared" si="3"/>
        <v>0</v>
      </c>
    </row>
    <row r="420" ht="22.5" customHeight="1">
      <c r="A420" s="12">
        <f t="shared" si="4"/>
        <v>2418</v>
      </c>
      <c r="B420" s="30" t="s">
        <v>7860</v>
      </c>
      <c r="C420" s="7" t="str">
        <f t="shared" si="5"/>
        <v>🔊</v>
      </c>
      <c r="D420" s="8" t="s">
        <v>7861</v>
      </c>
      <c r="E420" s="6" t="s">
        <v>27</v>
      </c>
      <c r="F420" s="12" t="str">
        <f>IFERROR(__xludf.DUMMYFUNCTION("GOOGLETRANSLATE(B420,""zh_cn"",""vi"")"),"quá trình")</f>
        <v>quá trình</v>
      </c>
      <c r="G420" s="20" t="s">
        <v>7862</v>
      </c>
      <c r="H420" s="6"/>
      <c r="I420" s="11" t="b">
        <f t="shared" si="2"/>
        <v>0</v>
      </c>
      <c r="J420" s="24"/>
      <c r="K420" s="11" t="b">
        <f t="shared" si="3"/>
        <v>0</v>
      </c>
    </row>
    <row r="421" ht="22.5" customHeight="1">
      <c r="A421" s="12">
        <f t="shared" si="4"/>
        <v>2419</v>
      </c>
      <c r="B421" s="30" t="s">
        <v>7863</v>
      </c>
      <c r="C421" s="7" t="str">
        <f t="shared" si="5"/>
        <v>🔊</v>
      </c>
      <c r="D421" s="8" t="s">
        <v>7864</v>
      </c>
      <c r="E421" s="6" t="s">
        <v>27</v>
      </c>
      <c r="F421" s="12" t="str">
        <f>IFERROR(__xludf.DUMMYFUNCTION("GOOGLETRANSLATE(B421,""zh_cn"",""vi"")"),"căn hộ")</f>
        <v>căn hộ</v>
      </c>
      <c r="G421" s="20" t="s">
        <v>7865</v>
      </c>
      <c r="H421" s="6"/>
      <c r="I421" s="11" t="b">
        <f t="shared" si="2"/>
        <v>0</v>
      </c>
      <c r="J421" s="24"/>
      <c r="K421" s="11" t="b">
        <f t="shared" si="3"/>
        <v>0</v>
      </c>
    </row>
    <row r="422" ht="22.5" customHeight="1">
      <c r="A422" s="12">
        <f t="shared" si="4"/>
        <v>2420</v>
      </c>
      <c r="B422" s="30" t="s">
        <v>7866</v>
      </c>
      <c r="C422" s="7" t="str">
        <f t="shared" si="5"/>
        <v>🔊</v>
      </c>
      <c r="D422" s="8" t="s">
        <v>7867</v>
      </c>
      <c r="E422" s="6" t="s">
        <v>232</v>
      </c>
      <c r="F422" s="12" t="str">
        <f>IFERROR(__xludf.DUMMYFUNCTION("GOOGLETRANSLATE(B422,""zh_cn"",""vi"")"),"cấu thành")</f>
        <v>cấu thành</v>
      </c>
      <c r="G422" s="20" t="s">
        <v>7868</v>
      </c>
      <c r="H422" s="6"/>
      <c r="I422" s="11" t="b">
        <f t="shared" si="2"/>
        <v>0</v>
      </c>
      <c r="J422" s="24"/>
      <c r="K422" s="11" t="b">
        <f t="shared" si="3"/>
        <v>0</v>
      </c>
    </row>
    <row r="423" ht="22.5" customHeight="1">
      <c r="A423" s="12">
        <f t="shared" si="4"/>
        <v>2421</v>
      </c>
      <c r="B423" s="30" t="s">
        <v>7869</v>
      </c>
      <c r="C423" s="7" t="str">
        <f t="shared" si="5"/>
        <v>🔊</v>
      </c>
      <c r="D423" s="8" t="s">
        <v>7870</v>
      </c>
      <c r="E423" s="6" t="s">
        <v>13</v>
      </c>
      <c r="F423" s="12" t="str">
        <f>IFERROR(__xludf.DUMMYFUNCTION("GOOGLETRANSLATE(B423,""zh_cn"",""vi"")"),"giao tiếp")</f>
        <v>giao tiếp</v>
      </c>
      <c r="G423" s="20" t="s">
        <v>7871</v>
      </c>
      <c r="H423" s="6"/>
      <c r="I423" s="11" t="b">
        <f t="shared" si="2"/>
        <v>0</v>
      </c>
      <c r="J423" s="24"/>
      <c r="K423" s="11" t="b">
        <f t="shared" si="3"/>
        <v>0</v>
      </c>
    </row>
    <row r="424" ht="22.5" customHeight="1">
      <c r="A424" s="12">
        <f t="shared" si="4"/>
        <v>2422</v>
      </c>
      <c r="B424" s="30" t="s">
        <v>7872</v>
      </c>
      <c r="C424" s="7" t="str">
        <f t="shared" si="5"/>
        <v>🔊</v>
      </c>
      <c r="D424" s="8" t="s">
        <v>7873</v>
      </c>
      <c r="E424" s="6" t="s">
        <v>99</v>
      </c>
      <c r="F424" s="12" t="str">
        <f>IFERROR(__xludf.DUMMYFUNCTION("GOOGLETRANSLATE(B424,""zh_cn"",""vi"")"),"cổ đại")</f>
        <v>cổ đại</v>
      </c>
      <c r="G424" s="20" t="s">
        <v>7874</v>
      </c>
      <c r="H424" s="6"/>
      <c r="I424" s="11" t="b">
        <f t="shared" si="2"/>
        <v>0</v>
      </c>
      <c r="J424" s="24"/>
      <c r="K424" s="11" t="b">
        <f t="shared" si="3"/>
        <v>0</v>
      </c>
    </row>
    <row r="425" ht="22.5" customHeight="1">
      <c r="A425" s="12">
        <f t="shared" si="4"/>
        <v>2423</v>
      </c>
      <c r="B425" s="30" t="s">
        <v>7875</v>
      </c>
      <c r="C425" s="7" t="str">
        <f t="shared" si="5"/>
        <v>🔊</v>
      </c>
      <c r="D425" s="8" t="s">
        <v>7873</v>
      </c>
      <c r="E425" s="6" t="s">
        <v>6727</v>
      </c>
      <c r="F425" s="12" t="str">
        <f>IFERROR(__xludf.DUMMYFUNCTION("GOOGLETRANSLATE(B425,""zh_cn"",""vi"")"),"cái trống")</f>
        <v>cái trống</v>
      </c>
      <c r="G425" s="20" t="s">
        <v>7876</v>
      </c>
      <c r="H425" s="6"/>
      <c r="I425" s="11" t="b">
        <f t="shared" si="2"/>
        <v>0</v>
      </c>
      <c r="J425" s="24"/>
      <c r="K425" s="11" t="b">
        <f t="shared" si="3"/>
        <v>0</v>
      </c>
    </row>
    <row r="426" ht="22.5" customHeight="1">
      <c r="A426" s="12">
        <f t="shared" si="4"/>
        <v>2424</v>
      </c>
      <c r="B426" s="30" t="s">
        <v>7877</v>
      </c>
      <c r="C426" s="7" t="str">
        <f t="shared" si="5"/>
        <v>🔊</v>
      </c>
      <c r="D426" s="8" t="s">
        <v>7878</v>
      </c>
      <c r="E426" s="6" t="s">
        <v>13</v>
      </c>
      <c r="F426" s="12" t="str">
        <f>IFERROR(__xludf.DUMMYFUNCTION("GOOGLETRANSLATE(B426,""zh_cn"",""vi"")"),"đăng ký")</f>
        <v>đăng ký</v>
      </c>
      <c r="G426" s="20" t="s">
        <v>7879</v>
      </c>
      <c r="H426" s="6"/>
      <c r="I426" s="11" t="b">
        <f t="shared" si="2"/>
        <v>0</v>
      </c>
      <c r="J426" s="24"/>
      <c r="K426" s="11" t="b">
        <f t="shared" si="3"/>
        <v>0</v>
      </c>
    </row>
    <row r="427" ht="22.5" customHeight="1">
      <c r="A427" s="12">
        <f t="shared" si="4"/>
        <v>2425</v>
      </c>
      <c r="B427" s="30" t="s">
        <v>7880</v>
      </c>
      <c r="C427" s="7" t="str">
        <f t="shared" si="5"/>
        <v>🔊</v>
      </c>
      <c r="D427" s="8" t="s">
        <v>7881</v>
      </c>
      <c r="E427" s="6" t="s">
        <v>7582</v>
      </c>
      <c r="F427" s="12" t="str">
        <f>IFERROR(__xludf.DUMMYFUNCTION("GOOGLETRANSLATE(B427,""zh_cn"",""vi"")"),"Lạ lùng")</f>
        <v>Lạ lùng</v>
      </c>
      <c r="G427" s="20" t="s">
        <v>7882</v>
      </c>
      <c r="H427" s="6"/>
      <c r="I427" s="11" t="b">
        <f t="shared" si="2"/>
        <v>0</v>
      </c>
      <c r="J427" s="24"/>
      <c r="K427" s="11" t="b">
        <f t="shared" si="3"/>
        <v>0</v>
      </c>
    </row>
    <row r="428" ht="22.5" customHeight="1">
      <c r="A428" s="12">
        <f t="shared" si="4"/>
        <v>2426</v>
      </c>
      <c r="B428" s="30" t="s">
        <v>7883</v>
      </c>
      <c r="C428" s="7" t="str">
        <f t="shared" si="5"/>
        <v>🔊</v>
      </c>
      <c r="D428" s="8" t="s">
        <v>7884</v>
      </c>
      <c r="E428" s="6" t="s">
        <v>13</v>
      </c>
      <c r="F428" s="12" t="str">
        <f>IFERROR(__xludf.DUMMYFUNCTION("GOOGLETRANSLATE(B428,""zh_cn"",""vi"")"),"đóng cửa")</f>
        <v>đóng cửa</v>
      </c>
      <c r="G428" s="20" t="s">
        <v>7885</v>
      </c>
      <c r="H428" s="6"/>
      <c r="I428" s="11" t="b">
        <f t="shared" si="2"/>
        <v>0</v>
      </c>
      <c r="J428" s="24"/>
      <c r="K428" s="11" t="b">
        <f t="shared" si="3"/>
        <v>0</v>
      </c>
    </row>
    <row r="429" ht="22.5" customHeight="1">
      <c r="A429" s="12">
        <f t="shared" si="4"/>
        <v>2427</v>
      </c>
      <c r="B429" s="30" t="s">
        <v>7886</v>
      </c>
      <c r="C429" s="7" t="str">
        <f t="shared" si="5"/>
        <v>🔊</v>
      </c>
      <c r="D429" s="8" t="s">
        <v>7887</v>
      </c>
      <c r="E429" s="6" t="s">
        <v>13</v>
      </c>
      <c r="F429" s="12" t="str">
        <f>IFERROR(__xludf.DUMMYFUNCTION("GOOGLETRANSLATE(B429,""zh_cn"",""vi"")"),"quan sát")</f>
        <v>quan sát</v>
      </c>
      <c r="G429" s="20" t="s">
        <v>7888</v>
      </c>
      <c r="H429" s="6"/>
      <c r="I429" s="11" t="b">
        <f t="shared" si="2"/>
        <v>0</v>
      </c>
      <c r="J429" s="24"/>
      <c r="K429" s="11" t="b">
        <f t="shared" si="3"/>
        <v>0</v>
      </c>
    </row>
    <row r="430" ht="22.5" customHeight="1">
      <c r="A430" s="12">
        <f t="shared" si="4"/>
        <v>2428</v>
      </c>
      <c r="B430" s="30" t="s">
        <v>7889</v>
      </c>
      <c r="C430" s="7" t="str">
        <f t="shared" si="5"/>
        <v>🔊</v>
      </c>
      <c r="D430" s="8" t="s">
        <v>7890</v>
      </c>
      <c r="E430" s="6" t="s">
        <v>27</v>
      </c>
      <c r="F430" s="12" t="str">
        <f>IFERROR(__xludf.DUMMYFUNCTION("GOOGLETRANSLATE(B430,""zh_cn"",""vi"")"),"Ý kiến")</f>
        <v>Ý kiến</v>
      </c>
      <c r="G430" s="20" t="s">
        <v>7891</v>
      </c>
      <c r="H430" s="6"/>
      <c r="I430" s="11" t="b">
        <f t="shared" si="2"/>
        <v>0</v>
      </c>
      <c r="J430" s="24"/>
      <c r="K430" s="11" t="b">
        <f t="shared" si="3"/>
        <v>0</v>
      </c>
    </row>
    <row r="431" ht="22.5" customHeight="1">
      <c r="A431" s="12">
        <f t="shared" si="4"/>
        <v>2429</v>
      </c>
      <c r="B431" s="30" t="s">
        <v>7892</v>
      </c>
      <c r="C431" s="7" t="str">
        <f t="shared" si="5"/>
        <v>🔊</v>
      </c>
      <c r="D431" s="8" t="s">
        <v>7893</v>
      </c>
      <c r="E431" s="6" t="s">
        <v>99</v>
      </c>
      <c r="F431" s="12" t="str">
        <f>IFERROR(__xludf.DUMMYFUNCTION("GOOGLETRANSLATE(B431,""zh_cn"",""vi"")"),"rộng")</f>
        <v>rộng</v>
      </c>
      <c r="G431" s="20" t="s">
        <v>7894</v>
      </c>
      <c r="H431" s="6"/>
      <c r="I431" s="11" t="b">
        <f t="shared" si="2"/>
        <v>0</v>
      </c>
      <c r="J431" s="24"/>
      <c r="K431" s="11" t="b">
        <f t="shared" si="3"/>
        <v>0</v>
      </c>
    </row>
    <row r="432" ht="22.5" customHeight="1">
      <c r="A432" s="12">
        <f t="shared" si="4"/>
        <v>2430</v>
      </c>
      <c r="B432" s="30" t="s">
        <v>7895</v>
      </c>
      <c r="C432" s="7" t="str">
        <f t="shared" si="5"/>
        <v>🔊</v>
      </c>
      <c r="D432" s="8" t="s">
        <v>7896</v>
      </c>
      <c r="E432" s="6" t="s">
        <v>27</v>
      </c>
      <c r="F432" s="12" t="str">
        <f>IFERROR(__xludf.DUMMYFUNCTION("GOOGLETRANSLATE(B432,""zh_cn"",""vi"")"),"quảng trường")</f>
        <v>quảng trường</v>
      </c>
      <c r="G432" s="20" t="s">
        <v>7897</v>
      </c>
      <c r="H432" s="6"/>
      <c r="I432" s="11" t="b">
        <f t="shared" si="2"/>
        <v>0</v>
      </c>
      <c r="J432" s="24"/>
      <c r="K432" s="11" t="b">
        <f t="shared" si="3"/>
        <v>0</v>
      </c>
    </row>
    <row r="433" ht="22.5" customHeight="1">
      <c r="A433" s="12">
        <f t="shared" si="4"/>
        <v>2431</v>
      </c>
      <c r="B433" s="30" t="s">
        <v>7898</v>
      </c>
      <c r="C433" s="7" t="str">
        <f t="shared" si="5"/>
        <v>🔊</v>
      </c>
      <c r="D433" s="8" t="s">
        <v>7899</v>
      </c>
      <c r="E433" s="6" t="s">
        <v>99</v>
      </c>
      <c r="F433" s="12" t="str">
        <f>IFERROR(__xludf.DUMMYFUNCTION("GOOGLETRANSLATE(B433,""zh_cn"",""vi"")"),"rộng lớn")</f>
        <v>rộng lớn</v>
      </c>
      <c r="G433" s="20" t="s">
        <v>7900</v>
      </c>
      <c r="H433" s="6"/>
      <c r="I433" s="11" t="b">
        <f t="shared" si="2"/>
        <v>0</v>
      </c>
      <c r="J433" s="24"/>
      <c r="K433" s="11" t="b">
        <f t="shared" si="3"/>
        <v>0</v>
      </c>
    </row>
    <row r="434" ht="22.5" customHeight="1">
      <c r="A434" s="12">
        <f t="shared" si="4"/>
        <v>2432</v>
      </c>
      <c r="B434" s="30" t="s">
        <v>7901</v>
      </c>
      <c r="C434" s="7" t="str">
        <f t="shared" si="5"/>
        <v>🔊</v>
      </c>
      <c r="D434" s="8" t="s">
        <v>7902</v>
      </c>
      <c r="E434" s="6" t="s">
        <v>99</v>
      </c>
      <c r="F434" s="12" t="str">
        <f>IFERROR(__xludf.DUMMYFUNCTION("GOOGLETRANSLATE(B434,""zh_cn"",""vi"")"),"rộng rãi")</f>
        <v>rộng rãi</v>
      </c>
      <c r="G434" s="20" t="s">
        <v>7903</v>
      </c>
      <c r="H434" s="6"/>
      <c r="I434" s="11" t="b">
        <f t="shared" si="2"/>
        <v>0</v>
      </c>
      <c r="J434" s="24"/>
      <c r="K434" s="11" t="b">
        <f t="shared" si="3"/>
        <v>0</v>
      </c>
    </row>
    <row r="435" ht="22.5" customHeight="1">
      <c r="A435" s="12">
        <f t="shared" si="4"/>
        <v>2433</v>
      </c>
      <c r="B435" s="30" t="s">
        <v>7904</v>
      </c>
      <c r="C435" s="7" t="str">
        <f t="shared" si="5"/>
        <v>🔊</v>
      </c>
      <c r="D435" s="8" t="s">
        <v>7905</v>
      </c>
      <c r="E435" s="6" t="s">
        <v>13</v>
      </c>
      <c r="F435" s="12" t="str">
        <f>IFERROR(__xludf.DUMMYFUNCTION("GOOGLETRANSLATE(B435,""zh_cn"",""vi"")"),"Thăm nom")</f>
        <v>Thăm nom</v>
      </c>
      <c r="G435" s="20" t="s">
        <v>7906</v>
      </c>
      <c r="H435" s="6"/>
      <c r="I435" s="11" t="b">
        <f t="shared" si="2"/>
        <v>0</v>
      </c>
      <c r="J435" s="24"/>
      <c r="K435" s="11" t="b">
        <f t="shared" si="3"/>
        <v>0</v>
      </c>
    </row>
    <row r="436" ht="22.5" customHeight="1">
      <c r="A436" s="12">
        <f t="shared" si="4"/>
        <v>2434</v>
      </c>
      <c r="B436" s="30" t="s">
        <v>7907</v>
      </c>
      <c r="C436" s="7" t="str">
        <f t="shared" si="5"/>
        <v>🔊</v>
      </c>
      <c r="D436" s="8" t="s">
        <v>7908</v>
      </c>
      <c r="E436" s="6" t="s">
        <v>3430</v>
      </c>
      <c r="F436" s="12" t="str">
        <f>IFERROR(__xludf.DUMMYFUNCTION("GOOGLETRANSLATE(B436,""zh_cn"",""vi"")"),"sáng")</f>
        <v>sáng</v>
      </c>
      <c r="G436" s="20" t="s">
        <v>7909</v>
      </c>
      <c r="H436" s="6"/>
      <c r="I436" s="11" t="b">
        <f t="shared" si="2"/>
        <v>0</v>
      </c>
      <c r="J436" s="24"/>
      <c r="K436" s="11" t="b">
        <f t="shared" si="3"/>
        <v>0</v>
      </c>
    </row>
    <row r="437" ht="22.5" customHeight="1">
      <c r="A437" s="12">
        <f t="shared" si="4"/>
        <v>2435</v>
      </c>
      <c r="B437" s="30" t="s">
        <v>7910</v>
      </c>
      <c r="C437" s="7" t="str">
        <f t="shared" si="5"/>
        <v>🔊</v>
      </c>
      <c r="D437" s="8" t="s">
        <v>7911</v>
      </c>
      <c r="E437" s="6" t="s">
        <v>27</v>
      </c>
      <c r="F437" s="12" t="str">
        <f>IFERROR(__xludf.DUMMYFUNCTION("GOOGLETRANSLATE(B437,""zh_cn"",""vi"")"),"Ánh sáng")</f>
        <v>Ánh sáng</v>
      </c>
      <c r="G437" s="20" t="s">
        <v>7912</v>
      </c>
      <c r="H437" s="6"/>
      <c r="I437" s="11" t="b">
        <f t="shared" si="2"/>
        <v>0</v>
      </c>
      <c r="J437" s="24"/>
      <c r="K437" s="11" t="b">
        <f t="shared" si="3"/>
        <v>0</v>
      </c>
    </row>
    <row r="438" ht="22.5" customHeight="1">
      <c r="A438" s="12">
        <f t="shared" si="4"/>
        <v>2436</v>
      </c>
      <c r="B438" s="30" t="s">
        <v>7913</v>
      </c>
      <c r="C438" s="7" t="str">
        <f t="shared" si="5"/>
        <v>🔊</v>
      </c>
      <c r="D438" s="8" t="s">
        <v>7914</v>
      </c>
      <c r="E438" s="6" t="s">
        <v>27</v>
      </c>
      <c r="F438" s="12" t="str">
        <f>IFERROR(__xludf.DUMMYFUNCTION("GOOGLETRANSLATE(B438,""zh_cn"",""vi"")"),"nhà vô địch")</f>
        <v>nhà vô địch</v>
      </c>
      <c r="G438" s="20" t="s">
        <v>7915</v>
      </c>
      <c r="H438" s="6"/>
      <c r="I438" s="11" t="b">
        <f t="shared" si="2"/>
        <v>0</v>
      </c>
      <c r="J438" s="24"/>
      <c r="K438" s="11" t="b">
        <f t="shared" si="3"/>
        <v>0</v>
      </c>
    </row>
    <row r="439" ht="22.5" customHeight="1">
      <c r="A439" s="12">
        <f t="shared" si="4"/>
        <v>2437</v>
      </c>
      <c r="B439" s="30" t="s">
        <v>7916</v>
      </c>
      <c r="C439" s="7" t="str">
        <f t="shared" si="5"/>
        <v>🔊</v>
      </c>
      <c r="D439" s="8" t="s">
        <v>7917</v>
      </c>
      <c r="E439" s="6" t="s">
        <v>27</v>
      </c>
      <c r="F439" s="12" t="str">
        <f>IFERROR(__xludf.DUMMYFUNCTION("GOOGLETRANSLATE(B439,""zh_cn"",""vi"")"),"Ý tưởng")</f>
        <v>Ý tưởng</v>
      </c>
      <c r="G439" s="20" t="s">
        <v>7918</v>
      </c>
      <c r="H439" s="6"/>
      <c r="I439" s="11" t="b">
        <f t="shared" si="2"/>
        <v>0</v>
      </c>
      <c r="J439" s="24"/>
      <c r="K439" s="11" t="b">
        <f t="shared" si="3"/>
        <v>0</v>
      </c>
    </row>
    <row r="440" ht="22.5" customHeight="1">
      <c r="A440" s="12">
        <f t="shared" si="4"/>
        <v>2438</v>
      </c>
      <c r="B440" s="30" t="s">
        <v>7919</v>
      </c>
      <c r="C440" s="7" t="str">
        <f t="shared" si="5"/>
        <v>🔊</v>
      </c>
      <c r="D440" s="8" t="s">
        <v>7920</v>
      </c>
      <c r="E440" s="6" t="s">
        <v>27</v>
      </c>
      <c r="F440" s="12" t="str">
        <f>IFERROR(__xludf.DUMMYFUNCTION("GOOGLETRANSLATE(B440,""zh_cn"",""vi"")"),"Cổ đại")</f>
        <v>Cổ đại</v>
      </c>
      <c r="G440" s="20" t="s">
        <v>7921</v>
      </c>
      <c r="H440" s="6"/>
      <c r="I440" s="11" t="b">
        <f t="shared" si="2"/>
        <v>0</v>
      </c>
      <c r="J440" s="24"/>
      <c r="K440" s="11" t="b">
        <f t="shared" si="3"/>
        <v>0</v>
      </c>
    </row>
    <row r="441" ht="22.5" customHeight="1">
      <c r="A441" s="12">
        <f t="shared" si="4"/>
        <v>2439</v>
      </c>
      <c r="B441" s="30" t="s">
        <v>7922</v>
      </c>
      <c r="C441" s="7" t="str">
        <f t="shared" si="5"/>
        <v>🔊</v>
      </c>
      <c r="D441" s="8" t="s">
        <v>7923</v>
      </c>
      <c r="E441" s="6" t="s">
        <v>13</v>
      </c>
      <c r="F441" s="12" t="str">
        <f>IFERROR(__xludf.DUMMYFUNCTION("GOOGLETRANSLATE(B441,""zh_cn"",""vi"")"),"đã sửa")</f>
        <v>đã sửa</v>
      </c>
      <c r="G441" s="20" t="s">
        <v>7924</v>
      </c>
      <c r="H441" s="6"/>
      <c r="I441" s="11" t="b">
        <f t="shared" si="2"/>
        <v>0</v>
      </c>
      <c r="J441" s="24"/>
      <c r="K441" s="11" t="b">
        <f t="shared" si="3"/>
        <v>0</v>
      </c>
    </row>
    <row r="442" ht="22.5" customHeight="1">
      <c r="A442" s="12">
        <f t="shared" si="4"/>
        <v>2440</v>
      </c>
      <c r="B442" s="30" t="s">
        <v>7925</v>
      </c>
      <c r="C442" s="7" t="str">
        <f t="shared" si="5"/>
        <v>🔊</v>
      </c>
      <c r="D442" s="8" t="s">
        <v>7926</v>
      </c>
      <c r="E442" s="6" t="s">
        <v>3430</v>
      </c>
      <c r="F442" s="12" t="str">
        <f>IFERROR(__xludf.DUMMYFUNCTION("GOOGLETRANSLATE(B442,""zh_cn"",""vi"")"),"pháp luật")</f>
        <v>pháp luật</v>
      </c>
      <c r="G442" s="20" t="s">
        <v>7927</v>
      </c>
      <c r="H442" s="6"/>
      <c r="I442" s="11" t="b">
        <f t="shared" si="2"/>
        <v>0</v>
      </c>
      <c r="J442" s="24"/>
      <c r="K442" s="11" t="b">
        <f t="shared" si="3"/>
        <v>0</v>
      </c>
    </row>
    <row r="443" ht="22.5" customHeight="1">
      <c r="A443" s="12">
        <f t="shared" si="4"/>
        <v>2441</v>
      </c>
      <c r="B443" s="30" t="s">
        <v>7928</v>
      </c>
      <c r="C443" s="7" t="str">
        <f t="shared" si="5"/>
        <v>🔊</v>
      </c>
      <c r="D443" s="8" t="s">
        <v>7929</v>
      </c>
      <c r="E443" s="6" t="s">
        <v>27</v>
      </c>
      <c r="F443" s="12" t="str">
        <f>IFERROR(__xludf.DUMMYFUNCTION("GOOGLETRANSLATE(B443,""zh_cn"",""vi"")"),"tỉ lệ")</f>
        <v>tỉ lệ</v>
      </c>
      <c r="G443" s="20" t="s">
        <v>7930</v>
      </c>
      <c r="H443" s="6"/>
      <c r="I443" s="11" t="b">
        <f t="shared" si="2"/>
        <v>0</v>
      </c>
      <c r="J443" s="24"/>
      <c r="K443" s="11" t="b">
        <f t="shared" si="3"/>
        <v>0</v>
      </c>
    </row>
    <row r="444" ht="22.5" customHeight="1">
      <c r="A444" s="12">
        <f t="shared" si="4"/>
        <v>2442</v>
      </c>
      <c r="B444" s="30" t="s">
        <v>7931</v>
      </c>
      <c r="C444" s="7" t="str">
        <f t="shared" si="5"/>
        <v>🔊</v>
      </c>
      <c r="D444" s="8" t="s">
        <v>7932</v>
      </c>
      <c r="E444" s="6" t="s">
        <v>27</v>
      </c>
      <c r="F444" s="12" t="str">
        <f>IFERROR(__xludf.DUMMYFUNCTION("GOOGLETRANSLATE(B444,""zh_cn"",""vi"")"),"Họ của bạn là gì?")</f>
        <v>Họ của bạn là gì?</v>
      </c>
      <c r="G444" s="20" t="s">
        <v>7933</v>
      </c>
      <c r="H444" s="6"/>
      <c r="I444" s="11" t="b">
        <f t="shared" si="2"/>
        <v>0</v>
      </c>
      <c r="J444" s="24"/>
      <c r="K444" s="11" t="b">
        <f t="shared" si="3"/>
        <v>0</v>
      </c>
    </row>
    <row r="445" ht="22.5" customHeight="1">
      <c r="A445" s="12">
        <f t="shared" si="4"/>
        <v>2443</v>
      </c>
      <c r="B445" s="30" t="s">
        <v>7934</v>
      </c>
      <c r="C445" s="7" t="str">
        <f t="shared" si="5"/>
        <v>🔊</v>
      </c>
      <c r="D445" s="8" t="s">
        <v>7935</v>
      </c>
      <c r="E445" s="6" t="s">
        <v>3430</v>
      </c>
      <c r="F445" s="12" t="str">
        <f>IFERROR(__xludf.DUMMYFUNCTION("GOOGLETRANSLATE(B445,""zh_cn"",""vi"")"),"luật lệ")</f>
        <v>luật lệ</v>
      </c>
      <c r="G445" s="20" t="s">
        <v>7936</v>
      </c>
      <c r="H445" s="6"/>
      <c r="I445" s="11" t="b">
        <f t="shared" si="2"/>
        <v>0</v>
      </c>
      <c r="J445" s="24"/>
      <c r="K445" s="11" t="b">
        <f t="shared" si="3"/>
        <v>0</v>
      </c>
    </row>
    <row r="446" ht="22.5" customHeight="1">
      <c r="A446" s="12">
        <f t="shared" si="4"/>
        <v>2444</v>
      </c>
      <c r="B446" s="30" t="s">
        <v>7937</v>
      </c>
      <c r="C446" s="7" t="str">
        <f t="shared" si="5"/>
        <v>🔊</v>
      </c>
      <c r="D446" s="8" t="s">
        <v>7938</v>
      </c>
      <c r="E446" s="6" t="s">
        <v>27</v>
      </c>
      <c r="F446" s="12" t="str">
        <f>IFERROR(__xludf.DUMMYFUNCTION("GOOGLETRANSLATE(B446,""zh_cn"",""vi"")"),"tủ")</f>
        <v>tủ</v>
      </c>
      <c r="G446" s="20" t="s">
        <v>7939</v>
      </c>
      <c r="H446" s="6"/>
      <c r="I446" s="11" t="b">
        <f t="shared" si="2"/>
        <v>0</v>
      </c>
      <c r="J446" s="24"/>
      <c r="K446" s="11" t="b">
        <f t="shared" si="3"/>
        <v>0</v>
      </c>
    </row>
    <row r="447" ht="22.5" customHeight="1">
      <c r="A447" s="12">
        <f t="shared" si="4"/>
        <v>2445</v>
      </c>
      <c r="B447" s="30" t="s">
        <v>7940</v>
      </c>
      <c r="C447" s="7" t="str">
        <f t="shared" si="5"/>
        <v>🔊</v>
      </c>
      <c r="D447" s="8" t="s">
        <v>7941</v>
      </c>
      <c r="E447" s="6" t="s">
        <v>99</v>
      </c>
      <c r="F447" s="12" t="str">
        <f>IFERROR(__xludf.DUMMYFUNCTION("GOOGLETRANSLATE(B447,""zh_cn"",""vi"")"),"cổ đại")</f>
        <v>cổ đại</v>
      </c>
      <c r="G447" s="20" t="s">
        <v>7942</v>
      </c>
      <c r="H447" s="6"/>
      <c r="I447" s="11" t="b">
        <f t="shared" si="2"/>
        <v>0</v>
      </c>
      <c r="J447" s="24"/>
      <c r="K447" s="11" t="b">
        <f t="shared" si="3"/>
        <v>0</v>
      </c>
    </row>
    <row r="448" ht="22.5" customHeight="1">
      <c r="A448" s="12">
        <f t="shared" si="4"/>
        <v>2446</v>
      </c>
      <c r="B448" s="30" t="s">
        <v>7943</v>
      </c>
      <c r="C448" s="7" t="str">
        <f t="shared" si="5"/>
        <v>🔊</v>
      </c>
      <c r="D448" s="8" t="s">
        <v>7944</v>
      </c>
      <c r="E448" s="6" t="s">
        <v>13</v>
      </c>
      <c r="F448" s="12" t="str">
        <f>IFERROR(__xludf.DUMMYFUNCTION("GOOGLETRANSLATE(B448,""zh_cn"",""vi"")"),"cuộn")</f>
        <v>cuộn</v>
      </c>
      <c r="G448" s="20" t="s">
        <v>7945</v>
      </c>
      <c r="H448" s="6"/>
      <c r="I448" s="11" t="b">
        <f t="shared" si="2"/>
        <v>0</v>
      </c>
      <c r="J448" s="24"/>
      <c r="K448" s="11" t="b">
        <f t="shared" si="3"/>
        <v>0</v>
      </c>
    </row>
    <row r="449" ht="22.5" customHeight="1">
      <c r="A449" s="12">
        <f t="shared" si="4"/>
        <v>2447</v>
      </c>
      <c r="B449" s="30" t="s">
        <v>7946</v>
      </c>
      <c r="C449" s="7" t="str">
        <f t="shared" si="5"/>
        <v>🔊</v>
      </c>
      <c r="D449" s="8" t="s">
        <v>7947</v>
      </c>
      <c r="E449" s="6" t="s">
        <v>27</v>
      </c>
      <c r="F449" s="12" t="str">
        <f>IFERROR(__xludf.DUMMYFUNCTION("GOOGLETRANSLATE(B449,""zh_cn"",""vi"")"),"chậu")</f>
        <v>chậu</v>
      </c>
      <c r="G449" s="20" t="s">
        <v>7948</v>
      </c>
      <c r="H449" s="6"/>
      <c r="I449" s="11" t="b">
        <f t="shared" si="2"/>
        <v>0</v>
      </c>
      <c r="J449" s="24"/>
      <c r="K449" s="11" t="b">
        <f t="shared" si="3"/>
        <v>0</v>
      </c>
    </row>
    <row r="450" ht="22.5" customHeight="1">
      <c r="A450" s="12">
        <f t="shared" si="4"/>
        <v>2448</v>
      </c>
      <c r="B450" s="30" t="s">
        <v>7949</v>
      </c>
      <c r="C450" s="7" t="str">
        <f t="shared" si="5"/>
        <v>🔊</v>
      </c>
      <c r="D450" s="8" t="s">
        <v>7950</v>
      </c>
      <c r="E450" s="6" t="s">
        <v>99</v>
      </c>
      <c r="F450" s="12" t="str">
        <f>IFERROR(__xludf.DUMMYFUNCTION("GOOGLETRANSLATE(B450,""zh_cn"",""vi"")"),"qua")</f>
        <v>qua</v>
      </c>
      <c r="G450" s="20" t="s">
        <v>7951</v>
      </c>
      <c r="H450" s="6"/>
      <c r="I450" s="11" t="b">
        <f t="shared" si="2"/>
        <v>0</v>
      </c>
      <c r="J450" s="24"/>
      <c r="K450" s="11" t="b">
        <f t="shared" si="3"/>
        <v>0</v>
      </c>
    </row>
    <row r="451" ht="22.5" customHeight="1">
      <c r="A451" s="12">
        <f t="shared" si="4"/>
        <v>2449</v>
      </c>
      <c r="B451" s="30" t="s">
        <v>7952</v>
      </c>
      <c r="C451" s="7" t="str">
        <f t="shared" si="5"/>
        <v>🔊</v>
      </c>
      <c r="D451" s="8" t="s">
        <v>7953</v>
      </c>
      <c r="E451" s="6" t="s">
        <v>99</v>
      </c>
      <c r="F451" s="12" t="str">
        <f>IFERROR(__xludf.DUMMYFUNCTION("GOOGLETRANSLATE(B451,""zh_cn"",""vi"")"),"Quá mức")</f>
        <v>Quá mức</v>
      </c>
      <c r="G451" s="20" t="s">
        <v>7954</v>
      </c>
      <c r="H451" s="6"/>
      <c r="I451" s="11" t="b">
        <f t="shared" si="2"/>
        <v>0</v>
      </c>
      <c r="J451" s="24"/>
      <c r="K451" s="11" t="b">
        <f t="shared" si="3"/>
        <v>0</v>
      </c>
    </row>
    <row r="452" ht="22.5" customHeight="1">
      <c r="A452" s="12">
        <f t="shared" si="4"/>
        <v>2450</v>
      </c>
      <c r="B452" s="30" t="s">
        <v>7955</v>
      </c>
      <c r="C452" s="7" t="str">
        <f t="shared" si="5"/>
        <v>🔊</v>
      </c>
      <c r="D452" s="8" t="s">
        <v>7956</v>
      </c>
      <c r="E452" s="6" t="s">
        <v>27</v>
      </c>
      <c r="F452" s="12" t="str">
        <f>IFERROR(__xludf.DUMMYFUNCTION("GOOGLETRANSLATE(B452,""zh_cn"",""vi"")"),"Tranh truyền thống Trung Quốc")</f>
        <v>Tranh truyền thống Trung Quốc</v>
      </c>
      <c r="G452" s="20" t="s">
        <v>7957</v>
      </c>
      <c r="H452" s="6"/>
      <c r="I452" s="11" t="b">
        <f t="shared" si="2"/>
        <v>0</v>
      </c>
      <c r="J452" s="24"/>
      <c r="K452" s="11" t="b">
        <f t="shared" si="3"/>
        <v>0</v>
      </c>
    </row>
    <row r="453" ht="22.5" customHeight="1">
      <c r="A453" s="12">
        <f t="shared" si="4"/>
        <v>2451</v>
      </c>
      <c r="B453" s="30" t="s">
        <v>7958</v>
      </c>
      <c r="C453" s="7" t="str">
        <f t="shared" si="5"/>
        <v>🔊</v>
      </c>
      <c r="D453" s="8" t="s">
        <v>7959</v>
      </c>
      <c r="E453" s="6" t="s">
        <v>13</v>
      </c>
      <c r="F453" s="12" t="str">
        <f>IFERROR(__xludf.DUMMYFUNCTION("GOOGLETRANSLATE(B453,""zh_cn"",""vi"")"),"dị ứng")</f>
        <v>dị ứng</v>
      </c>
      <c r="G453" s="20" t="s">
        <v>7960</v>
      </c>
      <c r="H453" s="6"/>
      <c r="I453" s="11" t="b">
        <f t="shared" si="2"/>
        <v>0</v>
      </c>
      <c r="J453" s="24"/>
      <c r="K453" s="11" t="b">
        <f t="shared" si="3"/>
        <v>0</v>
      </c>
    </row>
    <row r="454" ht="22.5" customHeight="1">
      <c r="A454" s="12">
        <f t="shared" si="4"/>
        <v>2452</v>
      </c>
      <c r="B454" s="30" t="s">
        <v>7961</v>
      </c>
      <c r="C454" s="7" t="str">
        <f t="shared" si="5"/>
        <v>🔊</v>
      </c>
      <c r="D454" s="8" t="s">
        <v>7962</v>
      </c>
      <c r="E454" s="6" t="s">
        <v>13</v>
      </c>
      <c r="F454" s="12" t="str">
        <f>IFERROR(__xludf.DUMMYFUNCTION("GOOGLETRANSLATE(B454,""zh_cn"",""vi"")"),"Hết hạn")</f>
        <v>Hết hạn</v>
      </c>
      <c r="G454" s="20" t="s">
        <v>7963</v>
      </c>
      <c r="H454" s="6"/>
      <c r="I454" s="11" t="b">
        <f t="shared" si="2"/>
        <v>0</v>
      </c>
      <c r="J454" s="24"/>
      <c r="K454" s="11" t="b">
        <f t="shared" si="3"/>
        <v>0</v>
      </c>
    </row>
    <row r="455" ht="22.5" customHeight="1">
      <c r="A455" s="12">
        <f t="shared" si="4"/>
        <v>2453</v>
      </c>
      <c r="B455" s="30" t="s">
        <v>7964</v>
      </c>
      <c r="C455" s="7" t="str">
        <f t="shared" si="5"/>
        <v>🔊</v>
      </c>
      <c r="D455" s="8" t="s">
        <v>7965</v>
      </c>
      <c r="E455" s="6" t="s">
        <v>27</v>
      </c>
      <c r="F455" s="12" t="str">
        <f>IFERROR(__xludf.DUMMYFUNCTION("GOOGLETRANSLATE(B455,""zh_cn"",""vi"")"),"Ngày Quốc Khánh")</f>
        <v>Ngày Quốc Khánh</v>
      </c>
      <c r="G455" s="20" t="s">
        <v>7966</v>
      </c>
      <c r="H455" s="6"/>
      <c r="I455" s="11" t="b">
        <f t="shared" si="2"/>
        <v>0</v>
      </c>
      <c r="J455" s="24"/>
      <c r="K455" s="11" t="b">
        <f t="shared" si="3"/>
        <v>0</v>
      </c>
    </row>
    <row r="456" ht="22.5" customHeight="1">
      <c r="A456" s="12">
        <f t="shared" si="4"/>
        <v>2454</v>
      </c>
      <c r="B456" s="30" t="s">
        <v>7967</v>
      </c>
      <c r="C456" s="7" t="str">
        <f t="shared" si="5"/>
        <v>🔊</v>
      </c>
      <c r="D456" s="8" t="s">
        <v>7968</v>
      </c>
      <c r="E456" s="6" t="s">
        <v>61</v>
      </c>
      <c r="F456" s="12" t="str">
        <f>IFERROR(__xludf.DUMMYFUNCTION("GOOGLETRANSLATE(B456,""zh_cn"",""vi"")"),"Thực ra")</f>
        <v>Thực ra</v>
      </c>
      <c r="G456" s="20" t="s">
        <v>7969</v>
      </c>
      <c r="H456" s="6"/>
      <c r="I456" s="11" t="b">
        <f t="shared" si="2"/>
        <v>0</v>
      </c>
      <c r="J456" s="24"/>
      <c r="K456" s="11" t="b">
        <f t="shared" si="3"/>
        <v>0</v>
      </c>
    </row>
    <row r="457" ht="22.5" customHeight="1">
      <c r="A457" s="12">
        <f t="shared" si="4"/>
        <v>2455</v>
      </c>
      <c r="B457" s="30" t="s">
        <v>7970</v>
      </c>
      <c r="C457" s="7" t="str">
        <f t="shared" si="5"/>
        <v>🔊</v>
      </c>
      <c r="D457" s="8" t="s">
        <v>7971</v>
      </c>
      <c r="E457" s="6" t="s">
        <v>27</v>
      </c>
      <c r="F457" s="12" t="str">
        <f>IFERROR(__xludf.DUMMYFUNCTION("GOOGLETRANSLATE(B457,""zh_cn"",""vi"")"),"hoa quả")</f>
        <v>hoa quả</v>
      </c>
      <c r="G457" s="20" t="s">
        <v>7972</v>
      </c>
      <c r="H457" s="6"/>
      <c r="I457" s="11" t="b">
        <f t="shared" si="2"/>
        <v>0</v>
      </c>
      <c r="J457" s="24"/>
      <c r="K457" s="11" t="b">
        <f t="shared" si="3"/>
        <v>0</v>
      </c>
    </row>
    <row r="458" ht="22.5" customHeight="1">
      <c r="A458" s="12">
        <f t="shared" si="4"/>
        <v>2456</v>
      </c>
      <c r="B458" s="30" t="s">
        <v>7973</v>
      </c>
      <c r="C458" s="7" t="str">
        <f t="shared" si="5"/>
        <v>🔊</v>
      </c>
      <c r="D458" s="8" t="s">
        <v>7974</v>
      </c>
      <c r="E458" s="6" t="s">
        <v>61</v>
      </c>
      <c r="F458" s="12" t="str">
        <f>IFERROR(__xludf.DUMMYFUNCTION("GOOGLETRANSLATE(B458,""zh_cn"",""vi"")"),"cũng vậy")</f>
        <v>cũng vậy</v>
      </c>
      <c r="G458" s="20" t="s">
        <v>7975</v>
      </c>
      <c r="H458" s="6"/>
      <c r="I458" s="11" t="b">
        <f t="shared" si="2"/>
        <v>0</v>
      </c>
      <c r="J458" s="24"/>
      <c r="K458" s="11" t="b">
        <f t="shared" si="3"/>
        <v>0</v>
      </c>
    </row>
    <row r="459" ht="22.5" customHeight="1">
      <c r="A459" s="12">
        <f t="shared" si="4"/>
        <v>2457</v>
      </c>
      <c r="B459" s="30" t="s">
        <v>7976</v>
      </c>
      <c r="C459" s="7" t="str">
        <f t="shared" si="5"/>
        <v>🔊</v>
      </c>
      <c r="D459" s="8" t="s">
        <v>7977</v>
      </c>
      <c r="E459" s="6" t="s">
        <v>27</v>
      </c>
      <c r="F459" s="12" t="str">
        <f>IFERROR(__xludf.DUMMYFUNCTION("GOOGLETRANSLATE(B459,""zh_cn"",""vi"")"),"trang chủ")</f>
        <v>trang chủ</v>
      </c>
      <c r="G459" s="20" t="s">
        <v>7978</v>
      </c>
      <c r="H459" s="6"/>
      <c r="I459" s="11" t="b">
        <f t="shared" si="2"/>
        <v>0</v>
      </c>
      <c r="J459" s="24"/>
      <c r="K459" s="11" t="b">
        <f t="shared" si="3"/>
        <v>0</v>
      </c>
    </row>
    <row r="460" ht="22.5" customHeight="1">
      <c r="A460" s="12">
        <f t="shared" si="4"/>
        <v>2458</v>
      </c>
      <c r="B460" s="30" t="s">
        <v>7979</v>
      </c>
      <c r="C460" s="7" t="str">
        <f t="shared" si="5"/>
        <v>🔊</v>
      </c>
      <c r="D460" s="8" t="s">
        <v>7980</v>
      </c>
      <c r="E460" s="6" t="s">
        <v>13</v>
      </c>
      <c r="F460" s="12" t="str">
        <f>IFERROR(__xludf.DUMMYFUNCTION("GOOGLETRANSLATE(B460,""zh_cn"",""vi"")"),"vỗ tay")</f>
        <v>vỗ tay</v>
      </c>
      <c r="G460" s="20" t="s">
        <v>7981</v>
      </c>
      <c r="H460" s="6"/>
      <c r="I460" s="11" t="b">
        <f t="shared" si="2"/>
        <v>0</v>
      </c>
      <c r="J460" s="24"/>
      <c r="K460" s="11" t="b">
        <f t="shared" si="3"/>
        <v>0</v>
      </c>
    </row>
    <row r="461" ht="22.5" customHeight="1">
      <c r="A461" s="12">
        <f t="shared" si="4"/>
        <v>2459</v>
      </c>
      <c r="B461" s="30" t="s">
        <v>7982</v>
      </c>
      <c r="C461" s="7" t="str">
        <f t="shared" si="5"/>
        <v>🔊</v>
      </c>
      <c r="D461" s="8" t="s">
        <v>7983</v>
      </c>
      <c r="E461" s="6" t="s">
        <v>7984</v>
      </c>
      <c r="F461" s="12" t="str">
        <f>IFERROR(__xludf.DUMMYFUNCTION("GOOGLETRANSLATE(B461,""zh_cn"",""vi"")"),"ha")</f>
        <v>ha</v>
      </c>
      <c r="G461" s="20" t="s">
        <v>7985</v>
      </c>
      <c r="H461" s="6"/>
      <c r="I461" s="11" t="b">
        <f t="shared" si="2"/>
        <v>0</v>
      </c>
      <c r="J461" s="24"/>
      <c r="K461" s="11" t="b">
        <f t="shared" si="3"/>
        <v>0</v>
      </c>
    </row>
    <row r="462" ht="22.5" customHeight="1">
      <c r="A462" s="12">
        <f t="shared" si="4"/>
        <v>2460</v>
      </c>
      <c r="B462" s="30" t="s">
        <v>7986</v>
      </c>
      <c r="C462" s="7" t="str">
        <f t="shared" si="5"/>
        <v>🔊</v>
      </c>
      <c r="D462" s="8" t="s">
        <v>7987</v>
      </c>
      <c r="E462" s="6" t="s">
        <v>27</v>
      </c>
      <c r="F462" s="12" t="str">
        <f>IFERROR(__xludf.DUMMYFUNCTION("GOOGLETRANSLATE(B462,""zh_cn"",""vi"")"),"hải quan")</f>
        <v>hải quan</v>
      </c>
      <c r="G462" s="20" t="s">
        <v>7988</v>
      </c>
      <c r="H462" s="6"/>
      <c r="I462" s="11" t="b">
        <f t="shared" si="2"/>
        <v>0</v>
      </c>
      <c r="J462" s="24"/>
      <c r="K462" s="11" t="b">
        <f t="shared" si="3"/>
        <v>0</v>
      </c>
    </row>
    <row r="463" ht="22.5" customHeight="1">
      <c r="A463" s="12">
        <f t="shared" si="4"/>
        <v>2461</v>
      </c>
      <c r="B463" s="30" t="s">
        <v>7989</v>
      </c>
      <c r="C463" s="7" t="str">
        <f t="shared" si="5"/>
        <v>🔊</v>
      </c>
      <c r="D463" s="8" t="s">
        <v>7990</v>
      </c>
      <c r="E463" s="6" t="s">
        <v>27</v>
      </c>
      <c r="F463" s="12" t="str">
        <f>IFERROR(__xludf.DUMMYFUNCTION("GOOGLETRANSLATE(B463,""zh_cn"",""vi"")"),"nước ngoài")</f>
        <v>nước ngoài</v>
      </c>
      <c r="G463" s="20" t="s">
        <v>7991</v>
      </c>
      <c r="H463" s="6"/>
      <c r="I463" s="11" t="b">
        <f t="shared" si="2"/>
        <v>0</v>
      </c>
      <c r="J463" s="24"/>
      <c r="K463" s="11" t="b">
        <f t="shared" si="3"/>
        <v>0</v>
      </c>
    </row>
    <row r="464" ht="22.5" customHeight="1">
      <c r="A464" s="12">
        <f t="shared" si="4"/>
        <v>2462</v>
      </c>
      <c r="B464" s="30" t="s">
        <v>7992</v>
      </c>
      <c r="C464" s="7" t="str">
        <f t="shared" si="5"/>
        <v>🔊</v>
      </c>
      <c r="D464" s="8" t="s">
        <v>7993</v>
      </c>
      <c r="E464" s="6" t="s">
        <v>27</v>
      </c>
      <c r="F464" s="12" t="str">
        <f>IFERROR(__xludf.DUMMYFUNCTION("GOOGLETRANSLATE(B464,""zh_cn"",""vi"")"),"hải sản")</f>
        <v>hải sản</v>
      </c>
      <c r="G464" s="20" t="s">
        <v>7994</v>
      </c>
      <c r="H464" s="6"/>
      <c r="I464" s="11" t="b">
        <f t="shared" si="2"/>
        <v>0</v>
      </c>
      <c r="J464" s="24"/>
      <c r="K464" s="11" t="b">
        <f t="shared" si="3"/>
        <v>0</v>
      </c>
    </row>
    <row r="465" ht="22.5" customHeight="1">
      <c r="A465" s="12">
        <f t="shared" si="4"/>
        <v>2463</v>
      </c>
      <c r="B465" s="30" t="s">
        <v>7995</v>
      </c>
      <c r="C465" s="7" t="str">
        <f t="shared" si="5"/>
        <v>🔊</v>
      </c>
      <c r="D465" s="8" t="s">
        <v>7996</v>
      </c>
      <c r="E465" s="6" t="s">
        <v>13</v>
      </c>
      <c r="F465" s="12" t="str">
        <f>IFERROR(__xludf.DUMMYFUNCTION("GOOGLETRANSLATE(B465,""zh_cn"",""vi"")"),"Bao gồm")</f>
        <v>Bao gồm</v>
      </c>
      <c r="G465" s="20" t="s">
        <v>7997</v>
      </c>
      <c r="H465" s="6"/>
      <c r="I465" s="11" t="b">
        <f t="shared" si="2"/>
        <v>0</v>
      </c>
      <c r="J465" s="24"/>
      <c r="K465" s="11" t="b">
        <f t="shared" si="3"/>
        <v>0</v>
      </c>
    </row>
    <row r="466" ht="22.5" customHeight="1">
      <c r="A466" s="12">
        <f t="shared" si="4"/>
        <v>2464</v>
      </c>
      <c r="B466" s="30" t="s">
        <v>3000</v>
      </c>
      <c r="C466" s="7" t="str">
        <f t="shared" si="5"/>
        <v>🔊</v>
      </c>
      <c r="D466" s="8" t="s">
        <v>7998</v>
      </c>
      <c r="E466" s="6" t="s">
        <v>259</v>
      </c>
      <c r="F466" s="12" t="str">
        <f>IFERROR(__xludf.DUMMYFUNCTION("GOOGLETRANSLATE(B466,""zh_cn"",""vi"")"),"ĐƯỢC RỒI")</f>
        <v>ĐƯỢC RỒI</v>
      </c>
      <c r="G466" s="20" t="s">
        <v>7999</v>
      </c>
      <c r="H466" s="6"/>
      <c r="I466" s="11" t="b">
        <f t="shared" si="2"/>
        <v>0</v>
      </c>
      <c r="J466" s="24"/>
      <c r="K466" s="11" t="b">
        <f t="shared" si="3"/>
        <v>0</v>
      </c>
    </row>
    <row r="467" ht="22.5" customHeight="1">
      <c r="A467" s="12">
        <f t="shared" si="4"/>
        <v>2465</v>
      </c>
      <c r="B467" s="30" t="s">
        <v>8000</v>
      </c>
      <c r="C467" s="7" t="str">
        <f t="shared" si="5"/>
        <v>🔊</v>
      </c>
      <c r="D467" s="8" t="s">
        <v>8001</v>
      </c>
      <c r="E467" s="6" t="s">
        <v>27</v>
      </c>
      <c r="F467" s="12" t="str">
        <f>IFERROR(__xludf.DUMMYFUNCTION("GOOGLETRANSLATE(B467,""zh_cn"",""vi"")"),"ngành công nghiệp")</f>
        <v>ngành công nghiệp</v>
      </c>
      <c r="G467" s="20" t="s">
        <v>8002</v>
      </c>
      <c r="H467" s="6"/>
      <c r="I467" s="11" t="b">
        <f t="shared" si="2"/>
        <v>0</v>
      </c>
      <c r="J467" s="24"/>
      <c r="K467" s="11" t="b">
        <f t="shared" si="3"/>
        <v>0</v>
      </c>
    </row>
    <row r="468" ht="22.5" customHeight="1">
      <c r="A468" s="12">
        <f t="shared" si="4"/>
        <v>2466</v>
      </c>
      <c r="B468" s="30" t="s">
        <v>8003</v>
      </c>
      <c r="C468" s="7" t="str">
        <f t="shared" si="5"/>
        <v>🔊</v>
      </c>
      <c r="D468" s="8" t="s">
        <v>8004</v>
      </c>
      <c r="E468" s="6" t="s">
        <v>27</v>
      </c>
      <c r="F468" s="12" t="str">
        <f>IFERROR(__xludf.DUMMYFUNCTION("GOOGLETRANSLATE(B468,""zh_cn"",""vi"")"),"nội dung")</f>
        <v>nội dung</v>
      </c>
      <c r="G468" s="20" t="s">
        <v>8005</v>
      </c>
      <c r="H468" s="6"/>
      <c r="I468" s="11" t="b">
        <f t="shared" si="2"/>
        <v>0</v>
      </c>
      <c r="J468" s="24"/>
      <c r="K468" s="11" t="b">
        <f t="shared" si="3"/>
        <v>0</v>
      </c>
    </row>
    <row r="469" ht="22.5" customHeight="1">
      <c r="A469" s="12">
        <f t="shared" si="4"/>
        <v>2467</v>
      </c>
      <c r="B469" s="30" t="s">
        <v>8006</v>
      </c>
      <c r="C469" s="7" t="str">
        <f t="shared" si="5"/>
        <v>🔊</v>
      </c>
      <c r="D469" s="8" t="s">
        <v>8007</v>
      </c>
      <c r="E469" s="6" t="s">
        <v>27</v>
      </c>
      <c r="F469" s="12" t="str">
        <f>IFERROR(__xludf.DUMMYFUNCTION("GOOGLETRANSLATE(B469,""zh_cn"",""vi"")"),"mồ hôi")</f>
        <v>mồ hôi</v>
      </c>
      <c r="G469" s="20" t="s">
        <v>8008</v>
      </c>
      <c r="H469" s="6"/>
      <c r="I469" s="11" t="b">
        <f t="shared" si="2"/>
        <v>0</v>
      </c>
      <c r="J469" s="24"/>
      <c r="K469" s="11" t="b">
        <f t="shared" si="3"/>
        <v>0</v>
      </c>
    </row>
    <row r="470" ht="22.5" customHeight="1">
      <c r="A470" s="12">
        <f t="shared" si="4"/>
        <v>2468</v>
      </c>
      <c r="B470" s="30" t="s">
        <v>8009</v>
      </c>
      <c r="C470" s="7" t="str">
        <f t="shared" si="5"/>
        <v>🔊</v>
      </c>
      <c r="D470" s="8" t="s">
        <v>8010</v>
      </c>
      <c r="E470" s="6" t="s">
        <v>13</v>
      </c>
      <c r="F470" s="12" t="str">
        <f>IFERROR(__xludf.DUMMYFUNCTION("GOOGLETRANSLATE(B470,""zh_cn"",""vi"")"),"bao gồm")</f>
        <v>bao gồm</v>
      </c>
      <c r="G470" s="20" t="s">
        <v>8011</v>
      </c>
      <c r="H470" s="6"/>
      <c r="I470" s="11" t="b">
        <f t="shared" si="2"/>
        <v>0</v>
      </c>
      <c r="J470" s="24"/>
      <c r="K470" s="11" t="b">
        <f t="shared" si="3"/>
        <v>0</v>
      </c>
    </row>
    <row r="471" ht="22.5" customHeight="1">
      <c r="A471" s="12">
        <f t="shared" si="4"/>
        <v>2469</v>
      </c>
      <c r="B471" s="30" t="s">
        <v>261</v>
      </c>
      <c r="C471" s="7" t="str">
        <f t="shared" si="5"/>
        <v>🔊</v>
      </c>
      <c r="D471" s="8" t="s">
        <v>258</v>
      </c>
      <c r="E471" s="6" t="s">
        <v>13</v>
      </c>
      <c r="F471" s="12" t="str">
        <f>IFERROR(__xludf.DUMMYFUNCTION("GOOGLETRANSLATE(B471,""zh_cn"",""vi"")"),"Tốt")</f>
        <v>Tốt</v>
      </c>
      <c r="G471" s="20" t="s">
        <v>8012</v>
      </c>
      <c r="H471" s="6"/>
      <c r="I471" s="11" t="b">
        <f t="shared" si="2"/>
        <v>0</v>
      </c>
      <c r="J471" s="24"/>
      <c r="K471" s="11" t="b">
        <f t="shared" si="3"/>
        <v>0</v>
      </c>
    </row>
    <row r="472" ht="22.5" customHeight="1">
      <c r="A472" s="12">
        <f t="shared" si="4"/>
        <v>2470</v>
      </c>
      <c r="B472" s="30" t="s">
        <v>8013</v>
      </c>
      <c r="C472" s="7" t="str">
        <f t="shared" si="5"/>
        <v>🔊</v>
      </c>
      <c r="D472" s="8" t="s">
        <v>8014</v>
      </c>
      <c r="E472" s="6" t="s">
        <v>27</v>
      </c>
      <c r="F472" s="12" t="str">
        <f>IFERROR(__xludf.DUMMYFUNCTION("GOOGLETRANSLATE(B472,""zh_cn"",""vi"")"),"Đánh giá tích cực")</f>
        <v>Đánh giá tích cực</v>
      </c>
      <c r="G472" s="20" t="s">
        <v>8015</v>
      </c>
      <c r="H472" s="6"/>
      <c r="I472" s="11" t="b">
        <f t="shared" si="2"/>
        <v>0</v>
      </c>
      <c r="J472" s="24"/>
      <c r="K472" s="11" t="b">
        <f t="shared" si="3"/>
        <v>0</v>
      </c>
    </row>
    <row r="473" ht="22.5" customHeight="1">
      <c r="A473" s="12">
        <f t="shared" si="4"/>
        <v>2471</v>
      </c>
      <c r="B473" s="30" t="s">
        <v>8016</v>
      </c>
      <c r="C473" s="7" t="str">
        <f t="shared" si="5"/>
        <v>🔊</v>
      </c>
      <c r="D473" s="8" t="s">
        <v>8017</v>
      </c>
      <c r="E473" s="6" t="s">
        <v>99</v>
      </c>
      <c r="F473" s="12" t="str">
        <f>IFERROR(__xludf.DUMMYFUNCTION("GOOGLETRANSLATE(B473,""zh_cn"",""vi"")"),"tò mò")</f>
        <v>tò mò</v>
      </c>
      <c r="G473" s="20" t="s">
        <v>8018</v>
      </c>
      <c r="H473" s="6"/>
      <c r="I473" s="11" t="b">
        <f t="shared" si="2"/>
        <v>0</v>
      </c>
      <c r="J473" s="24"/>
      <c r="K473" s="11" t="b">
        <f t="shared" si="3"/>
        <v>0</v>
      </c>
    </row>
    <row r="474" ht="22.5" customHeight="1">
      <c r="A474" s="12">
        <f t="shared" si="4"/>
        <v>2472</v>
      </c>
      <c r="B474" s="30" t="s">
        <v>8019</v>
      </c>
      <c r="C474" s="7" t="str">
        <f t="shared" si="5"/>
        <v>🔊</v>
      </c>
      <c r="D474" s="8" t="s">
        <v>8020</v>
      </c>
      <c r="E474" s="6" t="s">
        <v>27</v>
      </c>
      <c r="F474" s="12" t="str">
        <f>IFERROR(__xludf.DUMMYFUNCTION("GOOGLETRANSLATE(B474,""zh_cn"",""vi"")"),"chúc may mắn")</f>
        <v>chúc may mắn</v>
      </c>
      <c r="G474" s="20" t="s">
        <v>8021</v>
      </c>
      <c r="H474" s="6"/>
      <c r="I474" s="11" t="b">
        <f t="shared" si="2"/>
        <v>0</v>
      </c>
      <c r="J474" s="24"/>
      <c r="K474" s="11" t="b">
        <f t="shared" si="3"/>
        <v>0</v>
      </c>
    </row>
    <row r="475" ht="22.5" customHeight="1">
      <c r="A475" s="12">
        <f t="shared" si="4"/>
        <v>2473</v>
      </c>
      <c r="B475" s="30" t="s">
        <v>8022</v>
      </c>
      <c r="C475" s="7" t="str">
        <f t="shared" si="5"/>
        <v>🔊</v>
      </c>
      <c r="D475" s="8" t="s">
        <v>8023</v>
      </c>
      <c r="E475" s="6" t="s">
        <v>13</v>
      </c>
      <c r="F475" s="12" t="str">
        <f>IFERROR(__xludf.DUMMYFUNCTION("GOOGLETRANSLATE(B475,""zh_cn"",""vi"")"),"Sự cải tiến")</f>
        <v>Sự cải tiến</v>
      </c>
      <c r="G475" s="20" t="s">
        <v>8024</v>
      </c>
      <c r="H475" s="6"/>
      <c r="I475" s="11" t="b">
        <f t="shared" si="2"/>
        <v>0</v>
      </c>
      <c r="J475" s="24"/>
      <c r="K475" s="11" t="b">
        <f t="shared" si="3"/>
        <v>0</v>
      </c>
    </row>
    <row r="476" ht="22.5" customHeight="1">
      <c r="A476" s="12">
        <f t="shared" si="4"/>
        <v>2474</v>
      </c>
      <c r="B476" s="30" t="s">
        <v>8025</v>
      </c>
      <c r="C476" s="7" t="str">
        <f t="shared" si="5"/>
        <v>🔊</v>
      </c>
      <c r="D476" s="8" t="s">
        <v>280</v>
      </c>
      <c r="E476" s="6" t="s">
        <v>13</v>
      </c>
      <c r="F476" s="12" t="str">
        <f>IFERROR(__xludf.DUMMYFUNCTION("GOOGLETRANSLATE(B476,""zh_cn"",""vi"")"),"kết hợp")</f>
        <v>kết hợp</v>
      </c>
      <c r="G476" s="20" t="s">
        <v>8026</v>
      </c>
      <c r="H476" s="6"/>
      <c r="I476" s="11" t="b">
        <f t="shared" si="2"/>
        <v>0</v>
      </c>
      <c r="J476" s="24"/>
      <c r="K476" s="11" t="b">
        <f t="shared" si="3"/>
        <v>0</v>
      </c>
    </row>
    <row r="477" ht="22.5" customHeight="1">
      <c r="A477" s="12">
        <f t="shared" si="4"/>
        <v>2475</v>
      </c>
      <c r="B477" s="30" t="s">
        <v>8027</v>
      </c>
      <c r="C477" s="7" t="str">
        <f t="shared" si="5"/>
        <v>🔊</v>
      </c>
      <c r="D477" s="8" t="s">
        <v>8028</v>
      </c>
      <c r="E477" s="6" t="s">
        <v>99</v>
      </c>
      <c r="F477" s="12" t="str">
        <f>IFERROR(__xludf.DUMMYFUNCTION("GOOGLETRANSLATE(B477,""zh_cn"",""vi"")"),"hợp pháp")</f>
        <v>hợp pháp</v>
      </c>
      <c r="G477" s="20" t="s">
        <v>8029</v>
      </c>
      <c r="H477" s="6"/>
      <c r="I477" s="11" t="b">
        <f t="shared" si="2"/>
        <v>0</v>
      </c>
      <c r="J477" s="24"/>
      <c r="K477" s="11" t="b">
        <f t="shared" si="3"/>
        <v>0</v>
      </c>
    </row>
    <row r="478" ht="22.5" customHeight="1">
      <c r="A478" s="12">
        <f t="shared" si="4"/>
        <v>2476</v>
      </c>
      <c r="B478" s="30" t="s">
        <v>8030</v>
      </c>
      <c r="C478" s="7" t="str">
        <f t="shared" si="5"/>
        <v>🔊</v>
      </c>
      <c r="D478" s="8" t="s">
        <v>8031</v>
      </c>
      <c r="E478" s="6" t="s">
        <v>27</v>
      </c>
      <c r="F478" s="12" t="str">
        <f>IFERROR(__xludf.DUMMYFUNCTION("GOOGLETRANSLATE(B478,""zh_cn"",""vi"")"),"hộp cơm trưa")</f>
        <v>hộp cơm trưa</v>
      </c>
      <c r="G478" s="20" t="s">
        <v>8032</v>
      </c>
      <c r="H478" s="6"/>
      <c r="I478" s="11" t="b">
        <f t="shared" si="2"/>
        <v>0</v>
      </c>
      <c r="J478" s="24"/>
      <c r="K478" s="11" t="b">
        <f t="shared" si="3"/>
        <v>0</v>
      </c>
    </row>
    <row r="479" ht="22.5" customHeight="1">
      <c r="A479" s="12">
        <f t="shared" si="4"/>
        <v>2477</v>
      </c>
      <c r="B479" s="30" t="s">
        <v>8033</v>
      </c>
      <c r="C479" s="7" t="str">
        <f t="shared" si="5"/>
        <v>🔊</v>
      </c>
      <c r="D479" s="8" t="s">
        <v>8034</v>
      </c>
      <c r="E479" s="6" t="s">
        <v>99</v>
      </c>
      <c r="F479" s="12" t="str">
        <f>IFERROR(__xludf.DUMMYFUNCTION("GOOGLETRANSLATE(B479,""zh_cn"",""vi"")"),"đen")</f>
        <v>đen</v>
      </c>
      <c r="G479" s="20" t="s">
        <v>8035</v>
      </c>
      <c r="H479" s="6"/>
      <c r="I479" s="11" t="b">
        <f t="shared" si="2"/>
        <v>0</v>
      </c>
      <c r="J479" s="24"/>
      <c r="K479" s="11" t="b">
        <f t="shared" si="3"/>
        <v>0</v>
      </c>
    </row>
    <row r="480" ht="22.5" customHeight="1">
      <c r="A480" s="12">
        <f t="shared" si="4"/>
        <v>2478</v>
      </c>
      <c r="B480" s="30" t="s">
        <v>8036</v>
      </c>
      <c r="C480" s="7" t="str">
        <f t="shared" si="5"/>
        <v>🔊</v>
      </c>
      <c r="D480" s="8" t="s">
        <v>8037</v>
      </c>
      <c r="E480" s="6" t="s">
        <v>99</v>
      </c>
      <c r="F480" s="12" t="str">
        <f>IFERROR(__xludf.DUMMYFUNCTION("GOOGLETRANSLATE(B480,""zh_cn"",""vi"")"),"Hợp lý")</f>
        <v>Hợp lý</v>
      </c>
      <c r="G480" s="20" t="s">
        <v>8038</v>
      </c>
      <c r="H480" s="6"/>
      <c r="I480" s="11" t="b">
        <f t="shared" si="2"/>
        <v>0</v>
      </c>
      <c r="J480" s="24"/>
      <c r="K480" s="11" t="b">
        <f t="shared" si="3"/>
        <v>0</v>
      </c>
    </row>
    <row r="481" ht="22.5" customHeight="1">
      <c r="A481" s="12">
        <f t="shared" si="4"/>
        <v>2479</v>
      </c>
      <c r="B481" s="30" t="s">
        <v>8039</v>
      </c>
      <c r="C481" s="7" t="str">
        <f t="shared" si="5"/>
        <v>🔊</v>
      </c>
      <c r="D481" s="8" t="s">
        <v>8040</v>
      </c>
      <c r="E481" s="6" t="s">
        <v>27</v>
      </c>
      <c r="F481" s="12" t="str">
        <f>IFERROR(__xludf.DUMMYFUNCTION("GOOGLETRANSLATE(B481,""zh_cn"",""vi"")"),"dòng sông")</f>
        <v>dòng sông</v>
      </c>
      <c r="G481" s="20" t="s">
        <v>8041</v>
      </c>
      <c r="H481" s="6"/>
      <c r="I481" s="11" t="b">
        <f t="shared" si="2"/>
        <v>0</v>
      </c>
      <c r="J481" s="24"/>
      <c r="K481" s="11" t="b">
        <f t="shared" si="3"/>
        <v>0</v>
      </c>
    </row>
    <row r="482" ht="22.5" customHeight="1">
      <c r="A482" s="12">
        <f t="shared" si="4"/>
        <v>2480</v>
      </c>
      <c r="B482" s="30" t="s">
        <v>8042</v>
      </c>
      <c r="C482" s="7" t="str">
        <f t="shared" si="5"/>
        <v>🔊</v>
      </c>
      <c r="D482" s="8" t="s">
        <v>8043</v>
      </c>
      <c r="E482" s="6" t="s">
        <v>27</v>
      </c>
      <c r="F482" s="12" t="str">
        <f>IFERROR(__xludf.DUMMYFUNCTION("GOOGLETRANSLATE(B482,""zh_cn"",""vi"")"),"hợp đồng")</f>
        <v>hợp đồng</v>
      </c>
      <c r="G482" s="20" t="s">
        <v>8044</v>
      </c>
      <c r="H482" s="6"/>
      <c r="I482" s="11" t="b">
        <f t="shared" si="2"/>
        <v>0</v>
      </c>
      <c r="J482" s="24"/>
      <c r="K482" s="11" t="b">
        <f t="shared" si="3"/>
        <v>0</v>
      </c>
    </row>
    <row r="483" ht="22.5" customHeight="1">
      <c r="A483" s="12">
        <f t="shared" si="4"/>
        <v>2481</v>
      </c>
      <c r="B483" s="30" t="s">
        <v>8045</v>
      </c>
      <c r="C483" s="7" t="str">
        <f t="shared" si="5"/>
        <v>🔊</v>
      </c>
      <c r="D483" s="8" t="s">
        <v>8046</v>
      </c>
      <c r="E483" s="6" t="s">
        <v>232</v>
      </c>
      <c r="F483" s="12" t="str">
        <f>IFERROR(__xludf.DUMMYFUNCTION("GOOGLETRANSLATE(B483,""zh_cn"",""vi"")"),"ảnh nhóm")</f>
        <v>ảnh nhóm</v>
      </c>
      <c r="G483" s="20" t="s">
        <v>8047</v>
      </c>
      <c r="H483" s="6"/>
      <c r="I483" s="11" t="b">
        <f t="shared" si="2"/>
        <v>0</v>
      </c>
      <c r="J483" s="24"/>
      <c r="K483" s="11" t="b">
        <f t="shared" si="3"/>
        <v>0</v>
      </c>
    </row>
    <row r="484" ht="22.5" customHeight="1">
      <c r="A484" s="12">
        <f t="shared" si="4"/>
        <v>2482</v>
      </c>
      <c r="B484" s="30" t="s">
        <v>8048</v>
      </c>
      <c r="C484" s="7" t="str">
        <f t="shared" si="5"/>
        <v>🔊</v>
      </c>
      <c r="D484" s="8" t="s">
        <v>8049</v>
      </c>
      <c r="E484" s="6" t="s">
        <v>13</v>
      </c>
      <c r="F484" s="12" t="str">
        <f>IFERROR(__xludf.DUMMYFUNCTION("GOOGLETRANSLATE(B484,""zh_cn"",""vi"")"),"hợp tác")</f>
        <v>hợp tác</v>
      </c>
      <c r="G484" s="20" t="s">
        <v>8050</v>
      </c>
      <c r="H484" s="6"/>
      <c r="I484" s="11" t="b">
        <f t="shared" si="2"/>
        <v>0</v>
      </c>
      <c r="J484" s="24"/>
      <c r="K484" s="11" t="b">
        <f t="shared" si="3"/>
        <v>0</v>
      </c>
    </row>
    <row r="485" ht="22.5" customHeight="1">
      <c r="A485" s="12">
        <f t="shared" si="4"/>
        <v>2483</v>
      </c>
      <c r="B485" s="30" t="s">
        <v>8051</v>
      </c>
      <c r="C485" s="7" t="str">
        <f t="shared" si="5"/>
        <v>🔊</v>
      </c>
      <c r="D485" s="8" t="s">
        <v>8052</v>
      </c>
      <c r="E485" s="6" t="s">
        <v>99</v>
      </c>
      <c r="F485" s="12" t="str">
        <f>IFERROR(__xludf.DUMMYFUNCTION("GOOGLETRANSLATE(B485,""zh_cn"",""vi"")"),"màu đỏ")</f>
        <v>màu đỏ</v>
      </c>
      <c r="G485" s="20" t="s">
        <v>8053</v>
      </c>
      <c r="H485" s="6"/>
      <c r="I485" s="11" t="b">
        <f t="shared" si="2"/>
        <v>0</v>
      </c>
      <c r="J485" s="24"/>
      <c r="K485" s="11" t="b">
        <f t="shared" si="3"/>
        <v>0</v>
      </c>
    </row>
    <row r="486" ht="22.5" customHeight="1">
      <c r="A486" s="12">
        <f t="shared" si="4"/>
        <v>2484</v>
      </c>
      <c r="B486" s="30" t="s">
        <v>8054</v>
      </c>
      <c r="C486" s="7" t="str">
        <f t="shared" si="5"/>
        <v>🔊</v>
      </c>
      <c r="D486" s="8" t="s">
        <v>8055</v>
      </c>
      <c r="E486" s="6" t="s">
        <v>27</v>
      </c>
      <c r="F486" s="12" t="str">
        <f>IFERROR(__xludf.DUMMYFUNCTION("GOOGLETRANSLATE(B486,""zh_cn"",""vi"")"),"độ dày")</f>
        <v>độ dày</v>
      </c>
      <c r="G486" s="20" t="s">
        <v>8056</v>
      </c>
      <c r="H486" s="6"/>
      <c r="I486" s="11" t="b">
        <f t="shared" si="2"/>
        <v>0</v>
      </c>
      <c r="J486" s="24"/>
      <c r="K486" s="11" t="b">
        <f t="shared" si="3"/>
        <v>0</v>
      </c>
    </row>
    <row r="487" ht="22.5" customHeight="1">
      <c r="A487" s="12">
        <f t="shared" si="4"/>
        <v>2485</v>
      </c>
      <c r="B487" s="30" t="s">
        <v>8057</v>
      </c>
      <c r="C487" s="7" t="str">
        <f t="shared" si="5"/>
        <v>🔊</v>
      </c>
      <c r="D487" s="8" t="s">
        <v>8058</v>
      </c>
      <c r="E487" s="6" t="s">
        <v>27</v>
      </c>
      <c r="F487" s="12" t="str">
        <f>IFERROR(__xludf.DUMMYFUNCTION("GOOGLETRANSLATE(B487,""zh_cn"",""vi"")"),"bởi vì")</f>
        <v>bởi vì</v>
      </c>
      <c r="G487" s="20" t="s">
        <v>8059</v>
      </c>
      <c r="H487" s="6"/>
      <c r="I487" s="11" t="b">
        <f t="shared" si="2"/>
        <v>0</v>
      </c>
      <c r="J487" s="24"/>
      <c r="K487" s="11" t="b">
        <f t="shared" si="3"/>
        <v>0</v>
      </c>
    </row>
    <row r="488" ht="22.5" customHeight="1">
      <c r="A488" s="12">
        <f t="shared" si="4"/>
        <v>2486</v>
      </c>
      <c r="B488" s="30" t="s">
        <v>8060</v>
      </c>
      <c r="C488" s="7" t="str">
        <f t="shared" si="5"/>
        <v>🔊</v>
      </c>
      <c r="D488" s="8" t="s">
        <v>8061</v>
      </c>
      <c r="E488" s="6" t="s">
        <v>27</v>
      </c>
      <c r="F488" s="12" t="str">
        <f>IFERROR(__xludf.DUMMYFUNCTION("GOOGLETRANSLATE(B488,""zh_cn"",""vi"")"),"con khỉ")</f>
        <v>con khỉ</v>
      </c>
      <c r="G488" s="20" t="s">
        <v>8062</v>
      </c>
      <c r="H488" s="6"/>
      <c r="I488" s="11" t="b">
        <f t="shared" si="2"/>
        <v>0</v>
      </c>
      <c r="J488" s="24"/>
      <c r="K488" s="11" t="b">
        <f t="shared" si="3"/>
        <v>0</v>
      </c>
    </row>
    <row r="489" ht="22.5" customHeight="1">
      <c r="A489" s="12">
        <f t="shared" si="4"/>
        <v>2487</v>
      </c>
      <c r="B489" s="30" t="s">
        <v>8063</v>
      </c>
      <c r="C489" s="7" t="str">
        <f t="shared" si="5"/>
        <v>🔊</v>
      </c>
      <c r="D489" s="8" t="s">
        <v>8064</v>
      </c>
      <c r="E489" s="6" t="s">
        <v>27</v>
      </c>
      <c r="F489" s="12" t="str">
        <f>IFERROR(__xludf.DUMMYFUNCTION("GOOGLETRANSLATE(B489,""zh_cn"",""vi"")"),"hồ")</f>
        <v>hồ</v>
      </c>
      <c r="G489" s="20" t="s">
        <v>8065</v>
      </c>
      <c r="H489" s="6"/>
      <c r="I489" s="11" t="b">
        <f t="shared" si="2"/>
        <v>0</v>
      </c>
      <c r="J489" s="24"/>
      <c r="K489" s="11" t="b">
        <f t="shared" si="3"/>
        <v>0</v>
      </c>
    </row>
    <row r="490" ht="22.5" customHeight="1">
      <c r="A490" s="12">
        <f t="shared" si="4"/>
        <v>2488</v>
      </c>
      <c r="B490" s="30" t="s">
        <v>8066</v>
      </c>
      <c r="C490" s="7" t="str">
        <f t="shared" si="5"/>
        <v>🔊</v>
      </c>
      <c r="D490" s="8" t="s">
        <v>8067</v>
      </c>
      <c r="E490" s="6" t="s">
        <v>416</v>
      </c>
      <c r="F490" s="12" t="str">
        <f>IFERROR(__xludf.DUMMYFUNCTION("GOOGLETRANSLATE(B490,""zh_cn"",""vi"")"),"trượt")</f>
        <v>trượt</v>
      </c>
      <c r="G490" s="20" t="s">
        <v>8068</v>
      </c>
      <c r="H490" s="6"/>
      <c r="I490" s="11" t="b">
        <f t="shared" si="2"/>
        <v>0</v>
      </c>
      <c r="J490" s="24"/>
      <c r="K490" s="11" t="b">
        <f t="shared" si="3"/>
        <v>0</v>
      </c>
    </row>
    <row r="491" ht="22.5" customHeight="1">
      <c r="A491" s="12">
        <f t="shared" si="4"/>
        <v>2489</v>
      </c>
      <c r="B491" s="30" t="s">
        <v>8069</v>
      </c>
      <c r="C491" s="7" t="str">
        <f t="shared" si="5"/>
        <v>🔊</v>
      </c>
      <c r="D491" s="8" t="s">
        <v>8067</v>
      </c>
      <c r="E491" s="6" t="s">
        <v>13</v>
      </c>
      <c r="F491" s="12" t="str">
        <f>IFERROR(__xludf.DUMMYFUNCTION("GOOGLETRANSLATE(B491,""zh_cn"",""vi"")"),"Kế hoạch")</f>
        <v>Kế hoạch</v>
      </c>
      <c r="G491" s="20" t="s">
        <v>8070</v>
      </c>
      <c r="H491" s="6"/>
      <c r="I491" s="11" t="b">
        <f t="shared" si="2"/>
        <v>0</v>
      </c>
      <c r="J491" s="24"/>
      <c r="K491" s="11" t="b">
        <f t="shared" si="3"/>
        <v>0</v>
      </c>
    </row>
    <row r="492" ht="22.5" customHeight="1">
      <c r="A492" s="12">
        <f t="shared" si="4"/>
        <v>2490</v>
      </c>
      <c r="B492" s="30" t="s">
        <v>8071</v>
      </c>
      <c r="C492" s="7" t="str">
        <f t="shared" si="5"/>
        <v>🔊</v>
      </c>
      <c r="D492" s="8" t="s">
        <v>1222</v>
      </c>
      <c r="E492" s="6" t="s">
        <v>8072</v>
      </c>
      <c r="F492" s="12" t="str">
        <f>IFERROR(__xludf.DUMMYFUNCTION("GOOGLETRANSLATE(B492,""zh_cn"",""vi"")"),"thay đổi")</f>
        <v>thay đổi</v>
      </c>
      <c r="G492" s="20" t="s">
        <v>8073</v>
      </c>
      <c r="H492" s="6"/>
      <c r="I492" s="11" t="b">
        <f t="shared" si="2"/>
        <v>0</v>
      </c>
      <c r="J492" s="24"/>
      <c r="K492" s="11" t="b">
        <f t="shared" si="3"/>
        <v>0</v>
      </c>
    </row>
    <row r="493" ht="22.5" customHeight="1">
      <c r="A493" s="12">
        <f t="shared" si="4"/>
        <v>2491</v>
      </c>
      <c r="B493" s="30" t="s">
        <v>8074</v>
      </c>
      <c r="C493" s="7" t="str">
        <f t="shared" si="5"/>
        <v>🔊</v>
      </c>
      <c r="D493" s="8" t="s">
        <v>8075</v>
      </c>
      <c r="E493" s="6" t="s">
        <v>27</v>
      </c>
      <c r="F493" s="12" t="str">
        <f>IFERROR(__xludf.DUMMYFUNCTION("GOOGLETRANSLATE(B493,""zh_cn"",""vi"")"),"Hóa đơn điện thoại")</f>
        <v>Hóa đơn điện thoại</v>
      </c>
      <c r="G493" s="20" t="s">
        <v>8076</v>
      </c>
      <c r="H493" s="6"/>
      <c r="I493" s="11" t="b">
        <f t="shared" si="2"/>
        <v>0</v>
      </c>
      <c r="J493" s="24"/>
      <c r="K493" s="11" t="b">
        <f t="shared" si="3"/>
        <v>0</v>
      </c>
    </row>
    <row r="494" ht="22.5" customHeight="1">
      <c r="A494" s="12">
        <f t="shared" si="4"/>
        <v>2492</v>
      </c>
      <c r="B494" s="30" t="s">
        <v>8077</v>
      </c>
      <c r="C494" s="7" t="str">
        <f t="shared" si="5"/>
        <v>🔊</v>
      </c>
      <c r="D494" s="8" t="s">
        <v>8078</v>
      </c>
      <c r="E494" s="6" t="s">
        <v>13</v>
      </c>
      <c r="F494" s="12" t="str">
        <f>IFERROR(__xludf.DUMMYFUNCTION("GOOGLETRANSLATE(B494,""zh_cn"",""vi"")"),"tiêu")</f>
        <v>tiêu</v>
      </c>
      <c r="G494" s="20" t="s">
        <v>8079</v>
      </c>
      <c r="H494" s="6"/>
      <c r="I494" s="11" t="b">
        <f t="shared" si="2"/>
        <v>0</v>
      </c>
      <c r="J494" s="24"/>
      <c r="K494" s="11" t="b">
        <f t="shared" si="3"/>
        <v>0</v>
      </c>
    </row>
    <row r="495" ht="22.5" customHeight="1">
      <c r="A495" s="12">
        <f t="shared" si="4"/>
        <v>2493</v>
      </c>
      <c r="B495" s="30" t="s">
        <v>8080</v>
      </c>
      <c r="C495" s="7" t="str">
        <f t="shared" si="5"/>
        <v>🔊</v>
      </c>
      <c r="D495" s="8" t="s">
        <v>8081</v>
      </c>
      <c r="E495" s="6" t="s">
        <v>27</v>
      </c>
      <c r="F495" s="12" t="str">
        <f>IFERROR(__xludf.DUMMYFUNCTION("GOOGLETRANSLATE(B495,""zh_cn"",""vi"")"),"Hình ảnh")</f>
        <v>Hình ảnh</v>
      </c>
      <c r="G495" s="20" t="s">
        <v>8082</v>
      </c>
      <c r="H495" s="6"/>
      <c r="I495" s="11" t="b">
        <f t="shared" si="2"/>
        <v>0</v>
      </c>
      <c r="J495" s="24"/>
      <c r="K495" s="11" t="b">
        <f t="shared" si="3"/>
        <v>0</v>
      </c>
    </row>
    <row r="496" ht="22.5" customHeight="1">
      <c r="A496" s="12">
        <f t="shared" si="4"/>
        <v>2494</v>
      </c>
      <c r="B496" s="30" t="s">
        <v>8083</v>
      </c>
      <c r="C496" s="7" t="str">
        <f t="shared" si="5"/>
        <v>🔊</v>
      </c>
      <c r="D496" s="8" t="s">
        <v>8084</v>
      </c>
      <c r="E496" s="6" t="s">
        <v>27</v>
      </c>
      <c r="F496" s="12" t="str">
        <f>IFERROR(__xludf.DUMMYFUNCTION("GOOGLETRANSLATE(B496,""zh_cn"",""vi"")"),"quả dưa chuột")</f>
        <v>quả dưa chuột</v>
      </c>
      <c r="G496" s="20" t="s">
        <v>8085</v>
      </c>
      <c r="H496" s="6"/>
      <c r="I496" s="11" t="b">
        <f t="shared" si="2"/>
        <v>0</v>
      </c>
      <c r="J496" s="24"/>
      <c r="K496" s="11" t="b">
        <f t="shared" si="3"/>
        <v>0</v>
      </c>
    </row>
    <row r="497" ht="22.5" customHeight="1">
      <c r="A497" s="12">
        <f t="shared" si="4"/>
        <v>2495</v>
      </c>
      <c r="B497" s="30" t="s">
        <v>8086</v>
      </c>
      <c r="C497" s="7" t="str">
        <f t="shared" si="5"/>
        <v>🔊</v>
      </c>
      <c r="D497" s="8" t="s">
        <v>8087</v>
      </c>
      <c r="E497" s="6" t="s">
        <v>27</v>
      </c>
      <c r="F497" s="12" t="str">
        <f>IFERROR(__xludf.DUMMYFUNCTION("GOOGLETRANSLATE(B497,""zh_cn"",""vi"")"),"vàng")</f>
        <v>vàng</v>
      </c>
      <c r="G497" s="20" t="s">
        <v>8088</v>
      </c>
      <c r="H497" s="6"/>
      <c r="I497" s="11" t="b">
        <f t="shared" si="2"/>
        <v>0</v>
      </c>
      <c r="J497" s="24"/>
      <c r="K497" s="11" t="b">
        <f t="shared" si="3"/>
        <v>0</v>
      </c>
    </row>
    <row r="498" ht="22.5" customHeight="1">
      <c r="A498" s="12">
        <f t="shared" si="4"/>
        <v>2496</v>
      </c>
      <c r="B498" s="30" t="s">
        <v>8089</v>
      </c>
      <c r="C498" s="7" t="str">
        <f t="shared" si="5"/>
        <v>🔊</v>
      </c>
      <c r="D498" s="8" t="s">
        <v>8090</v>
      </c>
      <c r="E498" s="6" t="s">
        <v>27</v>
      </c>
      <c r="F498" s="12" t="str">
        <f>IFERROR(__xludf.DUMMYFUNCTION("GOOGLETRANSLATE(B498,""zh_cn"",""vi"")"),"Liên kết")</f>
        <v>Liên kết</v>
      </c>
      <c r="G498" s="20" t="s">
        <v>8091</v>
      </c>
      <c r="H498" s="6"/>
      <c r="I498" s="11" t="b">
        <f t="shared" si="2"/>
        <v>0</v>
      </c>
      <c r="J498" s="24"/>
      <c r="K498" s="11" t="b">
        <f t="shared" si="3"/>
        <v>0</v>
      </c>
    </row>
    <row r="499" ht="22.5" customHeight="1">
      <c r="A499" s="12">
        <f t="shared" si="4"/>
        <v>2497</v>
      </c>
      <c r="B499" s="30" t="s">
        <v>8092</v>
      </c>
      <c r="C499" s="7" t="str">
        <f t="shared" si="5"/>
        <v>🔊</v>
      </c>
      <c r="D499" s="8" t="s">
        <v>8093</v>
      </c>
      <c r="E499" s="6" t="s">
        <v>13</v>
      </c>
      <c r="F499" s="12" t="str">
        <f>IFERROR(__xludf.DUMMYFUNCTION("GOOGLETRANSLATE(B499,""zh_cn"",""vi"")"),"xoa dịu")</f>
        <v>xoa dịu</v>
      </c>
      <c r="G499" s="20" t="s">
        <v>8094</v>
      </c>
      <c r="H499" s="6"/>
      <c r="I499" s="11" t="b">
        <f t="shared" si="2"/>
        <v>0</v>
      </c>
      <c r="J499" s="24"/>
      <c r="K499" s="11" t="b">
        <f t="shared" si="3"/>
        <v>0</v>
      </c>
    </row>
    <row r="500" ht="22.5" customHeight="1">
      <c r="A500" s="12">
        <f t="shared" si="4"/>
        <v>2498</v>
      </c>
      <c r="B500" s="30" t="s">
        <v>8095</v>
      </c>
      <c r="C500" s="7" t="str">
        <f t="shared" si="5"/>
        <v>🔊</v>
      </c>
      <c r="D500" s="8" t="s">
        <v>8096</v>
      </c>
      <c r="E500" s="6" t="s">
        <v>99</v>
      </c>
      <c r="F500" s="12" t="str">
        <f>IFERROR(__xludf.DUMMYFUNCTION("GOOGLETRANSLATE(B500,""zh_cn"",""vi"")"),"chậm")</f>
        <v>chậm</v>
      </c>
      <c r="G500" s="20" t="s">
        <v>8097</v>
      </c>
      <c r="H500" s="6"/>
      <c r="I500" s="11" t="b">
        <f t="shared" si="2"/>
        <v>0</v>
      </c>
      <c r="J500" s="24"/>
      <c r="K500" s="11" t="b">
        <f t="shared" si="3"/>
        <v>0</v>
      </c>
    </row>
    <row r="501" ht="22.5" customHeight="1">
      <c r="A501" s="12">
        <f t="shared" si="4"/>
        <v>2499</v>
      </c>
      <c r="B501" s="30" t="s">
        <v>8098</v>
      </c>
      <c r="C501" s="7" t="str">
        <f t="shared" si="5"/>
        <v>🔊</v>
      </c>
      <c r="D501" s="8" t="s">
        <v>8099</v>
      </c>
      <c r="E501" s="6" t="s">
        <v>27</v>
      </c>
      <c r="F501" s="12" t="str">
        <f>IFERROR(__xludf.DUMMYFUNCTION("GOOGLETRANSLATE(B501,""zh_cn"",""vi"")"),"đề tài")</f>
        <v>đề tài</v>
      </c>
      <c r="G501" s="20" t="s">
        <v>8100</v>
      </c>
      <c r="H501" s="6"/>
      <c r="I501" s="11" t="b">
        <f t="shared" si="2"/>
        <v>0</v>
      </c>
      <c r="J501" s="24"/>
      <c r="K501" s="11" t="b">
        <f t="shared" si="3"/>
        <v>0</v>
      </c>
    </row>
    <row r="502" ht="22.5" customHeight="1">
      <c r="A502" s="12">
        <f t="shared" si="4"/>
        <v>2500</v>
      </c>
      <c r="B502" s="30" t="s">
        <v>8101</v>
      </c>
      <c r="C502" s="7" t="str">
        <f t="shared" si="5"/>
        <v>🔊</v>
      </c>
      <c r="D502" s="8" t="s">
        <v>8102</v>
      </c>
      <c r="E502" s="6" t="s">
        <v>27</v>
      </c>
      <c r="F502" s="12" t="str">
        <f>IFERROR(__xludf.DUMMYFUNCTION("GOOGLETRANSLATE(B502,""zh_cn"",""vi"")"),"Hóa chất")</f>
        <v>Hóa chất</v>
      </c>
      <c r="G502" s="20" t="s">
        <v>8103</v>
      </c>
      <c r="H502" s="6"/>
      <c r="I502" s="11" t="b">
        <f t="shared" si="2"/>
        <v>0</v>
      </c>
      <c r="J502" s="24"/>
      <c r="K502" s="11" t="b">
        <f t="shared" si="3"/>
        <v>0</v>
      </c>
    </row>
    <row r="503" ht="22.5" customHeight="1">
      <c r="A503" s="12">
        <f t="shared" si="4"/>
        <v>2501</v>
      </c>
      <c r="B503" s="30" t="s">
        <v>8104</v>
      </c>
      <c r="C503" s="7" t="str">
        <f t="shared" si="5"/>
        <v>🔊</v>
      </c>
      <c r="D503" s="8" t="s">
        <v>8105</v>
      </c>
      <c r="E503" s="6" t="s">
        <v>27</v>
      </c>
      <c r="F503" s="12" t="str">
        <f>IFERROR(__xludf.DUMMYFUNCTION("GOOGLETRANSLATE(B503,""zh_cn"",""vi"")"),"Bươm bướm")</f>
        <v>Bươm bướm</v>
      </c>
      <c r="G503" s="20" t="s">
        <v>8106</v>
      </c>
      <c r="H503" s="6"/>
      <c r="I503" s="11" t="b">
        <f t="shared" si="2"/>
        <v>0</v>
      </c>
      <c r="J503" s="24"/>
      <c r="K503" s="11" t="b">
        <f t="shared" si="3"/>
        <v>0</v>
      </c>
    </row>
    <row r="504" ht="22.5" customHeight="1">
      <c r="A504" s="12">
        <f t="shared" si="4"/>
        <v>2502</v>
      </c>
      <c r="B504" s="30" t="s">
        <v>8107</v>
      </c>
      <c r="C504" s="7" t="str">
        <f t="shared" si="5"/>
        <v>🔊</v>
      </c>
      <c r="D504" s="8" t="s">
        <v>8108</v>
      </c>
      <c r="E504" s="6" t="s">
        <v>13</v>
      </c>
      <c r="F504" s="12" t="str">
        <f>IFERROR(__xludf.DUMMYFUNCTION("GOOGLETRANSLATE(B504,""zh_cn"",""vi"")"),"tương tác")</f>
        <v>tương tác</v>
      </c>
      <c r="G504" s="20" t="s">
        <v>8109</v>
      </c>
      <c r="H504" s="6"/>
      <c r="I504" s="11" t="b">
        <f t="shared" si="2"/>
        <v>0</v>
      </c>
      <c r="J504" s="24"/>
      <c r="K504" s="11" t="b">
        <f t="shared" si="3"/>
        <v>0</v>
      </c>
    </row>
    <row r="505" ht="22.5" customHeight="1">
      <c r="A505" s="12">
        <f t="shared" si="4"/>
        <v>2503</v>
      </c>
      <c r="B505" s="30" t="s">
        <v>8110</v>
      </c>
      <c r="C505" s="7" t="str">
        <f t="shared" si="5"/>
        <v>🔊</v>
      </c>
      <c r="D505" s="8" t="s">
        <v>8111</v>
      </c>
      <c r="E505" s="6" t="s">
        <v>3430</v>
      </c>
      <c r="F505" s="12" t="str">
        <f>IFERROR(__xludf.DUMMYFUNCTION("GOOGLETRANSLATE(B505,""zh_cn"",""vi"")"),"Tro")</f>
        <v>Tro</v>
      </c>
      <c r="G505" s="20" t="s">
        <v>8112</v>
      </c>
      <c r="H505" s="6"/>
      <c r="I505" s="11" t="b">
        <f t="shared" si="2"/>
        <v>0</v>
      </c>
      <c r="J505" s="24"/>
      <c r="K505" s="11" t="b">
        <f t="shared" si="3"/>
        <v>0</v>
      </c>
    </row>
    <row r="506" ht="22.5" customHeight="1">
      <c r="A506" s="12">
        <f t="shared" si="4"/>
        <v>2504</v>
      </c>
      <c r="B506" s="30" t="s">
        <v>8113</v>
      </c>
      <c r="C506" s="7" t="str">
        <f t="shared" si="5"/>
        <v>🔊</v>
      </c>
      <c r="D506" s="8" t="s">
        <v>8111</v>
      </c>
      <c r="E506" s="6" t="s">
        <v>13</v>
      </c>
      <c r="F506" s="12" t="str">
        <f>IFERROR(__xludf.DUMMYFUNCTION("GOOGLETRANSLATE(B506,""zh_cn"",""vi"")"),"sóng")</f>
        <v>sóng</v>
      </c>
      <c r="G506" s="20" t="s">
        <v>8114</v>
      </c>
      <c r="H506" s="6"/>
      <c r="I506" s="11" t="b">
        <f t="shared" si="2"/>
        <v>0</v>
      </c>
      <c r="J506" s="24"/>
      <c r="K506" s="11" t="b">
        <f t="shared" si="3"/>
        <v>0</v>
      </c>
    </row>
    <row r="507" ht="22.5" customHeight="1">
      <c r="A507" s="12">
        <f t="shared" si="4"/>
        <v>2505</v>
      </c>
      <c r="B507" s="30" t="s">
        <v>8115</v>
      </c>
      <c r="C507" s="7" t="str">
        <f t="shared" si="5"/>
        <v>🔊</v>
      </c>
      <c r="D507" s="8" t="s">
        <v>8116</v>
      </c>
      <c r="E507" s="6" t="s">
        <v>13</v>
      </c>
      <c r="F507" s="12" t="str">
        <f>IFERROR(__xludf.DUMMYFUNCTION("GOOGLETRANSLATE(B507,""zh_cn"",""vi"")"),"hồi phục")</f>
        <v>hồi phục</v>
      </c>
      <c r="G507" s="20" t="s">
        <v>8117</v>
      </c>
      <c r="H507" s="6"/>
      <c r="I507" s="11" t="b">
        <f t="shared" si="2"/>
        <v>0</v>
      </c>
      <c r="J507" s="24"/>
      <c r="K507" s="11" t="b">
        <f t="shared" si="3"/>
        <v>0</v>
      </c>
    </row>
    <row r="508" ht="22.5" customHeight="1">
      <c r="A508" s="12">
        <f t="shared" si="4"/>
        <v>2506</v>
      </c>
      <c r="B508" s="30" t="s">
        <v>8118</v>
      </c>
      <c r="C508" s="7" t="str">
        <f t="shared" si="5"/>
        <v>🔊</v>
      </c>
      <c r="D508" s="8" t="s">
        <v>8119</v>
      </c>
      <c r="E508" s="6" t="s">
        <v>27</v>
      </c>
      <c r="F508" s="12" t="str">
        <f>IFERROR(__xludf.DUMMYFUNCTION("GOOGLETRANSLATE(B508,""zh_cn"",""vi"")"),"tỷ giá hối đoái")</f>
        <v>tỷ giá hối đoái</v>
      </c>
      <c r="G508" s="20" t="s">
        <v>8120</v>
      </c>
      <c r="H508" s="6"/>
      <c r="I508" s="11" t="b">
        <f t="shared" si="2"/>
        <v>0</v>
      </c>
      <c r="J508" s="24"/>
      <c r="K508" s="11" t="b">
        <f t="shared" si="3"/>
        <v>0</v>
      </c>
    </row>
    <row r="509" ht="22.5" customHeight="1">
      <c r="A509" s="12">
        <f t="shared" si="4"/>
        <v>2507</v>
      </c>
      <c r="B509" s="30" t="s">
        <v>8121</v>
      </c>
      <c r="C509" s="7" t="str">
        <f t="shared" si="5"/>
        <v>🔊</v>
      </c>
      <c r="D509" s="8" t="s">
        <v>8122</v>
      </c>
      <c r="E509" s="6" t="s">
        <v>3430</v>
      </c>
      <c r="F509" s="12" t="str">
        <f>IFERROR(__xludf.DUMMYFUNCTION("GOOGLETRANSLATE(B509,""zh_cn"",""vi"")"),"xám")</f>
        <v>xám</v>
      </c>
      <c r="G509" s="20" t="s">
        <v>8123</v>
      </c>
      <c r="H509" s="6"/>
      <c r="I509" s="11" t="b">
        <f t="shared" si="2"/>
        <v>0</v>
      </c>
      <c r="J509" s="24"/>
      <c r="K509" s="11" t="b">
        <f t="shared" si="3"/>
        <v>0</v>
      </c>
    </row>
    <row r="510" ht="22.5" customHeight="1">
      <c r="A510" s="12">
        <f t="shared" si="4"/>
        <v>2508</v>
      </c>
      <c r="B510" s="30" t="s">
        <v>8124</v>
      </c>
      <c r="C510" s="7" t="str">
        <f t="shared" si="5"/>
        <v>🔊</v>
      </c>
      <c r="D510" s="8" t="s">
        <v>8125</v>
      </c>
      <c r="E510" s="6" t="s">
        <v>13</v>
      </c>
      <c r="F510" s="12" t="str">
        <f>IFERROR(__xludf.DUMMYFUNCTION("GOOGLETRANSLATE(B510,""zh_cn"",""vi"")"),"Tái chế")</f>
        <v>Tái chế</v>
      </c>
      <c r="G510" s="20" t="s">
        <v>8126</v>
      </c>
      <c r="H510" s="6"/>
      <c r="I510" s="11" t="b">
        <f t="shared" si="2"/>
        <v>0</v>
      </c>
      <c r="J510" s="24"/>
      <c r="K510" s="11" t="b">
        <f t="shared" si="3"/>
        <v>0</v>
      </c>
    </row>
    <row r="511" ht="22.5" customHeight="1">
      <c r="A511" s="12">
        <f t="shared" si="4"/>
        <v>2509</v>
      </c>
      <c r="B511" s="30" t="s">
        <v>8127</v>
      </c>
      <c r="C511" s="7" t="str">
        <f t="shared" si="5"/>
        <v>🔊</v>
      </c>
      <c r="D511" s="8" t="s">
        <v>8128</v>
      </c>
      <c r="E511" s="6" t="s">
        <v>27</v>
      </c>
      <c r="F511" s="12" t="str">
        <f>IFERROR(__xludf.DUMMYFUNCTION("GOOGLETRANSLATE(B511,""zh_cn"",""vi"")"),"lễ cưới")</f>
        <v>lễ cưới</v>
      </c>
      <c r="G511" s="20" t="s">
        <v>8129</v>
      </c>
      <c r="H511" s="6"/>
      <c r="I511" s="11" t="b">
        <f t="shared" si="2"/>
        <v>0</v>
      </c>
      <c r="J511" s="24"/>
      <c r="K511" s="11" t="b">
        <f t="shared" si="3"/>
        <v>0</v>
      </c>
    </row>
    <row r="512" ht="22.5" customHeight="1">
      <c r="A512" s="12">
        <f t="shared" si="4"/>
        <v>2510</v>
      </c>
      <c r="B512" s="30" t="s">
        <v>8130</v>
      </c>
      <c r="C512" s="7" t="str">
        <f t="shared" si="5"/>
        <v>🔊</v>
      </c>
      <c r="D512" s="8" t="s">
        <v>4341</v>
      </c>
      <c r="E512" s="6" t="s">
        <v>47</v>
      </c>
      <c r="F512" s="12" t="str">
        <f>IFERROR(__xludf.DUMMYFUNCTION("GOOGLETRANSLATE(B512,""zh_cn"",""vi"")"),"cộng sự")</f>
        <v>cộng sự</v>
      </c>
      <c r="G512" s="20" t="s">
        <v>8131</v>
      </c>
      <c r="H512" s="6"/>
      <c r="I512" s="11" t="b">
        <f t="shared" si="2"/>
        <v>0</v>
      </c>
      <c r="J512" s="24"/>
      <c r="K512" s="11" t="b">
        <f t="shared" si="3"/>
        <v>0</v>
      </c>
    </row>
    <row r="513" ht="22.5" customHeight="1">
      <c r="A513" s="12">
        <f t="shared" si="4"/>
        <v>2511</v>
      </c>
      <c r="B513" s="30" t="s">
        <v>8132</v>
      </c>
      <c r="C513" s="7" t="str">
        <f t="shared" si="5"/>
        <v>🔊</v>
      </c>
      <c r="D513" s="8" t="s">
        <v>8133</v>
      </c>
      <c r="E513" s="6" t="s">
        <v>27</v>
      </c>
      <c r="F513" s="12" t="str">
        <f>IFERROR(__xludf.DUMMYFUNCTION("GOOGLETRANSLATE(B513,""zh_cn"",""vi"")"),"cộng sự")</f>
        <v>cộng sự</v>
      </c>
      <c r="G513" s="20" t="s">
        <v>8134</v>
      </c>
      <c r="H513" s="6"/>
      <c r="I513" s="11" t="b">
        <f t="shared" si="2"/>
        <v>0</v>
      </c>
      <c r="J513" s="24"/>
      <c r="K513" s="11" t="b">
        <f t="shared" si="3"/>
        <v>0</v>
      </c>
    </row>
    <row r="514" ht="22.5" customHeight="1">
      <c r="A514" s="12">
        <f t="shared" si="4"/>
        <v>2512</v>
      </c>
      <c r="B514" s="30" t="s">
        <v>8135</v>
      </c>
      <c r="C514" s="7" t="str">
        <f t="shared" si="5"/>
        <v>🔊</v>
      </c>
      <c r="D514" s="8" t="s">
        <v>8136</v>
      </c>
      <c r="E514" s="6" t="s">
        <v>27</v>
      </c>
      <c r="F514" s="12" t="str">
        <f>IFERROR(__xludf.DUMMYFUNCTION("GOOGLETRANSLATE(B514,""zh_cn"",""vi"")"),"lẩu")</f>
        <v>lẩu</v>
      </c>
      <c r="G514" s="20" t="s">
        <v>8137</v>
      </c>
      <c r="H514" s="6"/>
      <c r="I514" s="11" t="b">
        <f t="shared" si="2"/>
        <v>0</v>
      </c>
      <c r="J514" s="24"/>
      <c r="K514" s="11" t="b">
        <f t="shared" si="3"/>
        <v>0</v>
      </c>
    </row>
    <row r="515" ht="22.5" customHeight="1">
      <c r="A515" s="12">
        <f t="shared" si="4"/>
        <v>2513</v>
      </c>
      <c r="B515" s="30" t="s">
        <v>8138</v>
      </c>
      <c r="C515" s="7" t="str">
        <f t="shared" si="5"/>
        <v>🔊</v>
      </c>
      <c r="D515" s="8" t="s">
        <v>8139</v>
      </c>
      <c r="E515" s="6" t="s">
        <v>1203</v>
      </c>
      <c r="F515" s="12" t="str">
        <f>IFERROR(__xludf.DUMMYFUNCTION("GOOGLETRANSLATE(B515,""zh_cn"",""vi"")"),"Hoặc")</f>
        <v>Hoặc</v>
      </c>
      <c r="G515" s="20" t="s">
        <v>8140</v>
      </c>
      <c r="H515" s="6"/>
      <c r="I515" s="11" t="b">
        <f t="shared" si="2"/>
        <v>0</v>
      </c>
      <c r="J515" s="24"/>
      <c r="K515" s="11" t="b">
        <f t="shared" si="3"/>
        <v>0</v>
      </c>
    </row>
    <row r="516" ht="22.5" customHeight="1">
      <c r="A516" s="12">
        <f t="shared" si="4"/>
        <v>2514</v>
      </c>
      <c r="B516" s="30" t="s">
        <v>8141</v>
      </c>
      <c r="C516" s="7" t="str">
        <f t="shared" si="5"/>
        <v>🔊</v>
      </c>
      <c r="D516" s="8" t="s">
        <v>8142</v>
      </c>
      <c r="E516" s="6" t="s">
        <v>27</v>
      </c>
      <c r="F516" s="12" t="str">
        <f>IFERROR(__xludf.DUMMYFUNCTION("GOOGLETRANSLATE(B516,""zh_cn"",""vi"")"),"hàng hóa")</f>
        <v>hàng hóa</v>
      </c>
      <c r="G516" s="20" t="s">
        <v>8143</v>
      </c>
      <c r="H516" s="6"/>
      <c r="I516" s="11" t="b">
        <f t="shared" si="2"/>
        <v>0</v>
      </c>
      <c r="J516" s="24"/>
      <c r="K516" s="11" t="b">
        <f t="shared" si="3"/>
        <v>0</v>
      </c>
    </row>
    <row r="517" ht="22.5" customHeight="1">
      <c r="A517" s="12">
        <f t="shared" si="4"/>
        <v>2515</v>
      </c>
      <c r="B517" s="30" t="s">
        <v>8144</v>
      </c>
      <c r="C517" s="7" t="str">
        <f t="shared" si="5"/>
        <v>🔊</v>
      </c>
      <c r="D517" s="8" t="s">
        <v>8145</v>
      </c>
      <c r="E517" s="6" t="s">
        <v>61</v>
      </c>
      <c r="F517" s="12" t="str">
        <f>IFERROR(__xludf.DUMMYFUNCTION("GOOGLETRANSLATE(B517,""zh_cn"",""vi"")"),"có lẽ")</f>
        <v>có lẽ</v>
      </c>
      <c r="G517" s="20" t="s">
        <v>8146</v>
      </c>
      <c r="H517" s="6"/>
      <c r="I517" s="11" t="b">
        <f t="shared" si="2"/>
        <v>0</v>
      </c>
      <c r="J517" s="24"/>
      <c r="K517" s="11" t="b">
        <f t="shared" si="3"/>
        <v>0</v>
      </c>
    </row>
    <row r="518" ht="22.5" customHeight="1">
      <c r="A518" s="12">
        <f t="shared" si="4"/>
        <v>2516</v>
      </c>
      <c r="B518" s="30" t="s">
        <v>8147</v>
      </c>
      <c r="C518" s="7" t="str">
        <f t="shared" si="5"/>
        <v>🔊</v>
      </c>
      <c r="D518" s="8" t="s">
        <v>8148</v>
      </c>
      <c r="E518" s="6" t="s">
        <v>13</v>
      </c>
      <c r="F518" s="12" t="str">
        <f>IFERROR(__xludf.DUMMYFUNCTION("GOOGLETRANSLATE(B518,""zh_cn"",""vi"")"),"Phớt lờ")</f>
        <v>Phớt lờ</v>
      </c>
      <c r="G518" s="20" t="s">
        <v>8149</v>
      </c>
      <c r="H518" s="6"/>
      <c r="I518" s="11" t="b">
        <f t="shared" si="2"/>
        <v>0</v>
      </c>
      <c r="J518" s="24"/>
      <c r="K518" s="11" t="b">
        <f t="shared" si="3"/>
        <v>0</v>
      </c>
    </row>
    <row r="519" ht="22.5" customHeight="1">
      <c r="A519" s="12">
        <f t="shared" si="4"/>
        <v>2517</v>
      </c>
      <c r="B519" s="30" t="s">
        <v>8150</v>
      </c>
      <c r="C519" s="7" t="str">
        <f t="shared" si="5"/>
        <v>🔊</v>
      </c>
      <c r="D519" s="8" t="s">
        <v>8151</v>
      </c>
      <c r="E519" s="6" t="s">
        <v>27</v>
      </c>
      <c r="F519" s="12" t="str">
        <f>IFERROR(__xludf.DUMMYFUNCTION("GOOGLETRANSLATE(B519,""zh_cn"",""vi"")"),"con hẻm")</f>
        <v>con hẻm</v>
      </c>
      <c r="G519" s="20" t="s">
        <v>8152</v>
      </c>
      <c r="H519" s="6"/>
      <c r="I519" s="11" t="b">
        <f t="shared" si="2"/>
        <v>0</v>
      </c>
      <c r="J519" s="24"/>
      <c r="K519" s="11" t="b">
        <f t="shared" si="3"/>
        <v>0</v>
      </c>
    </row>
    <row r="520" ht="22.5" customHeight="1">
      <c r="A520" s="12">
        <f t="shared" si="4"/>
        <v>2518</v>
      </c>
      <c r="B520" s="30" t="s">
        <v>8153</v>
      </c>
      <c r="C520" s="7" t="str">
        <f t="shared" si="5"/>
        <v>🔊</v>
      </c>
      <c r="D520" s="8" t="s">
        <v>8154</v>
      </c>
      <c r="E520" s="6" t="s">
        <v>27</v>
      </c>
      <c r="F520" s="12" t="str">
        <f>IFERROR(__xludf.DUMMYFUNCTION("GOOGLETRANSLATE(B520,""zh_cn"",""vi"")"),"ngoài trời")</f>
        <v>ngoài trời</v>
      </c>
      <c r="G520" s="20" t="s">
        <v>8155</v>
      </c>
      <c r="H520" s="6"/>
      <c r="I520" s="11" t="b">
        <f t="shared" si="2"/>
        <v>0</v>
      </c>
      <c r="J520" s="24"/>
      <c r="K520" s="11" t="b">
        <f t="shared" si="3"/>
        <v>0</v>
      </c>
    </row>
    <row r="521" ht="22.5" customHeight="1">
      <c r="A521" s="12">
        <f t="shared" si="4"/>
        <v>2519</v>
      </c>
      <c r="B521" s="30" t="s">
        <v>8156</v>
      </c>
      <c r="C521" s="7" t="str">
        <f t="shared" si="5"/>
        <v>🔊</v>
      </c>
      <c r="D521" s="8" t="s">
        <v>8157</v>
      </c>
      <c r="E521" s="6" t="s">
        <v>13</v>
      </c>
      <c r="F521" s="12" t="str">
        <f>IFERROR(__xludf.DUMMYFUNCTION("GOOGLETRANSLATE(B521,""zh_cn"",""vi"")"),"thở")</f>
        <v>thở</v>
      </c>
      <c r="G521" s="20" t="s">
        <v>8158</v>
      </c>
      <c r="H521" s="6"/>
      <c r="I521" s="11" t="b">
        <f t="shared" si="2"/>
        <v>0</v>
      </c>
      <c r="J521" s="24"/>
      <c r="K521" s="11" t="b">
        <f t="shared" si="3"/>
        <v>0</v>
      </c>
    </row>
    <row r="522" ht="22.5" customHeight="1">
      <c r="A522" s="12">
        <f t="shared" si="4"/>
        <v>2520</v>
      </c>
      <c r="B522" s="30" t="s">
        <v>8159</v>
      </c>
      <c r="C522" s="7" t="str">
        <f t="shared" si="5"/>
        <v>🔊</v>
      </c>
      <c r="D522" s="8" t="s">
        <v>2320</v>
      </c>
      <c r="E522" s="6" t="s">
        <v>1132</v>
      </c>
      <c r="F522" s="12" t="str">
        <f>IFERROR(__xludf.DUMMYFUNCTION("GOOGLETRANSLATE(B522,""zh_cn"",""vi"")"),"Và")</f>
        <v>Và</v>
      </c>
      <c r="G522" s="20" t="s">
        <v>8160</v>
      </c>
      <c r="H522" s="6"/>
      <c r="I522" s="11" t="b">
        <f t="shared" si="2"/>
        <v>0</v>
      </c>
      <c r="J522" s="24"/>
      <c r="K522" s="11" t="b">
        <f t="shared" si="3"/>
        <v>0</v>
      </c>
    </row>
    <row r="523" ht="22.5" customHeight="1">
      <c r="A523" s="12">
        <f t="shared" si="4"/>
        <v>2521</v>
      </c>
      <c r="B523" s="30" t="s">
        <v>8161</v>
      </c>
      <c r="C523" s="7" t="str">
        <f t="shared" si="5"/>
        <v>🔊</v>
      </c>
      <c r="D523" s="8" t="s">
        <v>2320</v>
      </c>
      <c r="E523" s="6" t="s">
        <v>259</v>
      </c>
      <c r="F523" s="12" t="str">
        <f>IFERROR(__xludf.DUMMYFUNCTION("GOOGLETRANSLATE(B523,""zh_cn"",""vi"")"),"lớp học")</f>
        <v>lớp học</v>
      </c>
      <c r="G523" s="20" t="s">
        <v>8162</v>
      </c>
      <c r="H523" s="6"/>
      <c r="I523" s="11" t="b">
        <f t="shared" si="2"/>
        <v>0</v>
      </c>
      <c r="J523" s="24"/>
      <c r="K523" s="11" t="b">
        <f t="shared" si="3"/>
        <v>0</v>
      </c>
    </row>
    <row r="524" ht="22.5" customHeight="1">
      <c r="A524" s="12">
        <f t="shared" si="4"/>
        <v>2522</v>
      </c>
      <c r="B524" s="30" t="s">
        <v>8163</v>
      </c>
      <c r="C524" s="7" t="str">
        <f t="shared" si="5"/>
        <v>🔊</v>
      </c>
      <c r="D524" s="8" t="s">
        <v>2320</v>
      </c>
      <c r="E524" s="6" t="s">
        <v>259</v>
      </c>
      <c r="F524" s="12" t="str">
        <f>IFERROR(__xludf.DUMMYFUNCTION("GOOGLETRANSLATE(B524,""zh_cn"",""vi"")"),"bộ")</f>
        <v>bộ</v>
      </c>
      <c r="G524" s="20" t="s">
        <v>8164</v>
      </c>
      <c r="H524" s="6"/>
      <c r="I524" s="11" t="b">
        <f t="shared" si="2"/>
        <v>0</v>
      </c>
      <c r="J524" s="24"/>
      <c r="K524" s="11" t="b">
        <f t="shared" si="3"/>
        <v>0</v>
      </c>
    </row>
    <row r="525" ht="22.5" customHeight="1">
      <c r="A525" s="12">
        <f t="shared" si="4"/>
        <v>2523</v>
      </c>
      <c r="B525" s="30" t="s">
        <v>8165</v>
      </c>
      <c r="C525" s="7" t="str">
        <f t="shared" si="5"/>
        <v>🔊</v>
      </c>
      <c r="D525" s="8" t="s">
        <v>2326</v>
      </c>
      <c r="E525" s="6" t="s">
        <v>13</v>
      </c>
      <c r="F525" s="12" t="str">
        <f>IFERROR(__xludf.DUMMYFUNCTION("GOOGLETRANSLATE(B525,""zh_cn"",""vi"")"),"Cà vạt")</f>
        <v>Cà vạt</v>
      </c>
      <c r="G525" s="20" t="s">
        <v>8166</v>
      </c>
      <c r="H525" s="6"/>
      <c r="I525" s="11" t="b">
        <f t="shared" si="2"/>
        <v>0</v>
      </c>
      <c r="J525" s="24"/>
      <c r="K525" s="11" t="b">
        <f t="shared" si="3"/>
        <v>0</v>
      </c>
    </row>
    <row r="526" ht="22.5" customHeight="1">
      <c r="A526" s="12">
        <f t="shared" si="4"/>
        <v>2524</v>
      </c>
      <c r="B526" s="30" t="s">
        <v>8167</v>
      </c>
      <c r="C526" s="7" t="str">
        <f t="shared" si="5"/>
        <v>🔊</v>
      </c>
      <c r="D526" s="8" t="s">
        <v>304</v>
      </c>
      <c r="E526" s="6" t="s">
        <v>368</v>
      </c>
      <c r="F526" s="12" t="str">
        <f>IFERROR(__xludf.DUMMYFUNCTION("GOOGLETRANSLATE(B526,""zh_cn"",""vi"")"),"vắt kiệt")</f>
        <v>vắt kiệt</v>
      </c>
      <c r="G526" s="20" t="s">
        <v>8168</v>
      </c>
      <c r="H526" s="6"/>
      <c r="I526" s="11" t="b">
        <f t="shared" si="2"/>
        <v>0</v>
      </c>
      <c r="J526" s="24"/>
      <c r="K526" s="11" t="b">
        <f t="shared" si="3"/>
        <v>0</v>
      </c>
    </row>
    <row r="527" ht="22.5" customHeight="1">
      <c r="A527" s="12">
        <f t="shared" si="4"/>
        <v>2525</v>
      </c>
      <c r="B527" s="30" t="s">
        <v>8169</v>
      </c>
      <c r="C527" s="7" t="str">
        <f t="shared" si="5"/>
        <v>🔊</v>
      </c>
      <c r="D527" s="8" t="s">
        <v>8170</v>
      </c>
      <c r="E527" s="6" t="s">
        <v>771</v>
      </c>
      <c r="F527" s="12" t="str">
        <f>IFERROR(__xludf.DUMMYFUNCTION("GOOGLETRANSLATE(B527,""zh_cn"",""vi"")"),"cái kệ")</f>
        <v>cái kệ</v>
      </c>
      <c r="G527" s="20" t="s">
        <v>8171</v>
      </c>
      <c r="H527" s="6"/>
      <c r="I527" s="11" t="b">
        <f t="shared" si="2"/>
        <v>0</v>
      </c>
      <c r="J527" s="24"/>
      <c r="K527" s="11" t="b">
        <f t="shared" si="3"/>
        <v>0</v>
      </c>
    </row>
    <row r="528" ht="22.5" customHeight="1">
      <c r="A528" s="12">
        <f t="shared" si="4"/>
        <v>2526</v>
      </c>
      <c r="B528" s="30" t="s">
        <v>8172</v>
      </c>
      <c r="C528" s="7" t="str">
        <f t="shared" si="5"/>
        <v>🔊</v>
      </c>
      <c r="D528" s="8" t="s">
        <v>4377</v>
      </c>
      <c r="E528" s="6" t="s">
        <v>27</v>
      </c>
      <c r="F528" s="12" t="str">
        <f>IFERROR(__xludf.DUMMYFUNCTION("GOOGLETRANSLATE(B528,""zh_cn"",""vi"")"),"Đầu tiên")</f>
        <v>Đầu tiên</v>
      </c>
      <c r="G528" s="20" t="s">
        <v>8173</v>
      </c>
      <c r="H528" s="6"/>
      <c r="I528" s="11" t="b">
        <f t="shared" si="2"/>
        <v>0</v>
      </c>
      <c r="J528" s="24"/>
      <c r="K528" s="11" t="b">
        <f t="shared" si="3"/>
        <v>0</v>
      </c>
    </row>
    <row r="529" ht="22.5" customHeight="1">
      <c r="A529" s="12">
        <f t="shared" si="4"/>
        <v>2527</v>
      </c>
      <c r="B529" s="30" t="s">
        <v>8174</v>
      </c>
      <c r="C529" s="7" t="str">
        <f t="shared" si="5"/>
        <v>🔊</v>
      </c>
      <c r="D529" s="8" t="s">
        <v>8175</v>
      </c>
      <c r="E529" s="6" t="s">
        <v>27</v>
      </c>
      <c r="F529" s="12" t="str">
        <f>IFERROR(__xludf.DUMMYFUNCTION("GOOGLETRANSLATE(B529,""zh_cn"",""vi"")"),"Khách mời")</f>
        <v>Khách mời</v>
      </c>
      <c r="G529" s="20" t="s">
        <v>8176</v>
      </c>
      <c r="H529" s="6"/>
      <c r="I529" s="11" t="b">
        <f t="shared" si="2"/>
        <v>0</v>
      </c>
      <c r="J529" s="24"/>
      <c r="K529" s="11" t="b">
        <f t="shared" si="3"/>
        <v>0</v>
      </c>
    </row>
    <row r="530" ht="22.5" customHeight="1">
      <c r="A530" s="12">
        <f t="shared" si="4"/>
        <v>2528</v>
      </c>
      <c r="B530" s="30" t="s">
        <v>8177</v>
      </c>
      <c r="C530" s="7" t="str">
        <f t="shared" si="5"/>
        <v>🔊</v>
      </c>
      <c r="D530" s="8" t="s">
        <v>8178</v>
      </c>
      <c r="E530" s="6" t="s">
        <v>27</v>
      </c>
      <c r="F530" s="12" t="str">
        <f>IFERROR(__xludf.DUMMYFUNCTION("GOOGLETRANSLATE(B530,""zh_cn"",""vi"")"),"Thiết bị gia dụng")</f>
        <v>Thiết bị gia dụng</v>
      </c>
      <c r="G530" s="20" t="s">
        <v>8179</v>
      </c>
      <c r="H530" s="6"/>
      <c r="I530" s="11" t="b">
        <f t="shared" si="2"/>
        <v>0</v>
      </c>
      <c r="J530" s="24"/>
      <c r="K530" s="11" t="b">
        <f t="shared" si="3"/>
        <v>0</v>
      </c>
    </row>
    <row r="531" ht="22.5" customHeight="1">
      <c r="A531" s="12">
        <f t="shared" si="4"/>
        <v>2529</v>
      </c>
      <c r="B531" s="30" t="s">
        <v>8180</v>
      </c>
      <c r="C531" s="7" t="str">
        <f t="shared" si="5"/>
        <v>🔊</v>
      </c>
      <c r="D531" s="8" t="s">
        <v>8181</v>
      </c>
      <c r="E531" s="6" t="s">
        <v>13</v>
      </c>
      <c r="F531" s="12" t="str">
        <f>IFERROR(__xludf.DUMMYFUNCTION("GOOGLETRANSLATE(B531,""zh_cn"",""vi"")"),"Xử lý")</f>
        <v>Xử lý</v>
      </c>
      <c r="G531" s="20" t="s">
        <v>8182</v>
      </c>
      <c r="H531" s="6"/>
      <c r="I531" s="11" t="b">
        <f t="shared" si="2"/>
        <v>0</v>
      </c>
      <c r="J531" s="24"/>
      <c r="K531" s="11" t="b">
        <f t="shared" si="3"/>
        <v>0</v>
      </c>
    </row>
    <row r="532" ht="22.5" customHeight="1">
      <c r="A532" s="12">
        <f t="shared" si="4"/>
        <v>2530</v>
      </c>
      <c r="B532" s="30" t="s">
        <v>8183</v>
      </c>
      <c r="C532" s="7" t="str">
        <f t="shared" si="5"/>
        <v>🔊</v>
      </c>
      <c r="D532" s="8" t="s">
        <v>313</v>
      </c>
      <c r="E532" s="6" t="s">
        <v>13</v>
      </c>
      <c r="F532" s="12" t="str">
        <f>IFERROR(__xludf.DUMMYFUNCTION("GOOGLETRANSLATE(B532,""zh_cn"",""vi"")"),"thành lập")</f>
        <v>thành lập</v>
      </c>
      <c r="G532" s="20" t="s">
        <v>8184</v>
      </c>
      <c r="H532" s="6"/>
      <c r="I532" s="11" t="b">
        <f t="shared" si="2"/>
        <v>0</v>
      </c>
      <c r="J532" s="24"/>
      <c r="K532" s="11" t="b">
        <f t="shared" si="3"/>
        <v>0</v>
      </c>
    </row>
    <row r="533" ht="22.5" customHeight="1">
      <c r="A533" s="12">
        <f t="shared" si="4"/>
        <v>2531</v>
      </c>
      <c r="B533" s="30" t="s">
        <v>8185</v>
      </c>
      <c r="C533" s="7" t="str">
        <f t="shared" si="5"/>
        <v>🔊</v>
      </c>
      <c r="D533" s="8" t="s">
        <v>313</v>
      </c>
      <c r="E533" s="6" t="s">
        <v>27</v>
      </c>
      <c r="F533" s="12" t="str">
        <f>IFERROR(__xludf.DUMMYFUNCTION("GOOGLETRANSLATE(B533,""zh_cn"",""vi"")"),"chìa khóa")</f>
        <v>chìa khóa</v>
      </c>
      <c r="G533" s="20" t="s">
        <v>8186</v>
      </c>
      <c r="H533" s="6"/>
      <c r="I533" s="11" t="b">
        <f t="shared" si="2"/>
        <v>0</v>
      </c>
      <c r="J533" s="24"/>
      <c r="K533" s="11" t="b">
        <f t="shared" si="3"/>
        <v>0</v>
      </c>
    </row>
    <row r="534" ht="22.5" customHeight="1">
      <c r="A534" s="12">
        <f t="shared" si="4"/>
        <v>2532</v>
      </c>
      <c r="B534" s="30" t="s">
        <v>8187</v>
      </c>
      <c r="C534" s="7" t="str">
        <f t="shared" si="5"/>
        <v>🔊</v>
      </c>
      <c r="D534" s="8" t="s">
        <v>4392</v>
      </c>
      <c r="E534" s="6" t="s">
        <v>13</v>
      </c>
      <c r="F534" s="12" t="str">
        <f>IFERROR(__xludf.DUMMYFUNCTION("GOOGLETRANSLATE(B534,""zh_cn"",""vi"")"),"Nhặt lên")</f>
        <v>Nhặt lên</v>
      </c>
      <c r="G534" s="20" t="s">
        <v>8188</v>
      </c>
      <c r="H534" s="6"/>
      <c r="I534" s="11" t="b">
        <f t="shared" si="2"/>
        <v>0</v>
      </c>
      <c r="J534" s="24"/>
      <c r="K534" s="11" t="b">
        <f t="shared" si="3"/>
        <v>0</v>
      </c>
    </row>
    <row r="535" ht="22.5" customHeight="1">
      <c r="A535" s="12">
        <f t="shared" si="4"/>
        <v>2533</v>
      </c>
      <c r="B535" s="30" t="s">
        <v>8189</v>
      </c>
      <c r="C535" s="7" t="str">
        <f t="shared" si="5"/>
        <v>🔊</v>
      </c>
      <c r="D535" s="8" t="s">
        <v>4392</v>
      </c>
      <c r="E535" s="6" t="s">
        <v>13</v>
      </c>
      <c r="F535" s="12" t="str">
        <f>IFERROR(__xludf.DUMMYFUNCTION("GOOGLETRANSLATE(B535,""zh_cn"",""vi"")"),"Cắt")</f>
        <v>Cắt</v>
      </c>
      <c r="G535" s="20" t="s">
        <v>8190</v>
      </c>
      <c r="H535" s="6"/>
      <c r="I535" s="11" t="b">
        <f t="shared" si="2"/>
        <v>0</v>
      </c>
      <c r="J535" s="24"/>
      <c r="K535" s="11" t="b">
        <f t="shared" si="3"/>
        <v>0</v>
      </c>
    </row>
    <row r="536" ht="22.5" customHeight="1">
      <c r="A536" s="12">
        <f t="shared" si="4"/>
        <v>2534</v>
      </c>
      <c r="B536" s="30" t="s">
        <v>8191</v>
      </c>
      <c r="C536" s="7" t="str">
        <f t="shared" si="5"/>
        <v>🔊</v>
      </c>
      <c r="D536" s="8" t="s">
        <v>8192</v>
      </c>
      <c r="E536" s="6" t="s">
        <v>27</v>
      </c>
      <c r="F536" s="12" t="str">
        <f>IFERROR(__xludf.DUMMYFUNCTION("GOOGLETRANSLATE(B536,""zh_cn"",""vi"")"),"Kéo")</f>
        <v>Kéo</v>
      </c>
      <c r="G536" s="20" t="s">
        <v>8193</v>
      </c>
      <c r="H536" s="6"/>
      <c r="I536" s="11" t="b">
        <f t="shared" si="2"/>
        <v>0</v>
      </c>
      <c r="J536" s="24"/>
      <c r="K536" s="11" t="b">
        <f t="shared" si="3"/>
        <v>0</v>
      </c>
    </row>
    <row r="537" ht="22.5" customHeight="1">
      <c r="A537" s="12">
        <f t="shared" si="4"/>
        <v>2535</v>
      </c>
      <c r="B537" s="30" t="s">
        <v>8194</v>
      </c>
      <c r="C537" s="7" t="str">
        <f t="shared" si="5"/>
        <v>🔊</v>
      </c>
      <c r="D537" s="8" t="s">
        <v>8195</v>
      </c>
      <c r="E537" s="6" t="s">
        <v>13</v>
      </c>
      <c r="F537" s="12" t="str">
        <f>IFERROR(__xludf.DUMMYFUNCTION("GOOGLETRANSLATE(B537,""zh_cn"",""vi"")"),"giảm cân")</f>
        <v>giảm cân</v>
      </c>
      <c r="G537" s="20" t="s">
        <v>8196</v>
      </c>
      <c r="H537" s="6"/>
      <c r="I537" s="11" t="b">
        <f t="shared" si="2"/>
        <v>0</v>
      </c>
      <c r="J537" s="24"/>
      <c r="K537" s="11" t="b">
        <f t="shared" si="3"/>
        <v>0</v>
      </c>
    </row>
    <row r="538" ht="22.5" customHeight="1">
      <c r="A538" s="12">
        <f t="shared" si="4"/>
        <v>2536</v>
      </c>
      <c r="B538" s="30" t="s">
        <v>8197</v>
      </c>
      <c r="C538" s="7" t="str">
        <f t="shared" si="5"/>
        <v>🔊</v>
      </c>
      <c r="D538" s="8" t="s">
        <v>8198</v>
      </c>
      <c r="E538" s="6" t="s">
        <v>27</v>
      </c>
      <c r="F538" s="12" t="str">
        <f>IFERROR(__xludf.DUMMYFUNCTION("GOOGLETRANSLATE(B538,""zh_cn"",""vi"")"),"Lời nói")</f>
        <v>Lời nói</v>
      </c>
      <c r="G538" s="20" t="s">
        <v>8199</v>
      </c>
      <c r="H538" s="6"/>
      <c r="I538" s="11" t="b">
        <f t="shared" si="2"/>
        <v>0</v>
      </c>
      <c r="J538" s="24"/>
      <c r="K538" s="11" t="b">
        <f t="shared" si="3"/>
        <v>0</v>
      </c>
    </row>
    <row r="539" ht="22.5" customHeight="1">
      <c r="A539" s="12">
        <f t="shared" si="4"/>
        <v>2537</v>
      </c>
      <c r="B539" s="30" t="s">
        <v>8200</v>
      </c>
      <c r="C539" s="7" t="str">
        <f t="shared" si="5"/>
        <v>🔊</v>
      </c>
      <c r="D539" s="8" t="s">
        <v>8201</v>
      </c>
      <c r="E539" s="6" t="s">
        <v>61</v>
      </c>
      <c r="F539" s="12" t="str">
        <f>IFERROR(__xludf.DUMMYFUNCTION("GOOGLETRANSLATE(B539,""zh_cn"",""vi"")"),"gần như")</f>
        <v>gần như</v>
      </c>
      <c r="G539" s="20" t="s">
        <v>8202</v>
      </c>
      <c r="H539" s="6"/>
      <c r="I539" s="11" t="b">
        <f t="shared" si="2"/>
        <v>0</v>
      </c>
      <c r="J539" s="24"/>
      <c r="K539" s="11" t="b">
        <f t="shared" si="3"/>
        <v>0</v>
      </c>
    </row>
    <row r="540" ht="22.5" customHeight="1">
      <c r="A540" s="12">
        <f t="shared" si="4"/>
        <v>2538</v>
      </c>
      <c r="B540" s="30" t="s">
        <v>8203</v>
      </c>
      <c r="C540" s="7" t="str">
        <f t="shared" si="5"/>
        <v>🔊</v>
      </c>
      <c r="D540" s="8" t="s">
        <v>8204</v>
      </c>
      <c r="E540" s="6" t="s">
        <v>368</v>
      </c>
      <c r="F540" s="12" t="str">
        <f>IFERROR(__xludf.DUMMYFUNCTION("GOOGLETRANSLATE(B540,""zh_cn"",""vi"")"),"Hãy chú ý đến")</f>
        <v>Hãy chú ý đến</v>
      </c>
      <c r="G540" s="20" t="s">
        <v>8205</v>
      </c>
      <c r="H540" s="6"/>
      <c r="I540" s="11" t="b">
        <f t="shared" si="2"/>
        <v>0</v>
      </c>
      <c r="J540" s="24"/>
      <c r="K540" s="11" t="b">
        <f t="shared" si="3"/>
        <v>0</v>
      </c>
    </row>
    <row r="541" ht="22.5" customHeight="1">
      <c r="A541" s="12">
        <f t="shared" si="4"/>
        <v>2539</v>
      </c>
      <c r="B541" s="30" t="s">
        <v>8206</v>
      </c>
      <c r="C541" s="7" t="str">
        <f t="shared" si="5"/>
        <v>🔊</v>
      </c>
      <c r="D541" s="8" t="s">
        <v>8207</v>
      </c>
      <c r="E541" s="6" t="s">
        <v>13</v>
      </c>
      <c r="F541" s="12" t="str">
        <f>IFERROR(__xludf.DUMMYFUNCTION("GOOGLETRANSLATE(B541,""zh_cn"",""vi"")"),"phần thưởng")</f>
        <v>phần thưởng</v>
      </c>
      <c r="G541" s="20" t="s">
        <v>8208</v>
      </c>
      <c r="H541" s="6"/>
      <c r="I541" s="11" t="b">
        <f t="shared" si="2"/>
        <v>0</v>
      </c>
      <c r="J541" s="24"/>
      <c r="K541" s="11" t="b">
        <f t="shared" si="3"/>
        <v>0</v>
      </c>
    </row>
    <row r="542" ht="22.5" customHeight="1">
      <c r="A542" s="12">
        <f t="shared" si="4"/>
        <v>2540</v>
      </c>
      <c r="B542" s="30" t="s">
        <v>8209</v>
      </c>
      <c r="C542" s="7" t="str">
        <f t="shared" si="5"/>
        <v>🔊</v>
      </c>
      <c r="D542" s="8" t="s">
        <v>8210</v>
      </c>
      <c r="E542" s="6" t="s">
        <v>13</v>
      </c>
      <c r="F542" s="12" t="str">
        <f>IFERROR(__xludf.DUMMYFUNCTION("GOOGLETRANSLATE(B542,""zh_cn"",""vi"")"),"Chuyện kể")</f>
        <v>Chuyện kể</v>
      </c>
      <c r="G542" s="20" t="s">
        <v>8211</v>
      </c>
      <c r="H542" s="6"/>
      <c r="I542" s="11" t="b">
        <f t="shared" si="2"/>
        <v>0</v>
      </c>
      <c r="J542" s="24"/>
      <c r="K542" s="11" t="b">
        <f t="shared" si="3"/>
        <v>0</v>
      </c>
    </row>
    <row r="543" ht="22.5" customHeight="1">
      <c r="A543" s="12">
        <f t="shared" si="4"/>
        <v>2541</v>
      </c>
      <c r="B543" s="30" t="s">
        <v>8212</v>
      </c>
      <c r="C543" s="7" t="str">
        <f t="shared" si="5"/>
        <v>🔊</v>
      </c>
      <c r="D543" s="8" t="s">
        <v>8213</v>
      </c>
      <c r="E543" s="6" t="s">
        <v>13</v>
      </c>
      <c r="F543" s="12" t="str">
        <f>IFERROR(__xludf.DUMMYFUNCTION("GOOGLETRANSLATE(B543,""zh_cn"",""vi"")"),"sự kết tủa")</f>
        <v>sự kết tủa</v>
      </c>
      <c r="G543" s="20" t="s">
        <v>8214</v>
      </c>
      <c r="H543" s="6"/>
      <c r="I543" s="11" t="b">
        <f t="shared" si="2"/>
        <v>0</v>
      </c>
      <c r="J543" s="24"/>
      <c r="K543" s="11" t="b">
        <f t="shared" si="3"/>
        <v>0</v>
      </c>
    </row>
    <row r="544" ht="22.5" customHeight="1">
      <c r="A544" s="12">
        <f t="shared" si="4"/>
        <v>2542</v>
      </c>
      <c r="B544" s="30" t="s">
        <v>8215</v>
      </c>
      <c r="C544" s="7" t="str">
        <f t="shared" si="5"/>
        <v>🔊</v>
      </c>
      <c r="D544" s="8" t="s">
        <v>8216</v>
      </c>
      <c r="E544" s="6" t="s">
        <v>27</v>
      </c>
      <c r="F544" s="12" t="str">
        <f>IFERROR(__xludf.DUMMYFUNCTION("GOOGLETRANSLATE(B544,""zh_cn"",""vi"")"),"Bài giảng")</f>
        <v>Bài giảng</v>
      </c>
      <c r="G544" s="20" t="s">
        <v>8217</v>
      </c>
      <c r="H544" s="6"/>
      <c r="I544" s="11" t="b">
        <f t="shared" si="2"/>
        <v>0</v>
      </c>
      <c r="J544" s="24"/>
      <c r="K544" s="11" t="b">
        <f t="shared" si="3"/>
        <v>0</v>
      </c>
    </row>
    <row r="545" ht="22.5" customHeight="1">
      <c r="A545" s="12">
        <f t="shared" si="4"/>
        <v>2543</v>
      </c>
      <c r="B545" s="30" t="s">
        <v>8218</v>
      </c>
      <c r="C545" s="7" t="str">
        <f t="shared" si="5"/>
        <v>🔊</v>
      </c>
      <c r="D545" s="8" t="s">
        <v>8219</v>
      </c>
      <c r="E545" s="6" t="s">
        <v>61</v>
      </c>
      <c r="F545" s="12" t="str">
        <f>IFERROR(__xludf.DUMMYFUNCTION("GOOGLETRANSLATE(B545,""zh_cn"",""vi"")"),"dần dần")</f>
        <v>dần dần</v>
      </c>
      <c r="G545" s="20" t="s">
        <v>8220</v>
      </c>
      <c r="H545" s="6"/>
      <c r="I545" s="11" t="b">
        <f t="shared" si="2"/>
        <v>0</v>
      </c>
      <c r="J545" s="24"/>
      <c r="K545" s="11" t="b">
        <f t="shared" si="3"/>
        <v>0</v>
      </c>
    </row>
    <row r="546" ht="22.5" customHeight="1">
      <c r="A546" s="12">
        <f t="shared" si="4"/>
        <v>2544</v>
      </c>
      <c r="B546" s="30" t="s">
        <v>8221</v>
      </c>
      <c r="C546" s="7" t="str">
        <f t="shared" si="5"/>
        <v>🔊</v>
      </c>
      <c r="D546" s="8" t="s">
        <v>8222</v>
      </c>
      <c r="E546" s="6" t="s">
        <v>99</v>
      </c>
      <c r="F546" s="12" t="str">
        <f>IFERROR(__xludf.DUMMYFUNCTION("GOOGLETRANSLATE(B546,""zh_cn"",""vi"")"),"cứng")</f>
        <v>cứng</v>
      </c>
      <c r="G546" s="20" t="s">
        <v>8223</v>
      </c>
      <c r="H546" s="6"/>
      <c r="I546" s="11" t="b">
        <f t="shared" si="2"/>
        <v>0</v>
      </c>
      <c r="J546" s="24"/>
      <c r="K546" s="11" t="b">
        <f t="shared" si="3"/>
        <v>0</v>
      </c>
    </row>
    <row r="547" ht="22.5" customHeight="1">
      <c r="A547" s="12">
        <f t="shared" si="4"/>
        <v>2545</v>
      </c>
      <c r="B547" s="30" t="s">
        <v>8224</v>
      </c>
      <c r="C547" s="7" t="str">
        <f t="shared" si="5"/>
        <v>🔊</v>
      </c>
      <c r="D547" s="8" t="s">
        <v>8225</v>
      </c>
      <c r="E547" s="6" t="s">
        <v>13</v>
      </c>
      <c r="F547" s="12" t="str">
        <f>IFERROR(__xludf.DUMMYFUNCTION("GOOGLETRANSLATE(B547,""zh_cn"",""vi"")"),"Thành lập")</f>
        <v>Thành lập</v>
      </c>
      <c r="G547" s="20" t="s">
        <v>8226</v>
      </c>
      <c r="H547" s="6"/>
      <c r="I547" s="11" t="b">
        <f t="shared" si="2"/>
        <v>0</v>
      </c>
      <c r="J547" s="24"/>
      <c r="K547" s="11" t="b">
        <f t="shared" si="3"/>
        <v>0</v>
      </c>
    </row>
    <row r="548" ht="22.5" customHeight="1">
      <c r="A548" s="12">
        <f t="shared" si="4"/>
        <v>2546</v>
      </c>
      <c r="B548" s="30" t="s">
        <v>8227</v>
      </c>
      <c r="C548" s="7" t="str">
        <f t="shared" si="5"/>
        <v>🔊</v>
      </c>
      <c r="D548" s="8" t="s">
        <v>8228</v>
      </c>
      <c r="E548" s="6" t="s">
        <v>27</v>
      </c>
      <c r="F548" s="12" t="str">
        <f>IFERROR(__xludf.DUMMYFUNCTION("GOOGLETRANSLATE(B548,""zh_cn"",""vi"")"),"CV")</f>
        <v>CV</v>
      </c>
      <c r="G548" s="20" t="s">
        <v>8229</v>
      </c>
      <c r="H548" s="6"/>
      <c r="I548" s="11" t="b">
        <f t="shared" si="2"/>
        <v>0</v>
      </c>
      <c r="J548" s="24"/>
      <c r="K548" s="11" t="b">
        <f t="shared" si="3"/>
        <v>0</v>
      </c>
    </row>
    <row r="549" ht="22.5" customHeight="1">
      <c r="A549" s="12">
        <f t="shared" si="4"/>
        <v>2547</v>
      </c>
      <c r="B549" s="30" t="s">
        <v>8230</v>
      </c>
      <c r="C549" s="7" t="str">
        <f t="shared" si="5"/>
        <v>🔊</v>
      </c>
      <c r="D549" s="8" t="s">
        <v>8231</v>
      </c>
      <c r="E549" s="6" t="s">
        <v>27</v>
      </c>
      <c r="F549" s="12" t="str">
        <f>IFERROR(__xludf.DUMMYFUNCTION("GOOGLETRANSLATE(B549,""zh_cn"",""vi"")"),"bàn phím")</f>
        <v>bàn phím</v>
      </c>
      <c r="G549" s="20" t="s">
        <v>8232</v>
      </c>
      <c r="H549" s="6"/>
      <c r="I549" s="11" t="b">
        <f t="shared" si="2"/>
        <v>0</v>
      </c>
      <c r="J549" s="24"/>
      <c r="K549" s="11" t="b">
        <f t="shared" si="3"/>
        <v>0</v>
      </c>
    </row>
    <row r="550" ht="22.5" customHeight="1">
      <c r="A550" s="12">
        <f t="shared" si="4"/>
        <v>2548</v>
      </c>
      <c r="B550" s="30" t="s">
        <v>8233</v>
      </c>
      <c r="C550" s="7" t="str">
        <f t="shared" si="5"/>
        <v>🔊</v>
      </c>
      <c r="D550" s="8" t="s">
        <v>8234</v>
      </c>
      <c r="E550" s="6" t="s">
        <v>99</v>
      </c>
      <c r="F550" s="12" t="str">
        <f>IFERROR(__xludf.DUMMYFUNCTION("GOOGLETRANSLATE(B550,""zh_cn"",""vi"")"),"mạnh")</f>
        <v>mạnh</v>
      </c>
      <c r="G550" s="20" t="s">
        <v>8235</v>
      </c>
      <c r="H550" s="6"/>
      <c r="I550" s="11" t="b">
        <f t="shared" si="2"/>
        <v>0</v>
      </c>
      <c r="J550" s="24"/>
      <c r="K550" s="11" t="b">
        <f t="shared" si="3"/>
        <v>0</v>
      </c>
    </row>
    <row r="551" ht="22.5" customHeight="1">
      <c r="A551" s="12">
        <f t="shared" si="4"/>
        <v>2549</v>
      </c>
      <c r="B551" s="30" t="s">
        <v>8236</v>
      </c>
      <c r="C551" s="7" t="str">
        <f t="shared" si="5"/>
        <v>🔊</v>
      </c>
      <c r="D551" s="8" t="s">
        <v>8237</v>
      </c>
      <c r="E551" s="6" t="s">
        <v>13</v>
      </c>
      <c r="F551" s="12" t="str">
        <f>IFERROR(__xludf.DUMMYFUNCTION("GOOGLETRANSLATE(B551,""zh_cn"",""vi"")"),"Sự thi công")</f>
        <v>Sự thi công</v>
      </c>
      <c r="G551" s="20" t="s">
        <v>8238</v>
      </c>
      <c r="H551" s="6"/>
      <c r="I551" s="11" t="b">
        <f t="shared" si="2"/>
        <v>0</v>
      </c>
      <c r="J551" s="24"/>
      <c r="K551" s="11" t="b">
        <f t="shared" si="3"/>
        <v>0</v>
      </c>
    </row>
    <row r="552" ht="22.5" customHeight="1">
      <c r="A552" s="12">
        <f t="shared" si="4"/>
        <v>2550</v>
      </c>
      <c r="B552" s="30" t="s">
        <v>8239</v>
      </c>
      <c r="C552" s="7" t="str">
        <f t="shared" si="5"/>
        <v>🔊</v>
      </c>
      <c r="D552" s="8" t="s">
        <v>8240</v>
      </c>
      <c r="E552" s="6" t="s">
        <v>13</v>
      </c>
      <c r="F552" s="12" t="str">
        <f>IFERROR(__xludf.DUMMYFUNCTION("GOOGLETRANSLATE(B552,""zh_cn"",""vi"")"),"dựng lên")</f>
        <v>dựng lên</v>
      </c>
      <c r="G552" s="20" t="s">
        <v>8241</v>
      </c>
      <c r="H552" s="6"/>
      <c r="I552" s="11" t="b">
        <f t="shared" si="2"/>
        <v>0</v>
      </c>
      <c r="J552" s="24"/>
      <c r="K552" s="11" t="b">
        <f t="shared" si="3"/>
        <v>0</v>
      </c>
    </row>
    <row r="553" ht="22.5" customHeight="1">
      <c r="A553" s="12">
        <f t="shared" si="4"/>
        <v>2551</v>
      </c>
      <c r="B553" s="30" t="s">
        <v>8242</v>
      </c>
      <c r="C553" s="7" t="str">
        <f t="shared" si="5"/>
        <v>🔊</v>
      </c>
      <c r="D553" s="8" t="s">
        <v>8243</v>
      </c>
      <c r="E553" s="6" t="s">
        <v>61</v>
      </c>
      <c r="F553" s="12" t="str">
        <f>IFERROR(__xludf.DUMMYFUNCTION("GOOGLETRANSLATE(B553,""zh_cn"",""vi"")"),"đơn giản")</f>
        <v>đơn giản</v>
      </c>
      <c r="G553" s="20" t="s">
        <v>8244</v>
      </c>
      <c r="H553" s="6"/>
      <c r="I553" s="11" t="b">
        <f t="shared" si="2"/>
        <v>0</v>
      </c>
      <c r="J553" s="24"/>
      <c r="K553" s="11" t="b">
        <f t="shared" si="3"/>
        <v>0</v>
      </c>
    </row>
    <row r="554" ht="22.5" customHeight="1">
      <c r="A554" s="12">
        <f t="shared" si="4"/>
        <v>2552</v>
      </c>
      <c r="B554" s="30" t="s">
        <v>8245</v>
      </c>
      <c r="C554" s="7" t="str">
        <f t="shared" si="5"/>
        <v>🔊</v>
      </c>
      <c r="D554" s="8" t="s">
        <v>8246</v>
      </c>
      <c r="E554" s="6" t="s">
        <v>232</v>
      </c>
      <c r="F554" s="12" t="str">
        <f>IFERROR(__xludf.DUMMYFUNCTION("GOOGLETRANSLATE(B554,""zh_cn"",""vi"")"),"ngành kiến ​​​​trúc")</f>
        <v>ngành kiến ​​​​trúc</v>
      </c>
      <c r="G554" s="20" t="s">
        <v>8247</v>
      </c>
      <c r="H554" s="6"/>
      <c r="I554" s="11" t="b">
        <f t="shared" si="2"/>
        <v>0</v>
      </c>
      <c r="J554" s="24"/>
      <c r="K554" s="11" t="b">
        <f t="shared" si="3"/>
        <v>0</v>
      </c>
    </row>
    <row r="555" ht="22.5" customHeight="1">
      <c r="A555" s="12">
        <f t="shared" si="4"/>
        <v>2553</v>
      </c>
      <c r="B555" s="30" t="s">
        <v>8248</v>
      </c>
      <c r="C555" s="7" t="str">
        <f t="shared" si="5"/>
        <v>🔊</v>
      </c>
      <c r="D555" s="8" t="s">
        <v>319</v>
      </c>
      <c r="E555" s="6" t="s">
        <v>4404</v>
      </c>
      <c r="F555" s="12" t="str">
        <f>IFERROR(__xludf.DUMMYFUNCTION("GOOGLETRANSLATE(B555,""zh_cn"",""vi"")"),"So sánh")</f>
        <v>So sánh</v>
      </c>
      <c r="G555" s="20" t="s">
        <v>8249</v>
      </c>
      <c r="H555" s="6"/>
      <c r="I555" s="11" t="b">
        <f t="shared" si="2"/>
        <v>0</v>
      </c>
      <c r="J555" s="24"/>
      <c r="K555" s="11" t="b">
        <f t="shared" si="3"/>
        <v>0</v>
      </c>
    </row>
    <row r="556" ht="22.5" customHeight="1">
      <c r="A556" s="12">
        <f t="shared" si="4"/>
        <v>2554</v>
      </c>
      <c r="B556" s="30" t="s">
        <v>8250</v>
      </c>
      <c r="C556" s="7" t="str">
        <f t="shared" si="5"/>
        <v>🔊</v>
      </c>
      <c r="D556" s="8" t="s">
        <v>1246</v>
      </c>
      <c r="E556" s="6" t="s">
        <v>13</v>
      </c>
      <c r="F556" s="12" t="str">
        <f>IFERROR(__xludf.DUMMYFUNCTION("GOOGLETRANSLATE(B556,""zh_cn"",""vi"")"),"Rót")</f>
        <v>Rót</v>
      </c>
      <c r="G556" s="20" t="s">
        <v>8251</v>
      </c>
      <c r="H556" s="6"/>
      <c r="I556" s="11" t="b">
        <f t="shared" si="2"/>
        <v>0</v>
      </c>
      <c r="J556" s="24"/>
      <c r="K556" s="11" t="b">
        <f t="shared" si="3"/>
        <v>0</v>
      </c>
    </row>
    <row r="557" ht="22.5" customHeight="1">
      <c r="A557" s="12">
        <f t="shared" si="4"/>
        <v>2555</v>
      </c>
      <c r="B557" s="30" t="s">
        <v>8252</v>
      </c>
      <c r="C557" s="7" t="str">
        <f t="shared" si="5"/>
        <v>🔊</v>
      </c>
      <c r="D557" s="8" t="s">
        <v>8253</v>
      </c>
      <c r="E557" s="6" t="s">
        <v>27</v>
      </c>
      <c r="F557" s="12" t="str">
        <f>IFERROR(__xludf.DUMMYFUNCTION("GOOGLETRANSLATE(B557,""zh_cn"",""vi"")"),"nhịp độ")</f>
        <v>nhịp độ</v>
      </c>
      <c r="G557" s="20" t="s">
        <v>8254</v>
      </c>
      <c r="H557" s="6"/>
      <c r="I557" s="11" t="b">
        <f t="shared" si="2"/>
        <v>0</v>
      </c>
      <c r="J557" s="24"/>
      <c r="K557" s="11" t="b">
        <f t="shared" si="3"/>
        <v>0</v>
      </c>
    </row>
    <row r="558" ht="22.5" customHeight="1">
      <c r="A558" s="12">
        <f t="shared" si="4"/>
        <v>2556</v>
      </c>
      <c r="B558" s="30" t="s">
        <v>8255</v>
      </c>
      <c r="C558" s="7" t="str">
        <f t="shared" si="5"/>
        <v>🔊</v>
      </c>
      <c r="D558" s="8" t="s">
        <v>8256</v>
      </c>
      <c r="E558" s="6" t="s">
        <v>27</v>
      </c>
      <c r="F558" s="12" t="str">
        <f>IFERROR(__xludf.DUMMYFUNCTION("GOOGLETRANSLATE(B558,""zh_cn"",""vi"")"),"sách giáo khoa")</f>
        <v>sách giáo khoa</v>
      </c>
      <c r="G558" s="20" t="s">
        <v>8257</v>
      </c>
      <c r="H558" s="6"/>
      <c r="I558" s="11" t="b">
        <f t="shared" si="2"/>
        <v>0</v>
      </c>
      <c r="J558" s="24"/>
      <c r="K558" s="11" t="b">
        <f t="shared" si="3"/>
        <v>0</v>
      </c>
    </row>
    <row r="559" ht="22.5" customHeight="1">
      <c r="A559" s="12">
        <f t="shared" si="4"/>
        <v>2557</v>
      </c>
      <c r="B559" s="30" t="s">
        <v>8258</v>
      </c>
      <c r="C559" s="7" t="str">
        <f t="shared" si="5"/>
        <v>🔊</v>
      </c>
      <c r="D559" s="8" t="s">
        <v>8259</v>
      </c>
      <c r="E559" s="6" t="s">
        <v>27</v>
      </c>
      <c r="F559" s="12" t="str">
        <f>IFERROR(__xludf.DUMMYFUNCTION("GOOGLETRANSLATE(B559,""zh_cn"",""vi"")"),"góc")</f>
        <v>góc</v>
      </c>
      <c r="G559" s="20" t="s">
        <v>8260</v>
      </c>
      <c r="H559" s="6"/>
      <c r="I559" s="11" t="b">
        <f t="shared" si="2"/>
        <v>0</v>
      </c>
      <c r="J559" s="24"/>
      <c r="K559" s="11" t="b">
        <f t="shared" si="3"/>
        <v>0</v>
      </c>
    </row>
    <row r="560" ht="22.5" customHeight="1">
      <c r="A560" s="12">
        <f t="shared" si="4"/>
        <v>2558</v>
      </c>
      <c r="B560" s="30" t="s">
        <v>8261</v>
      </c>
      <c r="C560" s="7" t="str">
        <f t="shared" si="5"/>
        <v>🔊</v>
      </c>
      <c r="D560" s="8" t="s">
        <v>8262</v>
      </c>
      <c r="E560" s="6" t="s">
        <v>13</v>
      </c>
      <c r="F560" s="12" t="str">
        <f>IFERROR(__xludf.DUMMYFUNCTION("GOOGLETRANSLATE(B560,""zh_cn"",""vi"")"),"trao đổi")</f>
        <v>trao đổi</v>
      </c>
      <c r="G560" s="20" t="s">
        <v>8263</v>
      </c>
      <c r="H560" s="6"/>
      <c r="I560" s="11" t="b">
        <f t="shared" si="2"/>
        <v>0</v>
      </c>
      <c r="J560" s="24"/>
      <c r="K560" s="11" t="b">
        <f t="shared" si="3"/>
        <v>0</v>
      </c>
    </row>
    <row r="561" ht="22.5" customHeight="1">
      <c r="A561" s="12">
        <f t="shared" si="4"/>
        <v>2559</v>
      </c>
      <c r="B561" s="30" t="s">
        <v>8264</v>
      </c>
      <c r="C561" s="7" t="str">
        <f t="shared" si="5"/>
        <v>🔊</v>
      </c>
      <c r="D561" s="8" t="s">
        <v>8265</v>
      </c>
      <c r="E561" s="6" t="s">
        <v>13</v>
      </c>
      <c r="F561" s="12" t="str">
        <f>IFERROR(__xludf.DUMMYFUNCTION("GOOGLETRANSLATE(B561,""zh_cn"",""vi"")"),"Sự tương tác")</f>
        <v>Sự tương tác</v>
      </c>
      <c r="G561" s="20" t="s">
        <v>8266</v>
      </c>
      <c r="H561" s="6"/>
      <c r="I561" s="11" t="b">
        <f t="shared" si="2"/>
        <v>0</v>
      </c>
      <c r="J561" s="24"/>
      <c r="K561" s="11" t="b">
        <f t="shared" si="3"/>
        <v>0</v>
      </c>
    </row>
    <row r="562" ht="22.5" customHeight="1">
      <c r="A562" s="12">
        <f t="shared" si="4"/>
        <v>2560</v>
      </c>
      <c r="B562" s="30" t="s">
        <v>8267</v>
      </c>
      <c r="C562" s="7" t="str">
        <f t="shared" si="5"/>
        <v>🔊</v>
      </c>
      <c r="D562" s="8" t="s">
        <v>8268</v>
      </c>
      <c r="E562" s="6" t="s">
        <v>232</v>
      </c>
      <c r="F562" s="12" t="str">
        <f>IFERROR(__xludf.DUMMYFUNCTION("GOOGLETRANSLATE(B562,""zh_cn"",""vi"")"),"buôn bán")</f>
        <v>buôn bán</v>
      </c>
      <c r="G562" s="20" t="s">
        <v>8269</v>
      </c>
      <c r="H562" s="6"/>
      <c r="I562" s="11" t="b">
        <f t="shared" si="2"/>
        <v>0</v>
      </c>
      <c r="J562" s="24"/>
      <c r="K562" s="11" t="b">
        <f t="shared" si="3"/>
        <v>0</v>
      </c>
    </row>
    <row r="563" ht="22.5" customHeight="1">
      <c r="A563" s="12">
        <f t="shared" si="4"/>
        <v>2561</v>
      </c>
      <c r="B563" s="30" t="s">
        <v>8270</v>
      </c>
      <c r="C563" s="7" t="str">
        <f t="shared" si="5"/>
        <v>🔊</v>
      </c>
      <c r="D563" s="8" t="s">
        <v>8271</v>
      </c>
      <c r="E563" s="6" t="s">
        <v>13</v>
      </c>
      <c r="F563" s="12" t="str">
        <f>IFERROR(__xludf.DUMMYFUNCTION("GOOGLETRANSLATE(B563,""zh_cn"",""vi"")"),"sưởi ấm")</f>
        <v>sưởi ấm</v>
      </c>
      <c r="G563" s="20" t="s">
        <v>8272</v>
      </c>
      <c r="H563" s="6"/>
      <c r="I563" s="11" t="b">
        <f t="shared" si="2"/>
        <v>0</v>
      </c>
      <c r="J563" s="24"/>
      <c r="K563" s="11" t="b">
        <f t="shared" si="3"/>
        <v>0</v>
      </c>
    </row>
    <row r="564" ht="22.5" customHeight="1">
      <c r="A564" s="12">
        <f t="shared" si="4"/>
        <v>2562</v>
      </c>
      <c r="B564" s="30" t="s">
        <v>8273</v>
      </c>
      <c r="C564" s="7" t="str">
        <f t="shared" si="5"/>
        <v>🔊</v>
      </c>
      <c r="D564" s="8" t="s">
        <v>8274</v>
      </c>
      <c r="E564" s="6" t="s">
        <v>1132</v>
      </c>
      <c r="F564" s="12" t="str">
        <f>IFERROR(__xludf.DUMMYFUNCTION("GOOGLETRANSLATE(B564,""zh_cn"",""vi"")"),"nếu như")</f>
        <v>nếu như</v>
      </c>
      <c r="G564" s="20" t="s">
        <v>8275</v>
      </c>
      <c r="H564" s="6"/>
      <c r="I564" s="11" t="b">
        <f t="shared" si="2"/>
        <v>0</v>
      </c>
      <c r="J564" s="24"/>
      <c r="K564" s="11" t="b">
        <f t="shared" si="3"/>
        <v>0</v>
      </c>
    </row>
    <row r="565" ht="22.5" customHeight="1">
      <c r="A565" s="12">
        <f t="shared" si="4"/>
        <v>2563</v>
      </c>
      <c r="B565" s="30" t="s">
        <v>8276</v>
      </c>
      <c r="C565" s="7" t="str">
        <f t="shared" si="5"/>
        <v>🔊</v>
      </c>
      <c r="D565" s="8" t="s">
        <v>8277</v>
      </c>
      <c r="E565" s="6" t="s">
        <v>13</v>
      </c>
      <c r="F565" s="12" t="str">
        <f>IFERROR(__xludf.DUMMYFUNCTION("GOOGLETRANSLATE(B565,""zh_cn"",""vi"")"),"làm sâu sắc thêm")</f>
        <v>làm sâu sắc thêm</v>
      </c>
      <c r="G565" s="20" t="s">
        <v>8278</v>
      </c>
      <c r="H565" s="6"/>
      <c r="I565" s="11" t="b">
        <f t="shared" si="2"/>
        <v>0</v>
      </c>
      <c r="J565" s="24"/>
      <c r="K565" s="11" t="b">
        <f t="shared" si="3"/>
        <v>0</v>
      </c>
    </row>
    <row r="566" ht="22.5" customHeight="1">
      <c r="A566" s="12">
        <f t="shared" si="4"/>
        <v>2564</v>
      </c>
      <c r="B566" s="30" t="s">
        <v>8279</v>
      </c>
      <c r="C566" s="7" t="str">
        <f t="shared" si="5"/>
        <v>🔊</v>
      </c>
      <c r="D566" s="8" t="s">
        <v>8280</v>
      </c>
      <c r="E566" s="6" t="s">
        <v>13</v>
      </c>
      <c r="F566" s="12" t="str">
        <f>IFERROR(__xludf.DUMMYFUNCTION("GOOGLETRANSLATE(B566,""zh_cn"",""vi"")"),"lái xe")</f>
        <v>lái xe</v>
      </c>
      <c r="G566" s="20" t="s">
        <v>8281</v>
      </c>
      <c r="H566" s="6"/>
      <c r="I566" s="11" t="b">
        <f t="shared" si="2"/>
        <v>0</v>
      </c>
      <c r="J566" s="24"/>
      <c r="K566" s="11" t="b">
        <f t="shared" si="3"/>
        <v>0</v>
      </c>
    </row>
    <row r="567" ht="22.5" customHeight="1">
      <c r="A567" s="12">
        <f t="shared" si="4"/>
        <v>2565</v>
      </c>
      <c r="B567" s="30" t="s">
        <v>8282</v>
      </c>
      <c r="C567" s="7" t="str">
        <f t="shared" si="5"/>
        <v>🔊</v>
      </c>
      <c r="D567" s="8" t="s">
        <v>8283</v>
      </c>
      <c r="E567" s="6" t="s">
        <v>13</v>
      </c>
      <c r="F567" s="12" t="str">
        <f>IFERROR(__xludf.DUMMYFUNCTION("GOOGLETRANSLATE(B567,""zh_cn"",""vi"")"),"tăng tốc")</f>
        <v>tăng tốc</v>
      </c>
      <c r="G567" s="20" t="s">
        <v>8284</v>
      </c>
      <c r="H567" s="6"/>
      <c r="I567" s="11" t="b">
        <f t="shared" si="2"/>
        <v>0</v>
      </c>
      <c r="J567" s="24"/>
      <c r="K567" s="11" t="b">
        <f t="shared" si="3"/>
        <v>0</v>
      </c>
    </row>
    <row r="568" ht="22.5" customHeight="1">
      <c r="A568" s="12">
        <f t="shared" si="4"/>
        <v>2566</v>
      </c>
      <c r="B568" s="30" t="s">
        <v>8285</v>
      </c>
      <c r="C568" s="7" t="str">
        <f t="shared" si="5"/>
        <v>🔊</v>
      </c>
      <c r="D568" s="8" t="s">
        <v>8286</v>
      </c>
      <c r="E568" s="6" t="s">
        <v>27</v>
      </c>
      <c r="F568" s="12" t="str">
        <f>IFERROR(__xludf.DUMMYFUNCTION("GOOGLETRANSLATE(B568,""zh_cn"",""vi"")"),"việc nhà")</f>
        <v>việc nhà</v>
      </c>
      <c r="G568" s="20" t="s">
        <v>8287</v>
      </c>
      <c r="H568" s="6"/>
      <c r="I568" s="11" t="b">
        <f t="shared" si="2"/>
        <v>0</v>
      </c>
      <c r="J568" s="24"/>
      <c r="K568" s="11" t="b">
        <f t="shared" si="3"/>
        <v>0</v>
      </c>
    </row>
    <row r="569" ht="22.5" customHeight="1">
      <c r="A569" s="12">
        <f t="shared" si="4"/>
        <v>2567</v>
      </c>
      <c r="B569" s="30" t="s">
        <v>8288</v>
      </c>
      <c r="C569" s="7" t="str">
        <f t="shared" si="5"/>
        <v>🔊</v>
      </c>
      <c r="D569" s="8" t="s">
        <v>8289</v>
      </c>
      <c r="E569" s="6" t="s">
        <v>27</v>
      </c>
      <c r="F569" s="12" t="str">
        <f>IFERROR(__xludf.DUMMYFUNCTION("GOOGLETRANSLATE(B569,""zh_cn"",""vi"")"),"bằng lái xe")</f>
        <v>bằng lái xe</v>
      </c>
      <c r="G569" s="20" t="s">
        <v>8290</v>
      </c>
      <c r="H569" s="6"/>
      <c r="I569" s="11" t="b">
        <f t="shared" si="2"/>
        <v>0</v>
      </c>
      <c r="J569" s="24"/>
      <c r="K569" s="11" t="b">
        <f t="shared" si="3"/>
        <v>0</v>
      </c>
    </row>
    <row r="570" ht="22.5" customHeight="1">
      <c r="A570" s="12">
        <f t="shared" si="4"/>
        <v>2568</v>
      </c>
      <c r="B570" s="30" t="s">
        <v>8291</v>
      </c>
      <c r="C570" s="7" t="str">
        <f t="shared" si="5"/>
        <v>🔊</v>
      </c>
      <c r="D570" s="8" t="s">
        <v>8292</v>
      </c>
      <c r="E570" s="6" t="s">
        <v>27</v>
      </c>
      <c r="F570" s="12" t="str">
        <f>IFERROR(__xludf.DUMMYFUNCTION("GOOGLETRANSLATE(B570,""zh_cn"",""vi"")"),"giá trị")</f>
        <v>giá trị</v>
      </c>
      <c r="G570" s="20" t="s">
        <v>8293</v>
      </c>
      <c r="H570" s="6"/>
      <c r="I570" s="11" t="b">
        <f t="shared" si="2"/>
        <v>0</v>
      </c>
      <c r="J570" s="24"/>
      <c r="K570" s="11" t="b">
        <f t="shared" si="3"/>
        <v>0</v>
      </c>
    </row>
    <row r="571" ht="22.5" customHeight="1">
      <c r="A571" s="12">
        <f t="shared" si="4"/>
        <v>2569</v>
      </c>
      <c r="B571" s="30" t="s">
        <v>8294</v>
      </c>
      <c r="C571" s="7" t="str">
        <f t="shared" si="5"/>
        <v>🔊</v>
      </c>
      <c r="D571" s="8" t="s">
        <v>8295</v>
      </c>
      <c r="E571" s="6" t="s">
        <v>27</v>
      </c>
      <c r="F571" s="12" t="str">
        <f>IFERROR(__xludf.DUMMYFUNCTION("GOOGLETRANSLATE(B571,""zh_cn"",""vi"")"),"bệnh")</f>
        <v>bệnh</v>
      </c>
      <c r="G571" s="20" t="s">
        <v>8296</v>
      </c>
      <c r="H571" s="6"/>
      <c r="I571" s="11" t="b">
        <f t="shared" si="2"/>
        <v>0</v>
      </c>
      <c r="J571" s="24"/>
      <c r="K571" s="11" t="b">
        <f t="shared" si="3"/>
        <v>0</v>
      </c>
    </row>
    <row r="572" ht="22.5" customHeight="1">
      <c r="A572" s="12">
        <f t="shared" si="4"/>
        <v>2570</v>
      </c>
      <c r="B572" s="30" t="s">
        <v>8297</v>
      </c>
      <c r="C572" s="7" t="str">
        <f t="shared" si="5"/>
        <v>🔊</v>
      </c>
      <c r="D572" s="8" t="s">
        <v>8298</v>
      </c>
      <c r="E572" s="6" t="s">
        <v>27</v>
      </c>
      <c r="F572" s="12" t="str">
        <f>IFERROR(__xludf.DUMMYFUNCTION("GOOGLETRANSLATE(B572,""zh_cn"",""vi"")"),"Một phần tư")</f>
        <v>Một phần tư</v>
      </c>
      <c r="G572" s="20" t="s">
        <v>8299</v>
      </c>
      <c r="H572" s="6"/>
      <c r="I572" s="11" t="b">
        <f t="shared" si="2"/>
        <v>0</v>
      </c>
      <c r="J572" s="24"/>
      <c r="K572" s="11" t="b">
        <f t="shared" si="3"/>
        <v>0</v>
      </c>
    </row>
    <row r="573" ht="22.5" customHeight="1">
      <c r="A573" s="12">
        <f t="shared" si="4"/>
        <v>2571</v>
      </c>
      <c r="B573" s="30" t="s">
        <v>8300</v>
      </c>
      <c r="C573" s="7" t="str">
        <f t="shared" si="5"/>
        <v>🔊</v>
      </c>
      <c r="D573" s="8" t="s">
        <v>2371</v>
      </c>
      <c r="E573" s="6" t="s">
        <v>232</v>
      </c>
      <c r="F573" s="12" t="str">
        <f>IFERROR(__xludf.DUMMYFUNCTION("GOOGLETRANSLATE(B573,""zh_cn"",""vi"")"),"Nút thắt")</f>
        <v>Nút thắt</v>
      </c>
      <c r="G573" s="20" t="s">
        <v>8301</v>
      </c>
      <c r="H573" s="6"/>
      <c r="I573" s="11" t="b">
        <f t="shared" si="2"/>
        <v>0</v>
      </c>
      <c r="J573" s="24"/>
      <c r="K573" s="11" t="b">
        <f t="shared" si="3"/>
        <v>0</v>
      </c>
    </row>
    <row r="574" ht="22.5" customHeight="1">
      <c r="A574" s="12">
        <f t="shared" si="4"/>
        <v>2572</v>
      </c>
      <c r="B574" s="30" t="s">
        <v>8302</v>
      </c>
      <c r="C574" s="7" t="str">
        <f t="shared" si="5"/>
        <v>🔊</v>
      </c>
      <c r="D574" s="8" t="s">
        <v>2375</v>
      </c>
      <c r="E574" s="6" t="s">
        <v>47</v>
      </c>
      <c r="F574" s="12" t="str">
        <f>IFERROR(__xludf.DUMMYFUNCTION("GOOGLETRANSLATE(B574,""zh_cn"",""vi"")"),"Phiên họp")</f>
        <v>Phiên họp</v>
      </c>
      <c r="G574" s="20" t="s">
        <v>8303</v>
      </c>
      <c r="H574" s="6"/>
      <c r="I574" s="11" t="b">
        <f t="shared" si="2"/>
        <v>0</v>
      </c>
      <c r="J574" s="24"/>
      <c r="K574" s="11" t="b">
        <f t="shared" si="3"/>
        <v>0</v>
      </c>
    </row>
    <row r="575" ht="22.5" customHeight="1">
      <c r="A575" s="12">
        <f t="shared" si="4"/>
        <v>2573</v>
      </c>
      <c r="B575" s="30" t="s">
        <v>8304</v>
      </c>
      <c r="C575" s="7" t="str">
        <f t="shared" si="5"/>
        <v>🔊</v>
      </c>
      <c r="D575" s="8" t="s">
        <v>8305</v>
      </c>
      <c r="E575" s="6" t="s">
        <v>13</v>
      </c>
      <c r="F575" s="12" t="str">
        <f>IFERROR(__xludf.DUMMYFUNCTION("GOOGLETRANSLATE(B575,""zh_cn"",""vi"")"),"chạm")</f>
        <v>chạm</v>
      </c>
      <c r="G575" s="20" t="s">
        <v>8306</v>
      </c>
      <c r="H575" s="6"/>
      <c r="I575" s="11" t="b">
        <f t="shared" si="2"/>
        <v>0</v>
      </c>
      <c r="J575" s="24"/>
      <c r="K575" s="11" t="b">
        <f t="shared" si="3"/>
        <v>0</v>
      </c>
    </row>
    <row r="576" ht="22.5" customHeight="1">
      <c r="A576" s="12">
        <f t="shared" si="4"/>
        <v>2574</v>
      </c>
      <c r="B576" s="30" t="s">
        <v>8307</v>
      </c>
      <c r="C576" s="7" t="str">
        <f t="shared" si="5"/>
        <v>🔊</v>
      </c>
      <c r="D576" s="8" t="s">
        <v>8308</v>
      </c>
      <c r="E576" s="6" t="s">
        <v>13</v>
      </c>
      <c r="F576" s="12" t="str">
        <f>IFERROR(__xludf.DUMMYFUNCTION("GOOGLETRANSLATE(B576,""zh_cn"",""vi"")"),"thu nhận")</f>
        <v>thu nhận</v>
      </c>
      <c r="G576" s="20" t="s">
        <v>8309</v>
      </c>
      <c r="H576" s="6"/>
      <c r="I576" s="11" t="b">
        <f t="shared" si="2"/>
        <v>0</v>
      </c>
      <c r="J576" s="24"/>
      <c r="K576" s="11" t="b">
        <f t="shared" si="3"/>
        <v>0</v>
      </c>
    </row>
    <row r="577" ht="22.5" customHeight="1">
      <c r="A577" s="12">
        <f t="shared" si="4"/>
        <v>2575</v>
      </c>
      <c r="B577" s="30" t="s">
        <v>8310</v>
      </c>
      <c r="C577" s="7" t="str">
        <f t="shared" si="5"/>
        <v>🔊</v>
      </c>
      <c r="D577" s="8" t="s">
        <v>8311</v>
      </c>
      <c r="E577" s="6" t="s">
        <v>27</v>
      </c>
      <c r="F577" s="12" t="str">
        <f>IFERROR(__xludf.DUMMYFUNCTION("GOOGLETRANSLATE(B577,""zh_cn"",""vi"")"),"sân khấu")</f>
        <v>sân khấu</v>
      </c>
      <c r="G577" s="20" t="s">
        <v>8312</v>
      </c>
      <c r="H577" s="6"/>
      <c r="I577" s="11" t="b">
        <f t="shared" si="2"/>
        <v>0</v>
      </c>
      <c r="J577" s="24"/>
      <c r="K577" s="11" t="b">
        <f t="shared" si="3"/>
        <v>0</v>
      </c>
    </row>
    <row r="578" ht="22.5" customHeight="1">
      <c r="A578" s="12">
        <f t="shared" si="4"/>
        <v>2576</v>
      </c>
      <c r="B578" s="30" t="s">
        <v>8313</v>
      </c>
      <c r="C578" s="7" t="str">
        <f t="shared" si="5"/>
        <v>🔊</v>
      </c>
      <c r="D578" s="8" t="s">
        <v>8314</v>
      </c>
      <c r="E578" s="6" t="s">
        <v>27</v>
      </c>
      <c r="F578" s="12" t="str">
        <f>IFERROR(__xludf.DUMMYFUNCTION("GOOGLETRANSLATE(B578,""zh_cn"",""vi"")"),"kết cấu")</f>
        <v>kết cấu</v>
      </c>
      <c r="G578" s="20" t="s">
        <v>8315</v>
      </c>
      <c r="H578" s="6"/>
      <c r="I578" s="11" t="b">
        <f t="shared" si="2"/>
        <v>0</v>
      </c>
      <c r="J578" s="24"/>
      <c r="K578" s="11" t="b">
        <f t="shared" si="3"/>
        <v>0</v>
      </c>
    </row>
    <row r="579" ht="22.5" customHeight="1">
      <c r="A579" s="12">
        <f t="shared" si="4"/>
        <v>2577</v>
      </c>
      <c r="B579" s="30" t="s">
        <v>8316</v>
      </c>
      <c r="C579" s="7" t="str">
        <f t="shared" si="5"/>
        <v>🔊</v>
      </c>
      <c r="D579" s="8" t="s">
        <v>8317</v>
      </c>
      <c r="E579" s="6" t="s">
        <v>13</v>
      </c>
      <c r="F579" s="12" t="str">
        <f>IFERROR(__xludf.DUMMYFUNCTION("GOOGLETRANSLATE(B579,""zh_cn"",""vi"")"),"Sự kết hợp")</f>
        <v>Sự kết hợp</v>
      </c>
      <c r="G579" s="20" t="s">
        <v>8318</v>
      </c>
      <c r="H579" s="6"/>
      <c r="I579" s="11" t="b">
        <f t="shared" si="2"/>
        <v>0</v>
      </c>
      <c r="J579" s="24"/>
      <c r="K579" s="11" t="b">
        <f t="shared" si="3"/>
        <v>0</v>
      </c>
    </row>
    <row r="580" ht="22.5" customHeight="1">
      <c r="A580" s="12">
        <f t="shared" si="4"/>
        <v>2578</v>
      </c>
      <c r="B580" s="30" t="s">
        <v>8319</v>
      </c>
      <c r="C580" s="7" t="str">
        <f t="shared" si="5"/>
        <v>🔊</v>
      </c>
      <c r="D580" s="8" t="s">
        <v>8320</v>
      </c>
      <c r="E580" s="6" t="s">
        <v>13</v>
      </c>
      <c r="F580" s="12" t="str">
        <f>IFERROR(__xludf.DUMMYFUNCTION("GOOGLETRANSLATE(B580,""zh_cn"",""vi"")"),"gần")</f>
        <v>gần</v>
      </c>
      <c r="G580" s="20" t="s">
        <v>8321</v>
      </c>
      <c r="H580" s="6"/>
      <c r="I580" s="11" t="b">
        <f t="shared" si="2"/>
        <v>0</v>
      </c>
      <c r="J580" s="24"/>
      <c r="K580" s="11" t="b">
        <f t="shared" si="3"/>
        <v>0</v>
      </c>
    </row>
    <row r="581" ht="22.5" customHeight="1">
      <c r="A581" s="12">
        <f t="shared" si="4"/>
        <v>2579</v>
      </c>
      <c r="B581" s="30" t="s">
        <v>8322</v>
      </c>
      <c r="C581" s="7" t="str">
        <f t="shared" si="5"/>
        <v>🔊</v>
      </c>
      <c r="D581" s="8" t="s">
        <v>8323</v>
      </c>
      <c r="E581" s="6" t="s">
        <v>27</v>
      </c>
      <c r="F581" s="12" t="str">
        <f>IFERROR(__xludf.DUMMYFUNCTION("GOOGLETRANSLATE(B581,""zh_cn"",""vi"")"),"tóm lại")</f>
        <v>tóm lại</v>
      </c>
      <c r="G581" s="20" t="s">
        <v>8324</v>
      </c>
      <c r="H581" s="6"/>
      <c r="I581" s="11" t="b">
        <f t="shared" si="2"/>
        <v>0</v>
      </c>
      <c r="J581" s="24"/>
      <c r="K581" s="11" t="b">
        <f t="shared" si="3"/>
        <v>0</v>
      </c>
    </row>
    <row r="582" ht="22.5" customHeight="1">
      <c r="A582" s="12">
        <f t="shared" si="4"/>
        <v>2580</v>
      </c>
      <c r="B582" s="30" t="s">
        <v>8325</v>
      </c>
      <c r="C582" s="7" t="str">
        <f t="shared" si="5"/>
        <v>🔊</v>
      </c>
      <c r="D582" s="8" t="s">
        <v>8326</v>
      </c>
      <c r="E582" s="6" t="s">
        <v>13</v>
      </c>
      <c r="F582" s="12" t="str">
        <f>IFERROR(__xludf.DUMMYFUNCTION("GOOGLETRANSLATE(B582,""zh_cn"",""vi"")"),"cứu")</f>
        <v>cứu</v>
      </c>
      <c r="G582" s="20" t="s">
        <v>8327</v>
      </c>
      <c r="H582" s="6"/>
      <c r="I582" s="11" t="b">
        <f t="shared" si="2"/>
        <v>0</v>
      </c>
      <c r="J582" s="24"/>
      <c r="K582" s="11" t="b">
        <f t="shared" si="3"/>
        <v>0</v>
      </c>
    </row>
    <row r="583" ht="22.5" customHeight="1">
      <c r="A583" s="12">
        <f t="shared" si="4"/>
        <v>2581</v>
      </c>
      <c r="B583" s="30" t="s">
        <v>8328</v>
      </c>
      <c r="C583" s="7" t="str">
        <f t="shared" si="5"/>
        <v>🔊</v>
      </c>
      <c r="D583" s="8" t="s">
        <v>8329</v>
      </c>
      <c r="E583" s="6" t="s">
        <v>13</v>
      </c>
      <c r="F583" s="12" t="str">
        <f>IFERROR(__xludf.DUMMYFUNCTION("GOOGLETRANSLATE(B583,""zh_cn"",""vi"")"),"tiếp quản")</f>
        <v>tiếp quản</v>
      </c>
      <c r="G583" s="20" t="s">
        <v>8330</v>
      </c>
      <c r="H583" s="6"/>
      <c r="I583" s="11" t="b">
        <f t="shared" si="2"/>
        <v>0</v>
      </c>
      <c r="J583" s="24"/>
      <c r="K583" s="11" t="b">
        <f t="shared" si="3"/>
        <v>0</v>
      </c>
    </row>
    <row r="584" ht="22.5" customHeight="1">
      <c r="A584" s="12">
        <f t="shared" si="4"/>
        <v>2582</v>
      </c>
      <c r="B584" s="30" t="s">
        <v>8331</v>
      </c>
      <c r="C584" s="7" t="str">
        <f t="shared" si="5"/>
        <v>🔊</v>
      </c>
      <c r="D584" s="8" t="s">
        <v>8332</v>
      </c>
      <c r="E584" s="6" t="s">
        <v>13</v>
      </c>
      <c r="F584" s="12" t="str">
        <f>IFERROR(__xludf.DUMMYFUNCTION("GOOGLETRANSLATE(B584,""zh_cn"",""vi"")"),"Vượt qua")</f>
        <v>Vượt qua</v>
      </c>
      <c r="G584" s="20" t="s">
        <v>8333</v>
      </c>
      <c r="H584" s="6"/>
      <c r="I584" s="11" t="b">
        <f t="shared" si="2"/>
        <v>0</v>
      </c>
      <c r="J584" s="24"/>
      <c r="K584" s="11" t="b">
        <f t="shared" si="3"/>
        <v>0</v>
      </c>
    </row>
    <row r="585" ht="22.5" customHeight="1">
      <c r="A585" s="12">
        <f t="shared" si="4"/>
        <v>2583</v>
      </c>
      <c r="B585" s="30" t="s">
        <v>8334</v>
      </c>
      <c r="C585" s="7" t="str">
        <f t="shared" si="5"/>
        <v>🔊</v>
      </c>
      <c r="D585" s="8" t="s">
        <v>8335</v>
      </c>
      <c r="E585" s="6" t="s">
        <v>27</v>
      </c>
      <c r="F585" s="12" t="str">
        <f>IFERROR(__xludf.DUMMYFUNCTION("GOOGLETRANSLATE(B585,""zh_cn"",""vi"")"),"cơ chế")</f>
        <v>cơ chế</v>
      </c>
      <c r="G585" s="20" t="s">
        <v>8336</v>
      </c>
      <c r="H585" s="6"/>
      <c r="I585" s="11" t="b">
        <f t="shared" si="2"/>
        <v>0</v>
      </c>
      <c r="J585" s="24"/>
      <c r="K585" s="11" t="b">
        <f t="shared" si="3"/>
        <v>0</v>
      </c>
    </row>
    <row r="586" ht="22.5" customHeight="1">
      <c r="A586" s="12">
        <f t="shared" si="4"/>
        <v>2584</v>
      </c>
      <c r="B586" s="30" t="s">
        <v>8337</v>
      </c>
      <c r="C586" s="7" t="str">
        <f t="shared" si="5"/>
        <v>🔊</v>
      </c>
      <c r="D586" s="8" t="s">
        <v>8338</v>
      </c>
      <c r="E586" s="6" t="s">
        <v>13</v>
      </c>
      <c r="F586" s="12" t="str">
        <f>IFERROR(__xludf.DUMMYFUNCTION("GOOGLETRANSLATE(B586,""zh_cn"",""vi"")"),"tập trung")</f>
        <v>tập trung</v>
      </c>
      <c r="G586" s="20" t="s">
        <v>8339</v>
      </c>
      <c r="H586" s="6"/>
      <c r="I586" s="11" t="b">
        <f t="shared" si="2"/>
        <v>0</v>
      </c>
      <c r="J586" s="24"/>
      <c r="K586" s="11" t="b">
        <f t="shared" si="3"/>
        <v>0</v>
      </c>
    </row>
    <row r="587" ht="22.5" customHeight="1">
      <c r="A587" s="12">
        <f t="shared" si="4"/>
        <v>2585</v>
      </c>
      <c r="B587" s="30" t="s">
        <v>8340</v>
      </c>
      <c r="C587" s="7" t="str">
        <f t="shared" si="5"/>
        <v>🔊</v>
      </c>
      <c r="D587" s="8" t="s">
        <v>8341</v>
      </c>
      <c r="E587" s="6" t="s">
        <v>61</v>
      </c>
      <c r="F587" s="12" t="str">
        <f>IFERROR(__xludf.DUMMYFUNCTION("GOOGLETRANSLATE(B587,""zh_cn"",""vi"")"),"Sớm")</f>
        <v>Sớm</v>
      </c>
      <c r="G587" s="20" t="s">
        <v>8342</v>
      </c>
      <c r="H587" s="6"/>
      <c r="I587" s="11" t="b">
        <f t="shared" si="2"/>
        <v>0</v>
      </c>
      <c r="J587" s="24"/>
      <c r="K587" s="11" t="b">
        <f t="shared" si="3"/>
        <v>0</v>
      </c>
    </row>
    <row r="588" ht="22.5" customHeight="1">
      <c r="A588" s="12">
        <f t="shared" si="4"/>
        <v>2586</v>
      </c>
      <c r="B588" s="30" t="s">
        <v>8343</v>
      </c>
      <c r="C588" s="7" t="str">
        <f t="shared" si="5"/>
        <v>🔊</v>
      </c>
      <c r="D588" s="8" t="s">
        <v>8344</v>
      </c>
      <c r="E588" s="6" t="s">
        <v>99</v>
      </c>
      <c r="F588" s="12" t="str">
        <f>IFERROR(__xludf.DUMMYFUNCTION("GOOGLETRANSLATE(B588,""zh_cn"",""vi"")"),"mạnh mẽ")</f>
        <v>mạnh mẽ</v>
      </c>
      <c r="G588" s="20" t="s">
        <v>8345</v>
      </c>
      <c r="H588" s="6"/>
      <c r="I588" s="11" t="b">
        <f t="shared" si="2"/>
        <v>0</v>
      </c>
      <c r="J588" s="24"/>
      <c r="K588" s="11" t="b">
        <f t="shared" si="3"/>
        <v>0</v>
      </c>
    </row>
    <row r="589" ht="22.5" customHeight="1">
      <c r="A589" s="12">
        <f t="shared" si="4"/>
        <v>2587</v>
      </c>
      <c r="B589" s="30" t="s">
        <v>8346</v>
      </c>
      <c r="C589" s="7" t="str">
        <f t="shared" si="5"/>
        <v>🔊</v>
      </c>
      <c r="D589" s="8" t="s">
        <v>8347</v>
      </c>
      <c r="E589" s="6" t="s">
        <v>232</v>
      </c>
      <c r="F589" s="12" t="str">
        <f>IFERROR(__xludf.DUMMYFUNCTION("GOOGLETRANSLATE(B589,""zh_cn"",""vi"")"),"Ghi")</f>
        <v>Ghi</v>
      </c>
      <c r="G589" s="20" t="s">
        <v>8348</v>
      </c>
      <c r="H589" s="6"/>
      <c r="I589" s="11" t="b">
        <f t="shared" si="2"/>
        <v>0</v>
      </c>
      <c r="J589" s="24"/>
      <c r="K589" s="11" t="b">
        <f t="shared" si="3"/>
        <v>0</v>
      </c>
    </row>
    <row r="590" ht="22.5" customHeight="1">
      <c r="A590" s="12">
        <f t="shared" si="4"/>
        <v>2588</v>
      </c>
      <c r="B590" s="30" t="s">
        <v>8349</v>
      </c>
      <c r="C590" s="7" t="str">
        <f t="shared" si="5"/>
        <v>🔊</v>
      </c>
      <c r="D590" s="8" t="s">
        <v>8347</v>
      </c>
      <c r="E590" s="6" t="s">
        <v>27</v>
      </c>
      <c r="F590" s="12" t="str">
        <f>IFERROR(__xludf.DUMMYFUNCTION("GOOGLETRANSLATE(B590,""zh_cn"",""vi"")"),"Ghi")</f>
        <v>Ghi</v>
      </c>
      <c r="G590" s="20" t="s">
        <v>8350</v>
      </c>
      <c r="H590" s="6"/>
      <c r="I590" s="11" t="b">
        <f t="shared" si="2"/>
        <v>0</v>
      </c>
      <c r="J590" s="24"/>
      <c r="K590" s="11" t="b">
        <f t="shared" si="3"/>
        <v>0</v>
      </c>
    </row>
    <row r="591" ht="22.5" customHeight="1">
      <c r="A591" s="12">
        <f t="shared" si="4"/>
        <v>2589</v>
      </c>
      <c r="B591" s="30" t="s">
        <v>8351</v>
      </c>
      <c r="C591" s="7" t="str">
        <f t="shared" si="5"/>
        <v>🔊</v>
      </c>
      <c r="D591" s="8" t="s">
        <v>8352</v>
      </c>
      <c r="E591" s="6" t="s">
        <v>27</v>
      </c>
      <c r="F591" s="12" t="str">
        <f>IFERROR(__xludf.DUMMYFUNCTION("GOOGLETRANSLATE(B591,""zh_cn"",""vi"")"),"Phim tài liệu")</f>
        <v>Phim tài liệu</v>
      </c>
      <c r="G591" s="20" t="s">
        <v>8353</v>
      </c>
      <c r="H591" s="6"/>
      <c r="I591" s="11" t="b">
        <f t="shared" si="2"/>
        <v>0</v>
      </c>
      <c r="J591" s="24"/>
      <c r="K591" s="11" t="b">
        <f t="shared" si="3"/>
        <v>0</v>
      </c>
    </row>
    <row r="592" ht="22.5" customHeight="1">
      <c r="A592" s="12">
        <f t="shared" si="4"/>
        <v>2590</v>
      </c>
      <c r="B592" s="30" t="s">
        <v>8354</v>
      </c>
      <c r="C592" s="7" t="str">
        <f t="shared" si="5"/>
        <v>🔊</v>
      </c>
      <c r="D592" s="8" t="s">
        <v>8355</v>
      </c>
      <c r="E592" s="6" t="s">
        <v>61</v>
      </c>
      <c r="F592" s="12" t="str">
        <f>IFERROR(__xludf.DUMMYFUNCTION("GOOGLETRANSLATE(B592,""zh_cn"",""vi"")"),"vội vàng")</f>
        <v>vội vàng</v>
      </c>
      <c r="G592" s="20" t="s">
        <v>8356</v>
      </c>
      <c r="H592" s="6"/>
      <c r="I592" s="11" t="b">
        <f t="shared" si="2"/>
        <v>0</v>
      </c>
      <c r="J592" s="24"/>
      <c r="K592" s="11" t="b">
        <f t="shared" si="3"/>
        <v>0</v>
      </c>
    </row>
    <row r="593" ht="22.5" customHeight="1">
      <c r="A593" s="12">
        <f t="shared" si="4"/>
        <v>2591</v>
      </c>
      <c r="B593" s="30" t="s">
        <v>8357</v>
      </c>
      <c r="C593" s="7" t="str">
        <f t="shared" si="5"/>
        <v>🔊</v>
      </c>
      <c r="D593" s="8" t="s">
        <v>4576</v>
      </c>
      <c r="E593" s="6" t="s">
        <v>416</v>
      </c>
      <c r="F593" s="12" t="str">
        <f>IFERROR(__xludf.DUMMYFUNCTION("GOOGLETRANSLATE(B593,""zh_cn"",""vi"")"),"chặt")</f>
        <v>chặt</v>
      </c>
      <c r="G593" s="20" t="s">
        <v>8358</v>
      </c>
      <c r="H593" s="6"/>
      <c r="I593" s="11" t="b">
        <f t="shared" si="2"/>
        <v>0</v>
      </c>
      <c r="J593" s="24"/>
      <c r="K593" s="11" t="b">
        <f t="shared" si="3"/>
        <v>0</v>
      </c>
    </row>
    <row r="594" ht="22.5" customHeight="1">
      <c r="A594" s="12">
        <f t="shared" si="4"/>
        <v>2592</v>
      </c>
      <c r="B594" s="30" t="s">
        <v>8359</v>
      </c>
      <c r="C594" s="7" t="str">
        <f t="shared" si="5"/>
        <v>🔊</v>
      </c>
      <c r="D594" s="8" t="s">
        <v>8360</v>
      </c>
      <c r="E594" s="6" t="s">
        <v>368</v>
      </c>
      <c r="F594" s="12" t="str">
        <f>IFERROR(__xludf.DUMMYFUNCTION("GOOGLETRANSLATE(B594,""zh_cn"",""vi"")"),"tiến triển")</f>
        <v>tiến triển</v>
      </c>
      <c r="G594" s="20" t="s">
        <v>8361</v>
      </c>
      <c r="H594" s="6"/>
      <c r="I594" s="11" t="b">
        <f t="shared" si="2"/>
        <v>0</v>
      </c>
      <c r="J594" s="24"/>
      <c r="K594" s="11" t="b">
        <f t="shared" si="3"/>
        <v>0</v>
      </c>
    </row>
    <row r="595" ht="22.5" customHeight="1">
      <c r="A595" s="12">
        <f t="shared" si="4"/>
        <v>2593</v>
      </c>
      <c r="B595" s="30" t="s">
        <v>8362</v>
      </c>
      <c r="C595" s="7" t="str">
        <f t="shared" si="5"/>
        <v>🔊</v>
      </c>
      <c r="D595" s="8" t="s">
        <v>8363</v>
      </c>
      <c r="E595" s="6" t="s">
        <v>27</v>
      </c>
      <c r="F595" s="12" t="str">
        <f>IFERROR(__xludf.DUMMYFUNCTION("GOOGLETRANSLATE(B595,""zh_cn"",""vi"")"),"Thời hiện đại")</f>
        <v>Thời hiện đại</v>
      </c>
      <c r="G595" s="20" t="s">
        <v>8364</v>
      </c>
      <c r="H595" s="6"/>
      <c r="I595" s="11" t="b">
        <f t="shared" si="2"/>
        <v>0</v>
      </c>
      <c r="J595" s="24"/>
      <c r="K595" s="11" t="b">
        <f t="shared" si="3"/>
        <v>0</v>
      </c>
    </row>
    <row r="596" ht="22.5" customHeight="1">
      <c r="A596" s="12">
        <f t="shared" si="4"/>
        <v>2594</v>
      </c>
      <c r="B596" s="30" t="s">
        <v>8365</v>
      </c>
      <c r="C596" s="7" t="str">
        <f t="shared" si="5"/>
        <v>🔊</v>
      </c>
      <c r="D596" s="8" t="s">
        <v>8366</v>
      </c>
      <c r="E596" s="6" t="s">
        <v>27</v>
      </c>
      <c r="F596" s="12" t="str">
        <f>IFERROR(__xludf.DUMMYFUNCTION("GOOGLETRANSLATE(B596,""zh_cn"",""vi"")"),"Kỹ năng")</f>
        <v>Kỹ năng</v>
      </c>
      <c r="G596" s="20" t="s">
        <v>8367</v>
      </c>
      <c r="H596" s="6"/>
      <c r="I596" s="11" t="b">
        <f t="shared" si="2"/>
        <v>0</v>
      </c>
      <c r="J596" s="24"/>
      <c r="K596" s="11" t="b">
        <f t="shared" si="3"/>
        <v>0</v>
      </c>
    </row>
    <row r="597" ht="22.5" customHeight="1">
      <c r="A597" s="12">
        <f t="shared" si="4"/>
        <v>2595</v>
      </c>
      <c r="B597" s="30" t="s">
        <v>8368</v>
      </c>
      <c r="C597" s="7" t="str">
        <f t="shared" si="5"/>
        <v>🔊</v>
      </c>
      <c r="D597" s="8" t="s">
        <v>8369</v>
      </c>
      <c r="E597" s="6" t="s">
        <v>416</v>
      </c>
      <c r="F597" s="12" t="str">
        <f>IFERROR(__xludf.DUMMYFUNCTION("GOOGLETRANSLATE(B597,""zh_cn"",""vi"")"),"im lặng")</f>
        <v>im lặng</v>
      </c>
      <c r="G597" s="20" t="s">
        <v>8370</v>
      </c>
      <c r="H597" s="6"/>
      <c r="I597" s="11" t="b">
        <f t="shared" si="2"/>
        <v>0</v>
      </c>
      <c r="J597" s="24"/>
      <c r="K597" s="11" t="b">
        <f t="shared" si="3"/>
        <v>0</v>
      </c>
    </row>
    <row r="598" ht="22.5" customHeight="1">
      <c r="A598" s="12">
        <f t="shared" si="4"/>
        <v>2596</v>
      </c>
      <c r="B598" s="30" t="s">
        <v>8371</v>
      </c>
      <c r="C598" s="7" t="str">
        <f t="shared" si="5"/>
        <v>🔊</v>
      </c>
      <c r="D598" s="8" t="s">
        <v>8372</v>
      </c>
      <c r="E598" s="6" t="s">
        <v>3430</v>
      </c>
      <c r="F598" s="12" t="str">
        <f>IFERROR(__xludf.DUMMYFUNCTION("GOOGLETRANSLATE(B598,""zh_cn"",""vi"")"),"cổ điển")</f>
        <v>cổ điển</v>
      </c>
      <c r="G598" s="20" t="s">
        <v>8373</v>
      </c>
      <c r="H598" s="6"/>
      <c r="I598" s="11" t="b">
        <f t="shared" si="2"/>
        <v>0</v>
      </c>
      <c r="J598" s="24"/>
      <c r="K598" s="11" t="b">
        <f t="shared" si="3"/>
        <v>0</v>
      </c>
    </row>
    <row r="599" ht="22.5" customHeight="1">
      <c r="A599" s="12">
        <f t="shared" si="4"/>
        <v>2597</v>
      </c>
      <c r="B599" s="30" t="s">
        <v>8374</v>
      </c>
      <c r="C599" s="7" t="str">
        <f t="shared" si="5"/>
        <v>🔊</v>
      </c>
      <c r="D599" s="8" t="s">
        <v>4595</v>
      </c>
      <c r="E599" s="6" t="s">
        <v>27</v>
      </c>
      <c r="F599" s="12" t="str">
        <f>IFERROR(__xludf.DUMMYFUNCTION("GOOGLETRANSLATE(B599,""zh_cn"",""vi"")"),"năng lượng")</f>
        <v>năng lượng</v>
      </c>
      <c r="G599" s="20" t="s">
        <v>8375</v>
      </c>
      <c r="H599" s="6"/>
      <c r="I599" s="11" t="b">
        <f t="shared" si="2"/>
        <v>0</v>
      </c>
      <c r="J599" s="24"/>
      <c r="K599" s="11" t="b">
        <f t="shared" si="3"/>
        <v>0</v>
      </c>
    </row>
    <row r="600" ht="22.5" customHeight="1">
      <c r="A600" s="12">
        <f t="shared" si="4"/>
        <v>2598</v>
      </c>
      <c r="B600" s="30" t="s">
        <v>8376</v>
      </c>
      <c r="C600" s="7" t="str">
        <f t="shared" si="5"/>
        <v>🔊</v>
      </c>
      <c r="D600" s="8" t="s">
        <v>8377</v>
      </c>
      <c r="E600" s="6" t="s">
        <v>3430</v>
      </c>
      <c r="F600" s="12" t="str">
        <f>IFERROR(__xludf.DUMMYFUNCTION("GOOGLETRANSLATE(B600,""zh_cn"",""vi"")"),"Tinh thần")</f>
        <v>Tinh thần</v>
      </c>
      <c r="G600" s="20" t="s">
        <v>8378</v>
      </c>
      <c r="H600" s="6"/>
      <c r="I600" s="11" t="b">
        <f t="shared" si="2"/>
        <v>0</v>
      </c>
      <c r="J600" s="24"/>
      <c r="K600" s="11" t="b">
        <f t="shared" si="3"/>
        <v>0</v>
      </c>
    </row>
    <row r="601" ht="22.5" customHeight="1">
      <c r="A601" s="12">
        <f t="shared" si="4"/>
        <v>2599</v>
      </c>
      <c r="B601" s="30" t="s">
        <v>8379</v>
      </c>
      <c r="C601" s="7" t="str">
        <f t="shared" si="5"/>
        <v>🔊</v>
      </c>
      <c r="D601" s="8" t="s">
        <v>8380</v>
      </c>
      <c r="E601" s="6" t="s">
        <v>99</v>
      </c>
      <c r="F601" s="12" t="str">
        <f>IFERROR(__xludf.DUMMYFUNCTION("GOOGLETRANSLATE(B601,""zh_cn"",""vi"")"),"sự ngạc nhiên")</f>
        <v>sự ngạc nhiên</v>
      </c>
      <c r="G601" s="20" t="s">
        <v>8381</v>
      </c>
      <c r="H601" s="6"/>
      <c r="I601" s="11" t="b">
        <f t="shared" si="2"/>
        <v>0</v>
      </c>
      <c r="J601" s="24"/>
      <c r="K601" s="11" t="b">
        <f t="shared" si="3"/>
        <v>0</v>
      </c>
    </row>
    <row r="602" ht="22.5" customHeight="1">
      <c r="A602" s="12">
        <f t="shared" si="4"/>
        <v>2600</v>
      </c>
      <c r="B602" s="30" t="s">
        <v>8382</v>
      </c>
      <c r="C602" s="7" t="str">
        <f t="shared" si="5"/>
        <v>🔊</v>
      </c>
      <c r="D602" s="8" t="s">
        <v>8383</v>
      </c>
      <c r="E602" s="6" t="s">
        <v>13</v>
      </c>
      <c r="F602" s="12" t="str">
        <f>IFERROR(__xludf.DUMMYFUNCTION("GOOGLETRANSLATE(B602,""zh_cn"",""vi"")"),"Việc kinh doanh")</f>
        <v>Việc kinh doanh</v>
      </c>
      <c r="G602" s="20" t="s">
        <v>8384</v>
      </c>
      <c r="H602" s="6"/>
      <c r="I602" s="11" t="b">
        <f t="shared" si="2"/>
        <v>0</v>
      </c>
      <c r="J602" s="24"/>
      <c r="K602" s="11" t="b">
        <f t="shared" si="3"/>
        <v>0</v>
      </c>
    </row>
    <row r="603" ht="22.5" customHeight="1">
      <c r="A603" s="12">
        <f t="shared" si="4"/>
        <v>2601</v>
      </c>
      <c r="B603" s="30" t="s">
        <v>8385</v>
      </c>
      <c r="C603" s="7" t="str">
        <f t="shared" si="5"/>
        <v>🔊</v>
      </c>
      <c r="D603" s="8" t="s">
        <v>8386</v>
      </c>
      <c r="E603" s="6" t="s">
        <v>232</v>
      </c>
      <c r="F603" s="12" t="str">
        <f>IFERROR(__xludf.DUMMYFUNCTION("GOOGLETRANSLATE(B603,""zh_cn"",""vi"")"),"kỷ niệm")</f>
        <v>kỷ niệm</v>
      </c>
      <c r="G603" s="20" t="s">
        <v>8387</v>
      </c>
      <c r="H603" s="6"/>
      <c r="I603" s="11" t="b">
        <f t="shared" si="2"/>
        <v>0</v>
      </c>
      <c r="J603" s="24"/>
      <c r="K603" s="11" t="b">
        <f t="shared" si="3"/>
        <v>0</v>
      </c>
    </row>
    <row r="604" ht="22.5" customHeight="1">
      <c r="A604" s="12">
        <f t="shared" si="4"/>
        <v>2602</v>
      </c>
      <c r="B604" s="30" t="s">
        <v>8388</v>
      </c>
      <c r="C604" s="7" t="str">
        <f t="shared" si="5"/>
        <v>🔊</v>
      </c>
      <c r="D604" s="8" t="s">
        <v>8389</v>
      </c>
      <c r="E604" s="6" t="s">
        <v>27</v>
      </c>
      <c r="F604" s="12" t="str">
        <f>IFERROR(__xludf.DUMMYFUNCTION("GOOGLETRANSLATE(B604,""zh_cn"",""vi"")"),"Dịp kỉ niệm")</f>
        <v>Dịp kỉ niệm</v>
      </c>
      <c r="G604" s="20" t="s">
        <v>8390</v>
      </c>
      <c r="H604" s="6"/>
      <c r="I604" s="11" t="b">
        <f t="shared" si="2"/>
        <v>0</v>
      </c>
      <c r="J604" s="24"/>
      <c r="K604" s="11" t="b">
        <f t="shared" si="3"/>
        <v>0</v>
      </c>
    </row>
    <row r="605" ht="22.5" customHeight="1">
      <c r="A605" s="12">
        <f t="shared" si="4"/>
        <v>2603</v>
      </c>
      <c r="B605" s="30" t="s">
        <v>8391</v>
      </c>
      <c r="C605" s="7" t="str">
        <f t="shared" si="5"/>
        <v>🔊</v>
      </c>
      <c r="D605" s="8" t="s">
        <v>8392</v>
      </c>
      <c r="E605" s="6" t="s">
        <v>99</v>
      </c>
      <c r="F605" s="12" t="str">
        <f>IFERROR(__xludf.DUMMYFUNCTION("GOOGLETRANSLATE(B605,""zh_cn"",""vi"")"),"cấp bách")</f>
        <v>cấp bách</v>
      </c>
      <c r="G605" s="20" t="s">
        <v>8393</v>
      </c>
      <c r="H605" s="6"/>
      <c r="I605" s="11" t="b">
        <f t="shared" si="2"/>
        <v>0</v>
      </c>
      <c r="J605" s="24"/>
      <c r="K605" s="11" t="b">
        <f t="shared" si="3"/>
        <v>0</v>
      </c>
    </row>
    <row r="606" ht="22.5" customHeight="1">
      <c r="A606" s="12">
        <f t="shared" si="4"/>
        <v>2604</v>
      </c>
      <c r="B606" s="30" t="s">
        <v>8394</v>
      </c>
      <c r="C606" s="7" t="str">
        <f t="shared" si="5"/>
        <v>🔊</v>
      </c>
      <c r="D606" s="8" t="s">
        <v>8395</v>
      </c>
      <c r="E606" s="6" t="s">
        <v>13</v>
      </c>
      <c r="F606" s="12" t="str">
        <f>IFERROR(__xludf.DUMMYFUNCTION("GOOGLETRANSLATE(B606,""zh_cn"",""vi"")"),"nhập khẩu")</f>
        <v>nhập khẩu</v>
      </c>
      <c r="G606" s="20" t="s">
        <v>8396</v>
      </c>
      <c r="H606" s="6"/>
      <c r="I606" s="11" t="b">
        <f t="shared" si="2"/>
        <v>0</v>
      </c>
      <c r="J606" s="24"/>
      <c r="K606" s="11" t="b">
        <f t="shared" si="3"/>
        <v>0</v>
      </c>
    </row>
    <row r="607" ht="22.5" customHeight="1">
      <c r="A607" s="12">
        <f t="shared" si="4"/>
        <v>2605</v>
      </c>
      <c r="B607" s="30" t="s">
        <v>8397</v>
      </c>
      <c r="C607" s="7" t="str">
        <f t="shared" si="5"/>
        <v>🔊</v>
      </c>
      <c r="D607" s="8" t="s">
        <v>8398</v>
      </c>
      <c r="E607" s="6" t="s">
        <v>61</v>
      </c>
      <c r="F607" s="12" t="str">
        <f>IFERROR(__xludf.DUMMYFUNCTION("GOOGLETRANSLATE(B607,""zh_cn"",""vi"")"),"Càng sớm càng tốt")</f>
        <v>Càng sớm càng tốt</v>
      </c>
      <c r="G607" s="20" t="s">
        <v>8399</v>
      </c>
      <c r="H607" s="6"/>
      <c r="I607" s="11" t="b">
        <f t="shared" si="2"/>
        <v>0</v>
      </c>
      <c r="J607" s="24"/>
      <c r="K607" s="11" t="b">
        <f t="shared" si="3"/>
        <v>0</v>
      </c>
    </row>
    <row r="608" ht="22.5" customHeight="1">
      <c r="A608" s="12">
        <f t="shared" si="4"/>
        <v>2606</v>
      </c>
      <c r="B608" s="30" t="s">
        <v>8400</v>
      </c>
      <c r="C608" s="7" t="str">
        <f t="shared" si="5"/>
        <v>🔊</v>
      </c>
      <c r="D608" s="8" t="s">
        <v>8401</v>
      </c>
      <c r="E608" s="6" t="s">
        <v>13</v>
      </c>
      <c r="F608" s="12" t="str">
        <f>IFERROR(__xludf.DUMMYFUNCTION("GOOGLETRANSLATE(B608,""zh_cn"",""vi"")"),"Hãy cố gắng hết sức mình")</f>
        <v>Hãy cố gắng hết sức mình</v>
      </c>
      <c r="G608" s="20" t="s">
        <v>8402</v>
      </c>
      <c r="H608" s="6"/>
      <c r="I608" s="11" t="b">
        <f t="shared" si="2"/>
        <v>0</v>
      </c>
      <c r="J608" s="24"/>
      <c r="K608" s="11" t="b">
        <f t="shared" si="3"/>
        <v>0</v>
      </c>
    </row>
    <row r="609" ht="22.5" customHeight="1">
      <c r="A609" s="12">
        <f t="shared" si="4"/>
        <v>2607</v>
      </c>
      <c r="B609" s="30" t="s">
        <v>8403</v>
      </c>
      <c r="C609" s="7" t="str">
        <f t="shared" si="5"/>
        <v>🔊</v>
      </c>
      <c r="D609" s="8" t="s">
        <v>8404</v>
      </c>
      <c r="E609" s="6" t="s">
        <v>61</v>
      </c>
      <c r="F609" s="12" t="str">
        <f>IFERROR(__xludf.DUMMYFUNCTION("GOOGLETRANSLATE(B609,""zh_cn"",""vi"")"),"Hãy cố gắng hết sức mình")</f>
        <v>Hãy cố gắng hết sức mình</v>
      </c>
      <c r="G609" s="20" t="s">
        <v>8405</v>
      </c>
      <c r="H609" s="6"/>
      <c r="I609" s="11" t="b">
        <f t="shared" si="2"/>
        <v>0</v>
      </c>
      <c r="J609" s="24"/>
      <c r="K609" s="11" t="b">
        <f t="shared" si="3"/>
        <v>0</v>
      </c>
    </row>
    <row r="610" ht="22.5" customHeight="1">
      <c r="A610" s="12">
        <f t="shared" si="4"/>
        <v>2608</v>
      </c>
      <c r="B610" s="30" t="s">
        <v>8406</v>
      </c>
      <c r="C610" s="7" t="str">
        <f t="shared" si="5"/>
        <v>🔊</v>
      </c>
      <c r="D610" s="8" t="s">
        <v>8407</v>
      </c>
      <c r="E610" s="6" t="s">
        <v>99</v>
      </c>
      <c r="F610" s="12" t="str">
        <f>IFERROR(__xludf.DUMMYFUNCTION("GOOGLETRANSLATE(B610,""zh_cn"",""vi"")"),"đóng")</f>
        <v>đóng</v>
      </c>
      <c r="G610" s="20" t="s">
        <v>8408</v>
      </c>
      <c r="H610" s="6"/>
      <c r="I610" s="11" t="b">
        <f t="shared" si="2"/>
        <v>0</v>
      </c>
      <c r="J610" s="24"/>
      <c r="K610" s="11" t="b">
        <f t="shared" si="3"/>
        <v>0</v>
      </c>
    </row>
    <row r="611" ht="22.5" customHeight="1">
      <c r="A611" s="12">
        <f t="shared" si="4"/>
        <v>2609</v>
      </c>
      <c r="B611" s="30" t="s">
        <v>8409</v>
      </c>
      <c r="C611" s="7" t="str">
        <f t="shared" si="5"/>
        <v>🔊</v>
      </c>
      <c r="D611" s="8" t="s">
        <v>8410</v>
      </c>
      <c r="E611" s="14"/>
      <c r="F611" s="12" t="str">
        <f>IFERROR(__xludf.DUMMYFUNCTION("GOOGLETRANSLATE(B611,""zh_cn"",""vi"")"),"Trong những năm gần đây")</f>
        <v>Trong những năm gần đây</v>
      </c>
      <c r="G611" s="20" t="s">
        <v>8411</v>
      </c>
      <c r="H611" s="6"/>
      <c r="I611" s="11" t="b">
        <f t="shared" si="2"/>
        <v>0</v>
      </c>
      <c r="J611" s="24"/>
      <c r="K611" s="11" t="b">
        <f t="shared" si="3"/>
        <v>0</v>
      </c>
    </row>
    <row r="612" ht="22.5" customHeight="1">
      <c r="A612" s="12">
        <f t="shared" si="4"/>
        <v>2610</v>
      </c>
      <c r="B612" s="30" t="s">
        <v>8412</v>
      </c>
      <c r="C612" s="7" t="str">
        <f t="shared" si="5"/>
        <v>🔊</v>
      </c>
      <c r="D612" s="8" t="s">
        <v>8413</v>
      </c>
      <c r="E612" s="6" t="s">
        <v>27</v>
      </c>
      <c r="F612" s="12" t="str">
        <f>IFERROR(__xludf.DUMMYFUNCTION("GOOGLETRANSLATE(B612,""zh_cn"",""vi"")"),"Gần đây")</f>
        <v>Gần đây</v>
      </c>
      <c r="G612" s="20" t="s">
        <v>8414</v>
      </c>
      <c r="H612" s="6"/>
      <c r="I612" s="11" t="b">
        <f t="shared" si="2"/>
        <v>0</v>
      </c>
      <c r="J612" s="24"/>
      <c r="K612" s="11" t="b">
        <f t="shared" si="3"/>
        <v>0</v>
      </c>
    </row>
    <row r="613" ht="22.5" customHeight="1">
      <c r="A613" s="12">
        <f t="shared" si="4"/>
        <v>2611</v>
      </c>
      <c r="B613" s="30" t="s">
        <v>8415</v>
      </c>
      <c r="C613" s="7" t="str">
        <f t="shared" si="5"/>
        <v>🔊</v>
      </c>
      <c r="D613" s="8" t="s">
        <v>8416</v>
      </c>
      <c r="E613" s="6" t="s">
        <v>27</v>
      </c>
      <c r="F613" s="12" t="str">
        <f>IFERROR(__xludf.DUMMYFUNCTION("GOOGLETRANSLATE(B613,""zh_cn"",""vi"")"),"gần đây")</f>
        <v>gần đây</v>
      </c>
      <c r="G613" s="20" t="s">
        <v>8417</v>
      </c>
      <c r="H613" s="6"/>
      <c r="I613" s="11" t="b">
        <f t="shared" si="2"/>
        <v>0</v>
      </c>
      <c r="J613" s="24"/>
      <c r="K613" s="11" t="b">
        <f t="shared" si="3"/>
        <v>0</v>
      </c>
    </row>
    <row r="614" ht="22.5" customHeight="1">
      <c r="A614" s="12">
        <f t="shared" si="4"/>
        <v>2612</v>
      </c>
      <c r="B614" s="30" t="s">
        <v>8418</v>
      </c>
      <c r="C614" s="7" t="str">
        <f t="shared" si="5"/>
        <v>🔊</v>
      </c>
      <c r="D614" s="8" t="s">
        <v>8419</v>
      </c>
      <c r="E614" s="6" t="s">
        <v>27</v>
      </c>
      <c r="F614" s="12" t="str">
        <f>IFERROR(__xludf.DUMMYFUNCTION("GOOGLETRANSLATE(B614,""zh_cn"",""vi"")"),"Hôm nay")</f>
        <v>Hôm nay</v>
      </c>
      <c r="G614" s="20" t="s">
        <v>8420</v>
      </c>
      <c r="H614" s="6"/>
      <c r="I614" s="11" t="b">
        <f t="shared" si="2"/>
        <v>0</v>
      </c>
      <c r="J614" s="24"/>
      <c r="K614" s="11" t="b">
        <f t="shared" si="3"/>
        <v>0</v>
      </c>
    </row>
    <row r="615" ht="22.5" customHeight="1">
      <c r="A615" s="12">
        <f t="shared" si="4"/>
        <v>2613</v>
      </c>
      <c r="B615" s="30" t="s">
        <v>8421</v>
      </c>
      <c r="C615" s="7" t="str">
        <f t="shared" si="5"/>
        <v>🔊</v>
      </c>
      <c r="D615" s="8" t="s">
        <v>8422</v>
      </c>
      <c r="E615" s="6" t="s">
        <v>99</v>
      </c>
      <c r="F615" s="12" t="str">
        <f>IFERROR(__xludf.DUMMYFUNCTION("GOOGLETRANSLATE(B615,""zh_cn"",""vi"")"),"thận trọng")</f>
        <v>thận trọng</v>
      </c>
      <c r="G615" s="20" t="s">
        <v>8423</v>
      </c>
      <c r="H615" s="6"/>
      <c r="I615" s="11" t="b">
        <f t="shared" si="2"/>
        <v>0</v>
      </c>
      <c r="J615" s="24"/>
      <c r="K615" s="11" t="b">
        <f t="shared" si="3"/>
        <v>0</v>
      </c>
    </row>
    <row r="616" ht="22.5" customHeight="1">
      <c r="A616" s="12">
        <f t="shared" si="4"/>
        <v>2614</v>
      </c>
      <c r="B616" s="30" t="s">
        <v>8424</v>
      </c>
      <c r="C616" s="7" t="str">
        <f t="shared" si="5"/>
        <v>🔊</v>
      </c>
      <c r="D616" s="8" t="s">
        <v>8425</v>
      </c>
      <c r="E616" s="6" t="s">
        <v>61</v>
      </c>
      <c r="F616" s="12" t="str">
        <f>IFERROR(__xludf.DUMMYFUNCTION("GOOGLETRANSLATE(B616,""zh_cn"",""vi"")"),"hơn nữa")</f>
        <v>hơn nữa</v>
      </c>
      <c r="G616" s="20" t="s">
        <v>8426</v>
      </c>
      <c r="H616" s="6"/>
      <c r="I616" s="11" t="b">
        <f t="shared" si="2"/>
        <v>0</v>
      </c>
      <c r="J616" s="24"/>
      <c r="K616" s="11" t="b">
        <f t="shared" si="3"/>
        <v>0</v>
      </c>
    </row>
    <row r="617" ht="22.5" customHeight="1">
      <c r="A617" s="12">
        <f t="shared" si="4"/>
        <v>2615</v>
      </c>
      <c r="B617" s="30" t="s">
        <v>8427</v>
      </c>
      <c r="C617" s="7" t="str">
        <f t="shared" si="5"/>
        <v>🔊</v>
      </c>
      <c r="D617" s="8" t="s">
        <v>8428</v>
      </c>
      <c r="E617" s="6" t="s">
        <v>61</v>
      </c>
      <c r="F617" s="12" t="str">
        <f>IFERROR(__xludf.DUMMYFUNCTION("GOOGLETRANSLATE(B617,""zh_cn"",""vi"")"),"vô cùng")</f>
        <v>vô cùng</v>
      </c>
      <c r="G617" s="20" t="s">
        <v>8429</v>
      </c>
      <c r="H617" s="6"/>
      <c r="I617" s="11" t="b">
        <f t="shared" si="2"/>
        <v>0</v>
      </c>
      <c r="J617" s="24"/>
      <c r="K617" s="11" t="b">
        <f t="shared" si="3"/>
        <v>0</v>
      </c>
    </row>
    <row r="618" ht="22.5" customHeight="1">
      <c r="A618" s="12">
        <f t="shared" si="4"/>
        <v>2616</v>
      </c>
      <c r="B618" s="30" t="s">
        <v>8430</v>
      </c>
      <c r="C618" s="7" t="str">
        <f t="shared" si="5"/>
        <v>🔊</v>
      </c>
      <c r="D618" s="8" t="s">
        <v>8431</v>
      </c>
      <c r="E618" s="6" t="s">
        <v>27</v>
      </c>
      <c r="F618" s="12" t="str">
        <f>IFERROR(__xludf.DUMMYFUNCTION("GOOGLETRANSLATE(B618,""zh_cn"",""vi"")"),"máy móc")</f>
        <v>máy móc</v>
      </c>
      <c r="G618" s="20" t="s">
        <v>8432</v>
      </c>
      <c r="H618" s="6"/>
      <c r="I618" s="11" t="b">
        <f t="shared" si="2"/>
        <v>0</v>
      </c>
      <c r="J618" s="24"/>
      <c r="K618" s="11" t="b">
        <f t="shared" si="3"/>
        <v>0</v>
      </c>
    </row>
    <row r="619" ht="22.5" customHeight="1">
      <c r="A619" s="12">
        <f t="shared" si="4"/>
        <v>2617</v>
      </c>
      <c r="B619" s="30" t="s">
        <v>8433</v>
      </c>
      <c r="C619" s="7" t="str">
        <f t="shared" si="5"/>
        <v>🔊</v>
      </c>
      <c r="D619" s="8" t="s">
        <v>8434</v>
      </c>
      <c r="E619" s="6" t="s">
        <v>27</v>
      </c>
      <c r="F619" s="12" t="str">
        <f>IFERROR(__xludf.DUMMYFUNCTION("GOOGLETRANSLATE(B619,""zh_cn"",""vi"")"),"robot")</f>
        <v>robot</v>
      </c>
      <c r="G619" s="20" t="s">
        <v>8435</v>
      </c>
      <c r="H619" s="6"/>
      <c r="I619" s="11" t="b">
        <f t="shared" si="2"/>
        <v>0</v>
      </c>
      <c r="J619" s="24"/>
      <c r="K619" s="11" t="b">
        <f t="shared" si="3"/>
        <v>0</v>
      </c>
    </row>
    <row r="620" ht="22.5" customHeight="1">
      <c r="A620" s="12">
        <f t="shared" si="4"/>
        <v>2618</v>
      </c>
      <c r="B620" s="30" t="s">
        <v>8436</v>
      </c>
      <c r="C620" s="7" t="str">
        <f t="shared" si="5"/>
        <v>🔊</v>
      </c>
      <c r="D620" s="8" t="s">
        <v>8437</v>
      </c>
      <c r="E620" s="6" t="s">
        <v>27</v>
      </c>
      <c r="F620" s="12" t="str">
        <f>IFERROR(__xludf.DUMMYFUNCTION("GOOGLETRANSLATE(B620,""zh_cn"",""vi"")"),"cơ bắp")</f>
        <v>cơ bắp</v>
      </c>
      <c r="G620" s="20" t="s">
        <v>8438</v>
      </c>
      <c r="H620" s="6"/>
      <c r="I620" s="11" t="b">
        <f t="shared" si="2"/>
        <v>0</v>
      </c>
      <c r="J620" s="24"/>
      <c r="K620" s="11" t="b">
        <f t="shared" si="3"/>
        <v>0</v>
      </c>
    </row>
    <row r="621" ht="22.5" customHeight="1">
      <c r="A621" s="12">
        <f t="shared" si="4"/>
        <v>2619</v>
      </c>
      <c r="B621" s="30" t="s">
        <v>8439</v>
      </c>
      <c r="C621" s="7" t="str">
        <f t="shared" si="5"/>
        <v>🔊</v>
      </c>
      <c r="D621" s="8" t="s">
        <v>8440</v>
      </c>
      <c r="E621" s="6" t="s">
        <v>13</v>
      </c>
      <c r="F621" s="12" t="str">
        <f>IFERROR(__xludf.DUMMYFUNCTION("GOOGLETRANSLATE(B621,""zh_cn"",""vi"")"),"tính toán")</f>
        <v>tính toán</v>
      </c>
      <c r="G621" s="20" t="s">
        <v>8441</v>
      </c>
      <c r="H621" s="6"/>
      <c r="I621" s="11" t="b">
        <f t="shared" si="2"/>
        <v>0</v>
      </c>
      <c r="J621" s="24"/>
      <c r="K621" s="11" t="b">
        <f t="shared" si="3"/>
        <v>0</v>
      </c>
    </row>
    <row r="622" ht="22.5" customHeight="1">
      <c r="A622" s="12">
        <f t="shared" si="4"/>
        <v>2620</v>
      </c>
      <c r="B622" s="30" t="s">
        <v>8442</v>
      </c>
      <c r="C622" s="7" t="str">
        <f t="shared" si="5"/>
        <v>🔊</v>
      </c>
      <c r="D622" s="8" t="s">
        <v>8443</v>
      </c>
      <c r="E622" s="6" t="s">
        <v>27</v>
      </c>
      <c r="F622" s="12" t="str">
        <f>IFERROR(__xludf.DUMMYFUNCTION("GOOGLETRANSLATE(B622,""zh_cn"",""vi"")"),"máy tính")</f>
        <v>máy tính</v>
      </c>
      <c r="G622" s="20" t="s">
        <v>8444</v>
      </c>
      <c r="H622" s="6"/>
      <c r="I622" s="11" t="b">
        <f t="shared" si="2"/>
        <v>0</v>
      </c>
      <c r="J622" s="24"/>
      <c r="K622" s="11" t="b">
        <f t="shared" si="3"/>
        <v>0</v>
      </c>
    </row>
    <row r="623" ht="22.5" customHeight="1">
      <c r="A623" s="12">
        <f t="shared" si="4"/>
        <v>2621</v>
      </c>
      <c r="B623" s="30" t="s">
        <v>8445</v>
      </c>
      <c r="C623" s="7" t="str">
        <f t="shared" si="5"/>
        <v>🔊</v>
      </c>
      <c r="D623" s="8" t="s">
        <v>8446</v>
      </c>
      <c r="E623" s="6" t="s">
        <v>27</v>
      </c>
      <c r="F623" s="12" t="str">
        <f>IFERROR(__xludf.DUMMYFUNCTION("GOOGLETRANSLATE(B623,""zh_cn"",""vi"")"),"tập thể")</f>
        <v>tập thể</v>
      </c>
      <c r="G623" s="20" t="s">
        <v>8447</v>
      </c>
      <c r="H623" s="6"/>
      <c r="I623" s="11" t="b">
        <f t="shared" si="2"/>
        <v>0</v>
      </c>
      <c r="J623" s="24"/>
      <c r="K623" s="11" t="b">
        <f t="shared" si="3"/>
        <v>0</v>
      </c>
    </row>
    <row r="624" ht="22.5" customHeight="1">
      <c r="A624" s="12">
        <f t="shared" si="4"/>
        <v>2622</v>
      </c>
      <c r="B624" s="30" t="s">
        <v>8448</v>
      </c>
      <c r="C624" s="7" t="str">
        <f t="shared" si="5"/>
        <v>🔊</v>
      </c>
      <c r="D624" s="8" t="s">
        <v>1280</v>
      </c>
      <c r="E624" s="6" t="s">
        <v>13</v>
      </c>
      <c r="F624" s="12" t="str">
        <f>IFERROR(__xludf.DUMMYFUNCTION("GOOGLETRANSLATE(B624,""zh_cn"",""vi"")"),"cứu")</f>
        <v>cứu</v>
      </c>
      <c r="G624" s="20" t="s">
        <v>8449</v>
      </c>
      <c r="H624" s="6"/>
      <c r="I624" s="11" t="b">
        <f t="shared" si="2"/>
        <v>0</v>
      </c>
      <c r="J624" s="24"/>
      <c r="K624" s="11" t="b">
        <f t="shared" si="3"/>
        <v>0</v>
      </c>
    </row>
    <row r="625" ht="22.5" customHeight="1">
      <c r="A625" s="12">
        <f t="shared" si="4"/>
        <v>2623</v>
      </c>
      <c r="B625" s="30" t="s">
        <v>8450</v>
      </c>
      <c r="C625" s="7" t="str">
        <f t="shared" si="5"/>
        <v>🔊</v>
      </c>
      <c r="D625" s="8" t="s">
        <v>8451</v>
      </c>
      <c r="E625" s="6" t="s">
        <v>27</v>
      </c>
      <c r="F625" s="12" t="str">
        <f>IFERROR(__xludf.DUMMYFUNCTION("GOOGLETRANSLATE(B625,""zh_cn"",""vi"")"),"thanh")</f>
        <v>thanh</v>
      </c>
      <c r="G625" s="20" t="s">
        <v>8452</v>
      </c>
      <c r="H625" s="6"/>
      <c r="I625" s="11" t="b">
        <f t="shared" si="2"/>
        <v>0</v>
      </c>
      <c r="J625" s="24"/>
      <c r="K625" s="11" t="b">
        <f t="shared" si="3"/>
        <v>0</v>
      </c>
    </row>
    <row r="626" ht="22.5" customHeight="1">
      <c r="A626" s="12">
        <f t="shared" si="4"/>
        <v>2624</v>
      </c>
      <c r="B626" s="30" t="s">
        <v>8453</v>
      </c>
      <c r="C626" s="7" t="str">
        <f t="shared" si="5"/>
        <v>🔊</v>
      </c>
      <c r="D626" s="8" t="s">
        <v>8454</v>
      </c>
      <c r="E626" s="6" t="s">
        <v>27</v>
      </c>
      <c r="F626" s="12" t="str">
        <f>IFERROR(__xludf.DUMMYFUNCTION("GOOGLETRANSLATE(B626,""zh_cn"",""vi"")"),"xe cứu thương")</f>
        <v>xe cứu thương</v>
      </c>
      <c r="G626" s="20" t="s">
        <v>8455</v>
      </c>
      <c r="H626" s="6"/>
      <c r="I626" s="11" t="b">
        <f t="shared" si="2"/>
        <v>0</v>
      </c>
      <c r="J626" s="24"/>
      <c r="K626" s="11" t="b">
        <f t="shared" si="3"/>
        <v>0</v>
      </c>
    </row>
    <row r="627" ht="22.5" customHeight="1">
      <c r="A627" s="12">
        <f t="shared" si="4"/>
        <v>2625</v>
      </c>
      <c r="B627" s="30" t="s">
        <v>8456</v>
      </c>
      <c r="C627" s="7" t="str">
        <f t="shared" si="5"/>
        <v>🔊</v>
      </c>
      <c r="D627" s="8" t="s">
        <v>8457</v>
      </c>
      <c r="E627" s="6" t="s">
        <v>13</v>
      </c>
      <c r="F627" s="12" t="str">
        <f>IFERROR(__xludf.DUMMYFUNCTION("GOOGLETRANSLATE(B627,""zh_cn"",""vi"")"),"Thuê người làm")</f>
        <v>Thuê người làm</v>
      </c>
      <c r="G627" s="20" t="s">
        <v>8458</v>
      </c>
      <c r="H627" s="6"/>
      <c r="I627" s="11" t="b">
        <f t="shared" si="2"/>
        <v>0</v>
      </c>
      <c r="J627" s="24"/>
      <c r="K627" s="11" t="b">
        <f t="shared" si="3"/>
        <v>0</v>
      </c>
    </row>
    <row r="628" ht="22.5" customHeight="1">
      <c r="A628" s="12">
        <f t="shared" si="4"/>
        <v>2626</v>
      </c>
      <c r="B628" s="30" t="s">
        <v>8459</v>
      </c>
      <c r="C628" s="7" t="str">
        <f t="shared" si="5"/>
        <v>🔊</v>
      </c>
      <c r="D628" s="8" t="s">
        <v>8460</v>
      </c>
      <c r="E628" s="6" t="s">
        <v>99</v>
      </c>
      <c r="F628" s="12" t="str">
        <f>IFERROR(__xludf.DUMMYFUNCTION("GOOGLETRANSLATE(B628,""zh_cn"",""vi"")"),"cũ")</f>
        <v>cũ</v>
      </c>
      <c r="G628" s="20" t="s">
        <v>8461</v>
      </c>
      <c r="H628" s="6"/>
      <c r="I628" s="11" t="b">
        <f t="shared" si="2"/>
        <v>0</v>
      </c>
      <c r="J628" s="24"/>
      <c r="K628" s="11" t="b">
        <f t="shared" si="3"/>
        <v>0</v>
      </c>
    </row>
    <row r="629" ht="22.5" customHeight="1">
      <c r="A629" s="12">
        <f t="shared" si="4"/>
        <v>2627</v>
      </c>
      <c r="B629" s="30" t="s">
        <v>8462</v>
      </c>
      <c r="C629" s="7" t="str">
        <f t="shared" si="5"/>
        <v>🔊</v>
      </c>
      <c r="D629" s="8" t="s">
        <v>8463</v>
      </c>
      <c r="E629" s="6" t="s">
        <v>13</v>
      </c>
      <c r="F629" s="12" t="str">
        <f>IFERROR(__xludf.DUMMYFUNCTION("GOOGLETRANSLATE(B629,""zh_cn"",""vi"")"),"nhu cầu cấp thiết")</f>
        <v>nhu cầu cấp thiết</v>
      </c>
      <c r="G629" s="20" t="s">
        <v>8464</v>
      </c>
      <c r="H629" s="6"/>
      <c r="I629" s="11" t="b">
        <f t="shared" si="2"/>
        <v>0</v>
      </c>
      <c r="J629" s="24"/>
      <c r="K629" s="11" t="b">
        <f t="shared" si="3"/>
        <v>0</v>
      </c>
    </row>
    <row r="630" ht="22.5" customHeight="1">
      <c r="A630" s="12">
        <f t="shared" si="4"/>
        <v>2628</v>
      </c>
      <c r="B630" s="30" t="s">
        <v>8465</v>
      </c>
      <c r="C630" s="7" t="str">
        <f t="shared" si="5"/>
        <v>🔊</v>
      </c>
      <c r="D630" s="8" t="s">
        <v>8466</v>
      </c>
      <c r="E630" s="6" t="s">
        <v>232</v>
      </c>
      <c r="F630" s="12" t="str">
        <f>IFERROR(__xludf.DUMMYFUNCTION("GOOGLETRANSLATE(B630,""zh_cn"",""vi"")"),"ký ức")</f>
        <v>ký ức</v>
      </c>
      <c r="G630" s="20" t="s">
        <v>8467</v>
      </c>
      <c r="H630" s="6"/>
      <c r="I630" s="11" t="b">
        <f t="shared" si="2"/>
        <v>0</v>
      </c>
      <c r="J630" s="24"/>
      <c r="K630" s="11" t="b">
        <f t="shared" si="3"/>
        <v>0</v>
      </c>
    </row>
    <row r="631" ht="22.5" customHeight="1">
      <c r="A631" s="12">
        <f t="shared" si="4"/>
        <v>2629</v>
      </c>
      <c r="B631" s="30" t="s">
        <v>8468</v>
      </c>
      <c r="C631" s="7" t="str">
        <f t="shared" si="5"/>
        <v>🔊</v>
      </c>
      <c r="D631" s="8" t="s">
        <v>8469</v>
      </c>
      <c r="E631" s="6" t="s">
        <v>13</v>
      </c>
      <c r="F631" s="12" t="str">
        <f>IFERROR(__xludf.DUMMYFUNCTION("GOOGLETRANSLATE(B631,""zh_cn"",""vi"")"),"Hồ sơ")</f>
        <v>Hồ sơ</v>
      </c>
      <c r="G631" s="20" t="s">
        <v>8470</v>
      </c>
      <c r="H631" s="6"/>
      <c r="I631" s="11" t="b">
        <f t="shared" si="2"/>
        <v>0</v>
      </c>
      <c r="J631" s="24"/>
      <c r="K631" s="11" t="b">
        <f t="shared" si="3"/>
        <v>0</v>
      </c>
    </row>
    <row r="632" ht="22.5" customHeight="1">
      <c r="A632" s="12">
        <f t="shared" si="4"/>
        <v>2630</v>
      </c>
      <c r="B632" s="30" t="s">
        <v>8471</v>
      </c>
      <c r="C632" s="7" t="str">
        <f t="shared" si="5"/>
        <v>🔊</v>
      </c>
      <c r="D632" s="8" t="s">
        <v>8472</v>
      </c>
      <c r="E632" s="6" t="s">
        <v>232</v>
      </c>
      <c r="F632" s="12" t="str">
        <f>IFERROR(__xludf.DUMMYFUNCTION("GOOGLETRANSLATE(B632,""zh_cn"",""vi"")"),"Khẩn cấp")</f>
        <v>Khẩn cấp</v>
      </c>
      <c r="G632" s="20" t="s">
        <v>8473</v>
      </c>
      <c r="H632" s="6"/>
      <c r="I632" s="11" t="b">
        <f t="shared" si="2"/>
        <v>0</v>
      </c>
      <c r="J632" s="24"/>
      <c r="K632" s="11" t="b">
        <f t="shared" si="3"/>
        <v>0</v>
      </c>
    </row>
    <row r="633" ht="22.5" customHeight="1">
      <c r="A633" s="12">
        <f t="shared" si="4"/>
        <v>2631</v>
      </c>
      <c r="B633" s="30" t="s">
        <v>8474</v>
      </c>
      <c r="C633" s="7" t="str">
        <f t="shared" si="5"/>
        <v>🔊</v>
      </c>
      <c r="D633" s="8" t="s">
        <v>8475</v>
      </c>
      <c r="E633" s="6" t="s">
        <v>368</v>
      </c>
      <c r="F633" s="12" t="str">
        <f>IFERROR(__xludf.DUMMYFUNCTION("GOOGLETRANSLATE(B633,""zh_cn"",""vi"")"),"tập trung")</f>
        <v>tập trung</v>
      </c>
      <c r="G633" s="20" t="s">
        <v>8476</v>
      </c>
      <c r="H633" s="6"/>
      <c r="I633" s="11" t="b">
        <f t="shared" si="2"/>
        <v>0</v>
      </c>
      <c r="J633" s="24"/>
      <c r="K633" s="11" t="b">
        <f t="shared" si="3"/>
        <v>0</v>
      </c>
    </row>
    <row r="634" ht="22.5" customHeight="1">
      <c r="A634" s="12">
        <f t="shared" si="4"/>
        <v>2632</v>
      </c>
      <c r="B634" s="30" t="s">
        <v>8477</v>
      </c>
      <c r="C634" s="7" t="str">
        <f t="shared" si="5"/>
        <v>🔊</v>
      </c>
      <c r="D634" s="8" t="s">
        <v>2432</v>
      </c>
      <c r="E634" s="6" t="s">
        <v>1766</v>
      </c>
      <c r="F634" s="12" t="str">
        <f>IFERROR(__xludf.DUMMYFUNCTION("GOOGLETRANSLATE(B634,""zh_cn"",""vi"")"),"theo")</f>
        <v>theo</v>
      </c>
      <c r="G634" s="20" t="s">
        <v>8478</v>
      </c>
      <c r="H634" s="6"/>
      <c r="I634" s="11" t="b">
        <f t="shared" si="2"/>
        <v>0</v>
      </c>
      <c r="J634" s="24"/>
      <c r="K634" s="11" t="b">
        <f t="shared" si="3"/>
        <v>0</v>
      </c>
    </row>
    <row r="635" ht="22.5" customHeight="1">
      <c r="A635" s="12">
        <f t="shared" si="4"/>
        <v>2633</v>
      </c>
      <c r="B635" s="30" t="s">
        <v>8479</v>
      </c>
      <c r="C635" s="7" t="str">
        <f t="shared" si="5"/>
        <v>🔊</v>
      </c>
      <c r="D635" s="8" t="s">
        <v>2432</v>
      </c>
      <c r="E635" s="6" t="s">
        <v>13</v>
      </c>
      <c r="F635" s="12" t="str">
        <f>IFERROR(__xludf.DUMMYFUNCTION("GOOGLETRANSLATE(B635,""zh_cn"",""vi"")"),"khoảng cách")</f>
        <v>khoảng cách</v>
      </c>
      <c r="G635" s="20" t="s">
        <v>8480</v>
      </c>
      <c r="H635" s="6"/>
      <c r="I635" s="11" t="b">
        <f t="shared" si="2"/>
        <v>0</v>
      </c>
      <c r="J635" s="24"/>
      <c r="K635" s="11" t="b">
        <f t="shared" si="3"/>
        <v>0</v>
      </c>
    </row>
    <row r="636" ht="22.5" customHeight="1">
      <c r="A636" s="12">
        <f t="shared" si="4"/>
        <v>2634</v>
      </c>
      <c r="B636" s="30" t="s">
        <v>8481</v>
      </c>
      <c r="C636" s="7" t="str">
        <f t="shared" si="5"/>
        <v>🔊</v>
      </c>
      <c r="D636" s="8" t="s">
        <v>8482</v>
      </c>
      <c r="E636" s="6" t="s">
        <v>13</v>
      </c>
      <c r="F636" s="12" t="str">
        <f>IFERROR(__xludf.DUMMYFUNCTION("GOOGLETRANSLATE(B636,""zh_cn"",""vi"")"),"quyên tặng")</f>
        <v>quyên tặng</v>
      </c>
      <c r="G636" s="20" t="s">
        <v>8483</v>
      </c>
      <c r="H636" s="6"/>
      <c r="I636" s="11" t="b">
        <f t="shared" si="2"/>
        <v>0</v>
      </c>
      <c r="J636" s="24"/>
      <c r="K636" s="11" t="b">
        <f t="shared" si="3"/>
        <v>0</v>
      </c>
    </row>
    <row r="637" ht="22.5" customHeight="1">
      <c r="A637" s="12">
        <f t="shared" si="4"/>
        <v>2635</v>
      </c>
      <c r="B637" s="30" t="s">
        <v>8484</v>
      </c>
      <c r="C637" s="7" t="str">
        <f t="shared" si="5"/>
        <v>🔊</v>
      </c>
      <c r="D637" s="8" t="s">
        <v>8485</v>
      </c>
      <c r="E637" s="6" t="s">
        <v>13</v>
      </c>
      <c r="F637" s="12" t="str">
        <f>IFERROR(__xludf.DUMMYFUNCTION("GOOGLETRANSLATE(B637,""zh_cn"",""vi"")"),"có")</f>
        <v>có</v>
      </c>
      <c r="G637" s="20" t="s">
        <v>8486</v>
      </c>
      <c r="H637" s="6"/>
      <c r="I637" s="11" t="b">
        <f t="shared" si="2"/>
        <v>0</v>
      </c>
      <c r="J637" s="24"/>
      <c r="K637" s="11" t="b">
        <f t="shared" si="3"/>
        <v>0</v>
      </c>
    </row>
    <row r="638" ht="22.5" customHeight="1">
      <c r="A638" s="12">
        <f t="shared" si="4"/>
        <v>2636</v>
      </c>
      <c r="B638" s="30" t="s">
        <v>8487</v>
      </c>
      <c r="C638" s="7" t="str">
        <f t="shared" si="5"/>
        <v>🔊</v>
      </c>
      <c r="D638" s="8" t="s">
        <v>8488</v>
      </c>
      <c r="E638" s="6" t="s">
        <v>27</v>
      </c>
      <c r="F638" s="12" t="str">
        <f>IFERROR(__xludf.DUMMYFUNCTION("GOOGLETRANSLATE(B638,""zh_cn"",""vi"")"),"nhà hát")</f>
        <v>nhà hát</v>
      </c>
      <c r="G638" s="20" t="s">
        <v>8489</v>
      </c>
      <c r="H638" s="6"/>
      <c r="I638" s="11" t="b">
        <f t="shared" si="2"/>
        <v>0</v>
      </c>
      <c r="J638" s="24"/>
      <c r="K638" s="11" t="b">
        <f t="shared" si="3"/>
        <v>0</v>
      </c>
    </row>
    <row r="639" ht="22.5" customHeight="1">
      <c r="A639" s="12">
        <f t="shared" si="4"/>
        <v>2637</v>
      </c>
      <c r="B639" s="30" t="s">
        <v>8490</v>
      </c>
      <c r="C639" s="7" t="str">
        <f t="shared" si="5"/>
        <v>🔊</v>
      </c>
      <c r="D639" s="8" t="s">
        <v>8491</v>
      </c>
      <c r="E639" s="6" t="s">
        <v>99</v>
      </c>
      <c r="F639" s="12" t="str">
        <f>IFERROR(__xludf.DUMMYFUNCTION("GOOGLETRANSLATE(B639,""zh_cn"",""vi"")"),"to lớn")</f>
        <v>to lớn</v>
      </c>
      <c r="G639" s="20" t="s">
        <v>8492</v>
      </c>
      <c r="H639" s="6"/>
      <c r="I639" s="11" t="b">
        <f t="shared" si="2"/>
        <v>0</v>
      </c>
      <c r="J639" s="24"/>
      <c r="K639" s="11" t="b">
        <f t="shared" si="3"/>
        <v>0</v>
      </c>
    </row>
    <row r="640" ht="22.5" customHeight="1">
      <c r="A640" s="12">
        <f t="shared" si="4"/>
        <v>2638</v>
      </c>
      <c r="B640" s="30" t="s">
        <v>8493</v>
      </c>
      <c r="C640" s="7" t="str">
        <f t="shared" si="5"/>
        <v>🔊</v>
      </c>
      <c r="D640" s="8" t="s">
        <v>8494</v>
      </c>
      <c r="E640" s="6" t="s">
        <v>1308</v>
      </c>
      <c r="F640" s="12" t="str">
        <f>IFERROR(__xludf.DUMMYFUNCTION("GOOGLETRANSLATE(B640,""zh_cn"",""vi"")"),"tuyệt đối")</f>
        <v>tuyệt đối</v>
      </c>
      <c r="G640" s="20" t="s">
        <v>8495</v>
      </c>
      <c r="H640" s="6"/>
      <c r="I640" s="11" t="b">
        <f t="shared" si="2"/>
        <v>0</v>
      </c>
      <c r="J640" s="24"/>
      <c r="K640" s="11" t="b">
        <f t="shared" si="3"/>
        <v>0</v>
      </c>
    </row>
    <row r="641" ht="22.5" customHeight="1">
      <c r="A641" s="12">
        <f t="shared" si="4"/>
        <v>2639</v>
      </c>
      <c r="B641" s="30" t="s">
        <v>8496</v>
      </c>
      <c r="C641" s="7" t="str">
        <f t="shared" si="5"/>
        <v>🔊</v>
      </c>
      <c r="D641" s="8" t="s">
        <v>8497</v>
      </c>
      <c r="E641" s="6" t="s">
        <v>232</v>
      </c>
      <c r="F641" s="12" t="str">
        <f>IFERROR(__xludf.DUMMYFUNCTION("GOOGLETRANSLATE(B641,""zh_cn"",""vi"")"),"Phán quyết")</f>
        <v>Phán quyết</v>
      </c>
      <c r="G641" s="20" t="s">
        <v>8498</v>
      </c>
      <c r="H641" s="6"/>
      <c r="I641" s="11" t="b">
        <f t="shared" si="2"/>
        <v>0</v>
      </c>
      <c r="J641" s="24"/>
      <c r="K641" s="11" t="b">
        <f t="shared" si="3"/>
        <v>0</v>
      </c>
    </row>
    <row r="642" ht="22.5" customHeight="1">
      <c r="A642" s="12">
        <f t="shared" si="4"/>
        <v>2640</v>
      </c>
      <c r="B642" s="30" t="s">
        <v>8499</v>
      </c>
      <c r="C642" s="7" t="str">
        <f t="shared" si="5"/>
        <v>🔊</v>
      </c>
      <c r="D642" s="8" t="s">
        <v>8500</v>
      </c>
      <c r="E642" s="6" t="s">
        <v>27</v>
      </c>
      <c r="F642" s="12" t="str">
        <f>IFERROR(__xludf.DUMMYFUNCTION("GOOGLETRANSLATE(B642,""zh_cn"",""vi"")"),"Vai trò")</f>
        <v>Vai trò</v>
      </c>
      <c r="G642" s="20" t="s">
        <v>8501</v>
      </c>
      <c r="H642" s="6"/>
      <c r="I642" s="11" t="b">
        <f t="shared" si="2"/>
        <v>0</v>
      </c>
      <c r="J642" s="24"/>
      <c r="K642" s="11" t="b">
        <f t="shared" si="3"/>
        <v>0</v>
      </c>
    </row>
    <row r="643" ht="22.5" customHeight="1">
      <c r="A643" s="12">
        <f t="shared" si="4"/>
        <v>2641</v>
      </c>
      <c r="B643" s="30" t="s">
        <v>8502</v>
      </c>
      <c r="C643" s="7" t="str">
        <f t="shared" si="5"/>
        <v>🔊</v>
      </c>
      <c r="D643" s="8" t="s">
        <v>8503</v>
      </c>
      <c r="E643" s="6" t="s">
        <v>57</v>
      </c>
      <c r="F643" s="12" t="str">
        <f>IFERROR(__xludf.DUMMYFUNCTION("GOOGLETRANSLATE(B643,""zh_cn"",""vi"")"),"sự quyết tâm")</f>
        <v>sự quyết tâm</v>
      </c>
      <c r="G643" s="20" t="s">
        <v>8504</v>
      </c>
      <c r="H643" s="6"/>
      <c r="I643" s="11" t="b">
        <f t="shared" si="2"/>
        <v>0</v>
      </c>
      <c r="J643" s="24"/>
      <c r="K643" s="11" t="b">
        <f t="shared" si="3"/>
        <v>0</v>
      </c>
    </row>
    <row r="644" ht="22.5" customHeight="1">
      <c r="A644" s="12">
        <f t="shared" si="4"/>
        <v>2642</v>
      </c>
      <c r="B644" s="30" t="s">
        <v>8505</v>
      </c>
      <c r="C644" s="7" t="str">
        <f t="shared" si="5"/>
        <v>🔊</v>
      </c>
      <c r="D644" s="8" t="s">
        <v>8506</v>
      </c>
      <c r="E644" s="6" t="s">
        <v>27</v>
      </c>
      <c r="F644" s="12" t="str">
        <f>IFERROR(__xludf.DUMMYFUNCTION("GOOGLETRANSLATE(B644,""zh_cn"",""vi"")"),"người dân")</f>
        <v>người dân</v>
      </c>
      <c r="G644" s="20" t="s">
        <v>8507</v>
      </c>
      <c r="H644" s="6"/>
      <c r="I644" s="11" t="b">
        <f t="shared" si="2"/>
        <v>0</v>
      </c>
      <c r="J644" s="24"/>
      <c r="K644" s="11" t="b">
        <f t="shared" si="3"/>
        <v>0</v>
      </c>
    </row>
    <row r="645" ht="22.5" customHeight="1">
      <c r="A645" s="12">
        <f t="shared" si="4"/>
        <v>2643</v>
      </c>
      <c r="B645" s="30" t="s">
        <v>8508</v>
      </c>
      <c r="C645" s="7" t="str">
        <f t="shared" si="5"/>
        <v>🔊</v>
      </c>
      <c r="D645" s="8" t="s">
        <v>8509</v>
      </c>
      <c r="E645" s="6" t="s">
        <v>61</v>
      </c>
      <c r="F645" s="12" t="str">
        <f>IFERROR(__xludf.DUMMYFUNCTION("GOOGLETRANSLATE(B645,""zh_cn"",""vi"")"),"Thật ngạc nhiên!")</f>
        <v>Thật ngạc nhiên!</v>
      </c>
      <c r="G645" s="20" t="s">
        <v>8510</v>
      </c>
      <c r="H645" s="6"/>
      <c r="I645" s="11" t="b">
        <f t="shared" si="2"/>
        <v>0</v>
      </c>
      <c r="J645" s="24"/>
      <c r="K645" s="11" t="b">
        <f t="shared" si="3"/>
        <v>0</v>
      </c>
    </row>
    <row r="646" ht="22.5" customHeight="1">
      <c r="A646" s="12">
        <f t="shared" si="4"/>
        <v>2644</v>
      </c>
      <c r="B646" s="30" t="s">
        <v>8511</v>
      </c>
      <c r="C646" s="7" t="str">
        <f t="shared" si="5"/>
        <v>🔊</v>
      </c>
      <c r="D646" s="8" t="s">
        <v>8512</v>
      </c>
      <c r="E646" s="6" t="s">
        <v>13</v>
      </c>
      <c r="F646" s="12" t="str">
        <f>IFERROR(__xludf.DUMMYFUNCTION("GOOGLETRANSLATE(B646,""zh_cn"",""vi"")"),"Người ta nói rằng")</f>
        <v>Người ta nói rằng</v>
      </c>
      <c r="G646" s="20" t="s">
        <v>8513</v>
      </c>
      <c r="H646" s="6"/>
      <c r="I646" s="11" t="b">
        <f t="shared" si="2"/>
        <v>0</v>
      </c>
      <c r="J646" s="24"/>
      <c r="K646" s="11" t="b">
        <f t="shared" si="3"/>
        <v>0</v>
      </c>
    </row>
    <row r="647" ht="22.5" customHeight="1">
      <c r="A647" s="12">
        <f t="shared" si="4"/>
        <v>2645</v>
      </c>
      <c r="B647" s="30" t="s">
        <v>8514</v>
      </c>
      <c r="C647" s="7" t="str">
        <f t="shared" si="5"/>
        <v>🔊</v>
      </c>
      <c r="D647" s="8" t="s">
        <v>8515</v>
      </c>
      <c r="E647" s="6" t="s">
        <v>416</v>
      </c>
      <c r="F647" s="12" t="str">
        <f>IFERROR(__xludf.DUMMYFUNCTION("GOOGLETRANSLATE(B647,""zh_cn"",""vi"")"),"cụ thể")</f>
        <v>cụ thể</v>
      </c>
      <c r="G647" s="20" t="s">
        <v>8516</v>
      </c>
      <c r="H647" s="6"/>
      <c r="I647" s="11" t="b">
        <f t="shared" si="2"/>
        <v>0</v>
      </c>
      <c r="J647" s="24"/>
      <c r="K647" s="11" t="b">
        <f t="shared" si="3"/>
        <v>0</v>
      </c>
    </row>
    <row r="648" ht="22.5" customHeight="1">
      <c r="A648" s="12">
        <f t="shared" si="4"/>
        <v>2646</v>
      </c>
      <c r="B648" s="30" t="s">
        <v>8517</v>
      </c>
      <c r="C648" s="7" t="str">
        <f t="shared" si="5"/>
        <v>🔊</v>
      </c>
      <c r="D648" s="8" t="s">
        <v>8518</v>
      </c>
      <c r="E648" s="6" t="s">
        <v>13</v>
      </c>
      <c r="F648" s="12" t="str">
        <f>IFERROR(__xludf.DUMMYFUNCTION("GOOGLETRANSLATE(B648,""zh_cn"",""vi"")"),"có")</f>
        <v>có</v>
      </c>
      <c r="G648" s="20" t="s">
        <v>8519</v>
      </c>
      <c r="H648" s="6"/>
      <c r="I648" s="11" t="b">
        <f t="shared" si="2"/>
        <v>0</v>
      </c>
      <c r="J648" s="24"/>
      <c r="K648" s="11" t="b">
        <f t="shared" si="3"/>
        <v>0</v>
      </c>
    </row>
    <row r="649" ht="22.5" customHeight="1">
      <c r="A649" s="12">
        <f t="shared" si="4"/>
        <v>2647</v>
      </c>
      <c r="B649" s="30" t="s">
        <v>8520</v>
      </c>
      <c r="C649" s="7" t="str">
        <f t="shared" si="5"/>
        <v>🔊</v>
      </c>
      <c r="D649" s="8" t="s">
        <v>8521</v>
      </c>
      <c r="E649" s="6" t="s">
        <v>13</v>
      </c>
      <c r="F649" s="12" t="str">
        <f>IFERROR(__xludf.DUMMYFUNCTION("GOOGLETRANSLATE(B649,""zh_cn"",""vi"")"),"sống")</f>
        <v>sống</v>
      </c>
      <c r="G649" s="20" t="s">
        <v>8522</v>
      </c>
      <c r="H649" s="6"/>
      <c r="I649" s="11" t="b">
        <f t="shared" si="2"/>
        <v>0</v>
      </c>
      <c r="J649" s="24"/>
      <c r="K649" s="11" t="b">
        <f t="shared" si="3"/>
        <v>0</v>
      </c>
    </row>
    <row r="650" ht="22.5" customHeight="1">
      <c r="A650" s="12">
        <f t="shared" si="4"/>
        <v>2648</v>
      </c>
      <c r="B650" s="30" t="s">
        <v>8523</v>
      </c>
      <c r="C650" s="7" t="str">
        <f t="shared" si="5"/>
        <v>🔊</v>
      </c>
      <c r="D650" s="8" t="s">
        <v>8524</v>
      </c>
      <c r="E650" s="6" t="s">
        <v>27</v>
      </c>
      <c r="F650" s="12" t="str">
        <f>IFERROR(__xludf.DUMMYFUNCTION("GOOGLETRANSLATE(B650,""zh_cn"",""vi"")"),"quýt")</f>
        <v>quýt</v>
      </c>
      <c r="G650" s="20" t="s">
        <v>8525</v>
      </c>
      <c r="H650" s="6"/>
      <c r="I650" s="11" t="b">
        <f t="shared" si="2"/>
        <v>0</v>
      </c>
      <c r="J650" s="24"/>
      <c r="K650" s="11" t="b">
        <f t="shared" si="3"/>
        <v>0</v>
      </c>
    </row>
    <row r="651" ht="22.5" customHeight="1">
      <c r="A651" s="12">
        <f t="shared" si="4"/>
        <v>2649</v>
      </c>
      <c r="B651" s="30" t="s">
        <v>8526</v>
      </c>
      <c r="C651" s="7" t="str">
        <f t="shared" si="5"/>
        <v>🔊</v>
      </c>
      <c r="D651" s="8" t="s">
        <v>8527</v>
      </c>
      <c r="E651" s="6" t="s">
        <v>13</v>
      </c>
      <c r="F651" s="12" t="str">
        <f>IFERROR(__xludf.DUMMYFUNCTION("GOOGLETRANSLATE(B651,""zh_cn"",""vi"")"),"Phát triển")</f>
        <v>Phát triển</v>
      </c>
      <c r="G651" s="20" t="s">
        <v>8528</v>
      </c>
      <c r="H651" s="6"/>
      <c r="I651" s="11" t="b">
        <f t="shared" si="2"/>
        <v>0</v>
      </c>
      <c r="J651" s="24"/>
      <c r="K651" s="11" t="b">
        <f t="shared" si="3"/>
        <v>0</v>
      </c>
    </row>
    <row r="652" ht="22.5" customHeight="1">
      <c r="A652" s="12">
        <f t="shared" si="4"/>
        <v>2650</v>
      </c>
      <c r="B652" s="30" t="s">
        <v>8529</v>
      </c>
      <c r="C652" s="7" t="str">
        <f t="shared" si="5"/>
        <v>🔊</v>
      </c>
      <c r="D652" s="8" t="s">
        <v>8530</v>
      </c>
      <c r="E652" s="6" t="s">
        <v>368</v>
      </c>
      <c r="F652" s="12" t="str">
        <f>IFERROR(__xludf.DUMMYFUNCTION("GOOGLETRANSLATE(B652,""zh_cn"",""vi"")"),"mở")</f>
        <v>mở</v>
      </c>
      <c r="G652" s="20" t="s">
        <v>8531</v>
      </c>
      <c r="H652" s="6"/>
      <c r="I652" s="11" t="b">
        <f t="shared" si="2"/>
        <v>0</v>
      </c>
      <c r="J652" s="24"/>
      <c r="K652" s="11" t="b">
        <f t="shared" si="3"/>
        <v>0</v>
      </c>
    </row>
    <row r="653" ht="22.5" customHeight="1">
      <c r="A653" s="12">
        <f t="shared" si="4"/>
        <v>2651</v>
      </c>
      <c r="B653" s="30" t="s">
        <v>8532</v>
      </c>
      <c r="C653" s="7" t="str">
        <f t="shared" si="5"/>
        <v>🔊</v>
      </c>
      <c r="D653" s="8" t="s">
        <v>8533</v>
      </c>
      <c r="E653" s="6" t="s">
        <v>13</v>
      </c>
      <c r="F653" s="12" t="str">
        <f>IFERROR(__xludf.DUMMYFUNCTION("GOOGLETRANSLATE(B653,""zh_cn"",""vi"")"),"Khai mạc")</f>
        <v>Khai mạc</v>
      </c>
      <c r="G653" s="20" t="s">
        <v>8534</v>
      </c>
      <c r="H653" s="6"/>
      <c r="I653" s="11" t="b">
        <f t="shared" si="2"/>
        <v>0</v>
      </c>
      <c r="J653" s="24"/>
      <c r="K653" s="11" t="b">
        <f t="shared" si="3"/>
        <v>0</v>
      </c>
    </row>
    <row r="654" ht="22.5" customHeight="1">
      <c r="A654" s="12">
        <f t="shared" si="4"/>
        <v>2652</v>
      </c>
      <c r="B654" s="30" t="s">
        <v>8535</v>
      </c>
      <c r="C654" s="7" t="str">
        <f t="shared" si="5"/>
        <v>🔊</v>
      </c>
      <c r="D654" s="8" t="s">
        <v>8536</v>
      </c>
      <c r="E654" s="6" t="s">
        <v>27</v>
      </c>
      <c r="F654" s="12" t="str">
        <f>IFERROR(__xludf.DUMMYFUNCTION("GOOGLETRANSLATE(B654,""zh_cn"",""vi"")"),"Lễ khai mạc")</f>
        <v>Lễ khai mạc</v>
      </c>
      <c r="G654" s="20" t="s">
        <v>8537</v>
      </c>
      <c r="H654" s="6"/>
      <c r="I654" s="11" t="b">
        <f t="shared" si="2"/>
        <v>0</v>
      </c>
      <c r="J654" s="24"/>
      <c r="K654" s="11" t="b">
        <f t="shared" si="3"/>
        <v>0</v>
      </c>
    </row>
    <row r="655" ht="22.5" customHeight="1">
      <c r="A655" s="12">
        <f t="shared" si="4"/>
        <v>2653</v>
      </c>
      <c r="B655" s="30" t="s">
        <v>8538</v>
      </c>
      <c r="C655" s="7" t="str">
        <f t="shared" si="5"/>
        <v>🔊</v>
      </c>
      <c r="D655" s="8" t="s">
        <v>8539</v>
      </c>
      <c r="E655" s="6" t="s">
        <v>27</v>
      </c>
      <c r="F655" s="12" t="str">
        <f>IFERROR(__xludf.DUMMYFUNCTION("GOOGLETRANSLATE(B655,""zh_cn"",""vi"")"),"nước sôi")</f>
        <v>nước sôi</v>
      </c>
      <c r="G655" s="20" t="s">
        <v>8540</v>
      </c>
      <c r="H655" s="6"/>
      <c r="I655" s="11" t="b">
        <f t="shared" si="2"/>
        <v>0</v>
      </c>
      <c r="J655" s="24"/>
      <c r="K655" s="11" t="b">
        <f t="shared" si="3"/>
        <v>0</v>
      </c>
    </row>
    <row r="656" ht="22.5" customHeight="1">
      <c r="A656" s="12">
        <f t="shared" si="4"/>
        <v>2654</v>
      </c>
      <c r="B656" s="30" t="s">
        <v>8541</v>
      </c>
      <c r="C656" s="7" t="str">
        <f t="shared" si="5"/>
        <v>🔊</v>
      </c>
      <c r="D656" s="8" t="s">
        <v>8542</v>
      </c>
      <c r="E656" s="6" t="s">
        <v>13</v>
      </c>
      <c r="F656" s="12" t="str">
        <f>IFERROR(__xludf.DUMMYFUNCTION("GOOGLETRANSLATE(B656,""zh_cn"",""vi"")"),"Mở")</f>
        <v>Mở</v>
      </c>
      <c r="G656" s="20" t="s">
        <v>8543</v>
      </c>
      <c r="H656" s="6"/>
      <c r="I656" s="11" t="b">
        <f t="shared" si="2"/>
        <v>0</v>
      </c>
      <c r="J656" s="24"/>
      <c r="K656" s="11" t="b">
        <f t="shared" si="3"/>
        <v>0</v>
      </c>
    </row>
    <row r="657" ht="22.5" customHeight="1">
      <c r="A657" s="12">
        <f t="shared" si="4"/>
        <v>2655</v>
      </c>
      <c r="B657" s="30" t="s">
        <v>8544</v>
      </c>
      <c r="C657" s="7" t="str">
        <f t="shared" si="5"/>
        <v>🔊</v>
      </c>
      <c r="D657" s="8" t="s">
        <v>8545</v>
      </c>
      <c r="E657" s="6" t="s">
        <v>13</v>
      </c>
      <c r="F657" s="12" t="str">
        <f>IFERROR(__xludf.DUMMYFUNCTION("GOOGLETRANSLATE(B657,""zh_cn"",""vi"")"),"Khai mạc")</f>
        <v>Khai mạc</v>
      </c>
      <c r="G657" s="20" t="s">
        <v>8546</v>
      </c>
      <c r="H657" s="6"/>
      <c r="I657" s="11" t="b">
        <f t="shared" si="2"/>
        <v>0</v>
      </c>
      <c r="J657" s="24"/>
      <c r="K657" s="11" t="b">
        <f t="shared" si="3"/>
        <v>0</v>
      </c>
    </row>
    <row r="658" ht="22.5" customHeight="1">
      <c r="A658" s="12">
        <f t="shared" si="4"/>
        <v>2656</v>
      </c>
      <c r="B658" s="30" t="s">
        <v>8547</v>
      </c>
      <c r="C658" s="7" t="str">
        <f t="shared" si="5"/>
        <v>🔊</v>
      </c>
      <c r="D658" s="8" t="s">
        <v>8548</v>
      </c>
      <c r="E658" s="6" t="s">
        <v>13</v>
      </c>
      <c r="F658" s="12" t="str">
        <f>IFERROR(__xludf.DUMMYFUNCTION("GOOGLETRANSLATE(B658,""zh_cn"",""vi"")"),"Tiến hành")</f>
        <v>Tiến hành</v>
      </c>
      <c r="G658" s="20" t="s">
        <v>8549</v>
      </c>
      <c r="H658" s="6"/>
      <c r="I658" s="11" t="b">
        <f t="shared" si="2"/>
        <v>0</v>
      </c>
      <c r="J658" s="24"/>
      <c r="K658" s="11" t="b">
        <f t="shared" si="3"/>
        <v>0</v>
      </c>
    </row>
    <row r="659" ht="22.5" customHeight="1">
      <c r="A659" s="12">
        <f t="shared" si="4"/>
        <v>2657</v>
      </c>
      <c r="B659" s="30" t="s">
        <v>353</v>
      </c>
      <c r="C659" s="7" t="str">
        <f t="shared" si="5"/>
        <v>🔊</v>
      </c>
      <c r="D659" s="8" t="s">
        <v>8550</v>
      </c>
      <c r="E659" s="6" t="s">
        <v>13</v>
      </c>
      <c r="F659" s="12" t="str">
        <f>IFERROR(__xludf.DUMMYFUNCTION("GOOGLETRANSLATE(B659,""zh_cn"",""vi"")"),"Nhìn")</f>
        <v>Nhìn</v>
      </c>
      <c r="G659" s="20" t="s">
        <v>8551</v>
      </c>
      <c r="H659" s="6"/>
      <c r="I659" s="11" t="b">
        <f t="shared" si="2"/>
        <v>0</v>
      </c>
      <c r="J659" s="24"/>
      <c r="K659" s="11" t="b">
        <f t="shared" si="3"/>
        <v>0</v>
      </c>
    </row>
    <row r="660" ht="22.5" customHeight="1">
      <c r="A660" s="12">
        <f t="shared" si="4"/>
        <v>2658</v>
      </c>
      <c r="B660" s="30" t="s">
        <v>8552</v>
      </c>
      <c r="C660" s="7" t="str">
        <f t="shared" si="5"/>
        <v>🔊</v>
      </c>
      <c r="D660" s="8" t="s">
        <v>8553</v>
      </c>
      <c r="E660" s="6" t="s">
        <v>13</v>
      </c>
      <c r="F660" s="12" t="str">
        <f>IFERROR(__xludf.DUMMYFUNCTION("GOOGLETRANSLATE(B660,""zh_cn"",""vi"")"),"thăm nom")</f>
        <v>thăm nom</v>
      </c>
      <c r="G660" s="20" t="s">
        <v>8554</v>
      </c>
      <c r="H660" s="6"/>
      <c r="I660" s="11" t="b">
        <f t="shared" si="2"/>
        <v>0</v>
      </c>
      <c r="J660" s="24"/>
      <c r="K660" s="11" t="b">
        <f t="shared" si="3"/>
        <v>0</v>
      </c>
    </row>
    <row r="661" ht="22.5" customHeight="1">
      <c r="A661" s="12">
        <f t="shared" si="4"/>
        <v>2659</v>
      </c>
      <c r="B661" s="30" t="s">
        <v>8555</v>
      </c>
      <c r="C661" s="7" t="str">
        <f t="shared" si="5"/>
        <v>🔊</v>
      </c>
      <c r="D661" s="8" t="s">
        <v>8556</v>
      </c>
      <c r="E661" s="6" t="s">
        <v>13</v>
      </c>
      <c r="F661" s="12" t="str">
        <f>IFERROR(__xludf.DUMMYFUNCTION("GOOGLETRANSLATE(B661,""zh_cn"",""vi"")"),"Xem như")</f>
        <v>Xem như</v>
      </c>
      <c r="G661" s="20" t="s">
        <v>8557</v>
      </c>
      <c r="H661" s="6"/>
      <c r="I661" s="11" t="b">
        <f t="shared" si="2"/>
        <v>0</v>
      </c>
      <c r="J661" s="24"/>
      <c r="K661" s="11" t="b">
        <f t="shared" si="3"/>
        <v>0</v>
      </c>
    </row>
    <row r="662" ht="22.5" customHeight="1">
      <c r="A662" s="12">
        <f t="shared" si="4"/>
        <v>2660</v>
      </c>
      <c r="B662" s="30" t="s">
        <v>8558</v>
      </c>
      <c r="C662" s="7" t="str">
        <f t="shared" si="5"/>
        <v>🔊</v>
      </c>
      <c r="D662" s="8" t="s">
        <v>8559</v>
      </c>
      <c r="E662" s="6" t="s">
        <v>13</v>
      </c>
      <c r="F662" s="12" t="str">
        <f>IFERROR(__xludf.DUMMYFUNCTION("GOOGLETRANSLATE(B662,""zh_cn"",""vi"")"),"Tùy thuộc vào")</f>
        <v>Tùy thuộc vào</v>
      </c>
      <c r="G662" s="20" t="s">
        <v>8560</v>
      </c>
      <c r="H662" s="6"/>
      <c r="I662" s="11" t="b">
        <f t="shared" si="2"/>
        <v>0</v>
      </c>
      <c r="J662" s="24"/>
      <c r="K662" s="11" t="b">
        <f t="shared" si="3"/>
        <v>0</v>
      </c>
    </row>
    <row r="663" ht="22.5" customHeight="1">
      <c r="A663" s="12">
        <f t="shared" si="4"/>
        <v>2661</v>
      </c>
      <c r="B663" s="30" t="s">
        <v>8561</v>
      </c>
      <c r="C663" s="7" t="str">
        <f t="shared" si="5"/>
        <v>🔊</v>
      </c>
      <c r="D663" s="8" t="s">
        <v>8562</v>
      </c>
      <c r="E663" s="6" t="s">
        <v>13</v>
      </c>
      <c r="F663" s="12" t="str">
        <f>IFERROR(__xludf.DUMMYFUNCTION("GOOGLETRANSLATE(B663,""zh_cn"",""vi"")"),"gần")</f>
        <v>gần</v>
      </c>
      <c r="G663" s="20" t="s">
        <v>8563</v>
      </c>
      <c r="H663" s="6"/>
      <c r="I663" s="11" t="b">
        <f t="shared" si="2"/>
        <v>0</v>
      </c>
      <c r="J663" s="24"/>
      <c r="K663" s="11" t="b">
        <f t="shared" si="3"/>
        <v>0</v>
      </c>
    </row>
    <row r="664" ht="22.5" customHeight="1">
      <c r="A664" s="12">
        <f t="shared" si="4"/>
        <v>2662</v>
      </c>
      <c r="B664" s="30" t="s">
        <v>8564</v>
      </c>
      <c r="C664" s="7" t="str">
        <f t="shared" si="5"/>
        <v>🔊</v>
      </c>
      <c r="D664" s="8" t="s">
        <v>4724</v>
      </c>
      <c r="E664" s="6" t="s">
        <v>47</v>
      </c>
      <c r="F664" s="12" t="str">
        <f>IFERROR(__xludf.DUMMYFUNCTION("GOOGLETRANSLATE(B664,""zh_cn"",""vi"")"),"ngũ cốc")</f>
        <v>ngũ cốc</v>
      </c>
      <c r="G664" s="20" t="s">
        <v>8565</v>
      </c>
      <c r="H664" s="6"/>
      <c r="I664" s="11" t="b">
        <f t="shared" si="2"/>
        <v>0</v>
      </c>
      <c r="J664" s="24"/>
      <c r="K664" s="11" t="b">
        <f t="shared" si="3"/>
        <v>0</v>
      </c>
    </row>
    <row r="665" ht="22.5" customHeight="1">
      <c r="A665" s="12">
        <f t="shared" si="4"/>
        <v>2663</v>
      </c>
      <c r="B665" s="30" t="s">
        <v>8566</v>
      </c>
      <c r="C665" s="7" t="str">
        <f t="shared" si="5"/>
        <v>🔊</v>
      </c>
      <c r="D665" s="8" t="s">
        <v>8567</v>
      </c>
      <c r="E665" s="6" t="s">
        <v>13</v>
      </c>
      <c r="F665" s="12" t="str">
        <f>IFERROR(__xludf.DUMMYFUNCTION("GOOGLETRANSLATE(B665,""zh_cn"",""vi"")"),"vượt qua")</f>
        <v>vượt qua</v>
      </c>
      <c r="G665" s="20" t="s">
        <v>8568</v>
      </c>
      <c r="H665" s="6"/>
      <c r="I665" s="11" t="b">
        <f t="shared" si="2"/>
        <v>0</v>
      </c>
      <c r="J665" s="24"/>
      <c r="K665" s="11" t="b">
        <f t="shared" si="3"/>
        <v>0</v>
      </c>
    </row>
    <row r="666" ht="22.5" customHeight="1">
      <c r="A666" s="12">
        <f t="shared" si="4"/>
        <v>2664</v>
      </c>
      <c r="B666" s="30" t="s">
        <v>8569</v>
      </c>
      <c r="C666" s="7" t="str">
        <f t="shared" si="5"/>
        <v>🔊</v>
      </c>
      <c r="D666" s="8" t="s">
        <v>8567</v>
      </c>
      <c r="E666" s="6" t="s">
        <v>99</v>
      </c>
      <c r="F666" s="12" t="str">
        <f>IFERROR(__xludf.DUMMYFUNCTION("GOOGLETRANSLATE(B666,""zh_cn"",""vi"")"),"dịch vụ khách hàng")</f>
        <v>dịch vụ khách hàng</v>
      </c>
      <c r="G666" s="20" t="s">
        <v>8570</v>
      </c>
      <c r="H666" s="6"/>
      <c r="I666" s="11" t="b">
        <f t="shared" si="2"/>
        <v>0</v>
      </c>
      <c r="J666" s="24"/>
      <c r="K666" s="11" t="b">
        <f t="shared" si="3"/>
        <v>0</v>
      </c>
    </row>
    <row r="667" ht="22.5" customHeight="1">
      <c r="A667" s="12">
        <f t="shared" si="4"/>
        <v>2665</v>
      </c>
      <c r="B667" s="30" t="s">
        <v>8571</v>
      </c>
      <c r="C667" s="7" t="str">
        <f t="shared" si="5"/>
        <v>🔊</v>
      </c>
      <c r="D667" s="8" t="s">
        <v>8572</v>
      </c>
      <c r="E667" s="6" t="s">
        <v>99</v>
      </c>
      <c r="F667" s="12" t="str">
        <f>IFERROR(__xludf.DUMMYFUNCTION("GOOGLETRANSLATE(B667,""zh_cn"",""vi"")"),"khách quan")</f>
        <v>khách quan</v>
      </c>
      <c r="G667" s="20" t="s">
        <v>8573</v>
      </c>
      <c r="H667" s="6"/>
      <c r="I667" s="11" t="b">
        <f t="shared" si="2"/>
        <v>0</v>
      </c>
      <c r="J667" s="24"/>
      <c r="K667" s="11" t="b">
        <f t="shared" si="3"/>
        <v>0</v>
      </c>
    </row>
    <row r="668" ht="22.5" customHeight="1">
      <c r="A668" s="12">
        <f t="shared" si="4"/>
        <v>2666</v>
      </c>
      <c r="B668" s="30" t="s">
        <v>8574</v>
      </c>
      <c r="C668" s="7" t="str">
        <f t="shared" si="5"/>
        <v>🔊</v>
      </c>
      <c r="D668" s="8" t="s">
        <v>8575</v>
      </c>
      <c r="E668" s="6" t="s">
        <v>27</v>
      </c>
      <c r="F668" s="12" t="str">
        <f>IFERROR(__xludf.DUMMYFUNCTION("GOOGLETRANSLATE(B668,""zh_cn"",""vi"")"),"khách hàng")</f>
        <v>khách hàng</v>
      </c>
      <c r="G668" s="20" t="s">
        <v>8576</v>
      </c>
      <c r="H668" s="6"/>
      <c r="I668" s="11" t="b">
        <f t="shared" si="2"/>
        <v>0</v>
      </c>
      <c r="J668" s="24"/>
      <c r="K668" s="11" t="b">
        <f t="shared" si="3"/>
        <v>0</v>
      </c>
    </row>
    <row r="669" ht="22.5" customHeight="1">
      <c r="A669" s="12">
        <f t="shared" si="4"/>
        <v>2667</v>
      </c>
      <c r="B669" s="30" t="s">
        <v>8577</v>
      </c>
      <c r="C669" s="7" t="str">
        <f t="shared" si="5"/>
        <v>🔊</v>
      </c>
      <c r="D669" s="8" t="s">
        <v>8578</v>
      </c>
      <c r="E669" s="6" t="s">
        <v>1132</v>
      </c>
      <c r="F669" s="12" t="str">
        <f>IFERROR(__xludf.DUMMYFUNCTION("GOOGLETRANSLATE(B669,""zh_cn"",""vi"")"),"dễ thấy")</f>
        <v>dễ thấy</v>
      </c>
      <c r="G669" s="20" t="s">
        <v>8579</v>
      </c>
      <c r="H669" s="6"/>
      <c r="I669" s="11" t="b">
        <f t="shared" si="2"/>
        <v>0</v>
      </c>
      <c r="J669" s="24"/>
      <c r="K669" s="11" t="b">
        <f t="shared" si="3"/>
        <v>0</v>
      </c>
    </row>
    <row r="670" ht="22.5" customHeight="1">
      <c r="A670" s="12">
        <f t="shared" si="4"/>
        <v>2668</v>
      </c>
      <c r="B670" s="30" t="s">
        <v>8580</v>
      </c>
      <c r="C670" s="7" t="str">
        <f t="shared" si="5"/>
        <v>🔊</v>
      </c>
      <c r="D670" s="8" t="s">
        <v>8581</v>
      </c>
      <c r="E670" s="6" t="s">
        <v>99</v>
      </c>
      <c r="F670" s="12" t="str">
        <f>IFERROR(__xludf.DUMMYFUNCTION("GOOGLETRANSLATE(B670,""zh_cn"",""vi"")"),"đáng tin cậy")</f>
        <v>đáng tin cậy</v>
      </c>
      <c r="G670" s="20" t="s">
        <v>8582</v>
      </c>
      <c r="H670" s="6"/>
      <c r="I670" s="11" t="b">
        <f t="shared" si="2"/>
        <v>0</v>
      </c>
      <c r="J670" s="24"/>
      <c r="K670" s="11" t="b">
        <f t="shared" si="3"/>
        <v>0</v>
      </c>
    </row>
    <row r="671" ht="22.5" customHeight="1">
      <c r="A671" s="12">
        <f t="shared" si="4"/>
        <v>2669</v>
      </c>
      <c r="B671" s="30" t="s">
        <v>8583</v>
      </c>
      <c r="C671" s="7" t="str">
        <f t="shared" si="5"/>
        <v>🔊</v>
      </c>
      <c r="D671" s="8" t="s">
        <v>8584</v>
      </c>
      <c r="E671" s="6" t="s">
        <v>99</v>
      </c>
      <c r="F671" s="12" t="str">
        <f>IFERROR(__xludf.DUMMYFUNCTION("GOOGLETRANSLATE(B671,""zh_cn"",""vi"")"),"tệ hại")</f>
        <v>tệ hại</v>
      </c>
      <c r="G671" s="20" t="s">
        <v>8585</v>
      </c>
      <c r="H671" s="6"/>
      <c r="I671" s="11" t="b">
        <f t="shared" si="2"/>
        <v>0</v>
      </c>
      <c r="J671" s="24"/>
      <c r="K671" s="11" t="b">
        <f t="shared" si="3"/>
        <v>0</v>
      </c>
    </row>
    <row r="672" ht="22.5" customHeight="1">
      <c r="A672" s="12">
        <f t="shared" si="4"/>
        <v>2670</v>
      </c>
      <c r="B672" s="30" t="s">
        <v>8586</v>
      </c>
      <c r="C672" s="7" t="str">
        <f t="shared" si="5"/>
        <v>🔊</v>
      </c>
      <c r="D672" s="8" t="s">
        <v>8587</v>
      </c>
      <c r="E672" s="6" t="s">
        <v>13</v>
      </c>
      <c r="F672" s="12" t="str">
        <f>IFERROR(__xludf.DUMMYFUNCTION("GOOGLETRANSLATE(B672,""zh_cn"",""vi"")"),"nghiên cứu")</f>
        <v>nghiên cứu</v>
      </c>
      <c r="G672" s="20" t="s">
        <v>8588</v>
      </c>
      <c r="H672" s="6"/>
      <c r="I672" s="11" t="b">
        <f t="shared" si="2"/>
        <v>0</v>
      </c>
      <c r="J672" s="24"/>
      <c r="K672" s="11" t="b">
        <f t="shared" si="3"/>
        <v>0</v>
      </c>
    </row>
    <row r="673" ht="22.5" customHeight="1">
      <c r="A673" s="12">
        <f t="shared" si="4"/>
        <v>2671</v>
      </c>
      <c r="B673" s="30" t="s">
        <v>8589</v>
      </c>
      <c r="C673" s="7" t="str">
        <f t="shared" si="5"/>
        <v>🔊</v>
      </c>
      <c r="D673" s="8" t="s">
        <v>8590</v>
      </c>
      <c r="E673" s="6" t="s">
        <v>27</v>
      </c>
      <c r="F673" s="12" t="str">
        <f>IFERROR(__xludf.DUMMYFUNCTION("GOOGLETRANSLATE(B673,""zh_cn"",""vi"")"),"không gian")</f>
        <v>không gian</v>
      </c>
      <c r="G673" s="20" t="s">
        <v>8591</v>
      </c>
      <c r="H673" s="6"/>
      <c r="I673" s="11" t="b">
        <f t="shared" si="2"/>
        <v>0</v>
      </c>
      <c r="J673" s="24"/>
      <c r="K673" s="11" t="b">
        <f t="shared" si="3"/>
        <v>0</v>
      </c>
    </row>
    <row r="674" ht="22.5" customHeight="1">
      <c r="A674" s="12">
        <f t="shared" si="4"/>
        <v>2672</v>
      </c>
      <c r="B674" s="30" t="s">
        <v>8592</v>
      </c>
      <c r="C674" s="7" t="str">
        <f t="shared" si="5"/>
        <v>🔊</v>
      </c>
      <c r="D674" s="8" t="s">
        <v>8593</v>
      </c>
      <c r="E674" s="6" t="s">
        <v>13</v>
      </c>
      <c r="F674" s="12" t="str">
        <f>IFERROR(__xludf.DUMMYFUNCTION("GOOGLETRANSLATE(B674,""zh_cn"",""vi"")"),"điều khiển")</f>
        <v>điều khiển</v>
      </c>
      <c r="G674" s="20" t="s">
        <v>8594</v>
      </c>
      <c r="H674" s="6"/>
      <c r="I674" s="11" t="b">
        <f t="shared" si="2"/>
        <v>0</v>
      </c>
      <c r="J674" s="24"/>
      <c r="K674" s="11" t="b">
        <f t="shared" si="3"/>
        <v>0</v>
      </c>
    </row>
    <row r="675" ht="22.5" customHeight="1">
      <c r="A675" s="12">
        <f t="shared" si="4"/>
        <v>2673</v>
      </c>
      <c r="B675" s="30" t="s">
        <v>8595</v>
      </c>
      <c r="C675" s="7" t="str">
        <f t="shared" si="5"/>
        <v>🔊</v>
      </c>
      <c r="D675" s="8" t="s">
        <v>8596</v>
      </c>
      <c r="E675" s="6" t="s">
        <v>3430</v>
      </c>
      <c r="F675" s="12" t="str">
        <f>IFERROR(__xludf.DUMMYFUNCTION("GOOGLETRANSLATE(B675,""zh_cn"",""vi"")"),"Trên không trung")</f>
        <v>Trên không trung</v>
      </c>
      <c r="G675" s="20" t="s">
        <v>8597</v>
      </c>
      <c r="H675" s="6"/>
      <c r="I675" s="11" t="b">
        <f t="shared" si="2"/>
        <v>0</v>
      </c>
      <c r="J675" s="24"/>
      <c r="K675" s="11" t="b">
        <f t="shared" si="3"/>
        <v>0</v>
      </c>
    </row>
    <row r="676" ht="22.5" customHeight="1">
      <c r="A676" s="12">
        <f t="shared" si="4"/>
        <v>2674</v>
      </c>
      <c r="B676" s="30" t="s">
        <v>8598</v>
      </c>
      <c r="C676" s="7" t="str">
        <f t="shared" si="5"/>
        <v>🔊</v>
      </c>
      <c r="D676" s="8" t="s">
        <v>8599</v>
      </c>
      <c r="E676" s="6" t="s">
        <v>27</v>
      </c>
      <c r="F676" s="12" t="str">
        <f>IFERROR(__xludf.DUMMYFUNCTION("GOOGLETRANSLATE(B676,""zh_cn"",""vi"")"),"túi")</f>
        <v>túi</v>
      </c>
      <c r="G676" s="20" t="s">
        <v>8600</v>
      </c>
      <c r="H676" s="6"/>
      <c r="I676" s="11" t="b">
        <f t="shared" si="2"/>
        <v>0</v>
      </c>
      <c r="J676" s="24"/>
      <c r="K676" s="11" t="b">
        <f t="shared" si="3"/>
        <v>0</v>
      </c>
    </row>
    <row r="677" ht="22.5" customHeight="1">
      <c r="A677" s="12">
        <f t="shared" si="4"/>
        <v>2675</v>
      </c>
      <c r="B677" s="30" t="s">
        <v>8601</v>
      </c>
      <c r="C677" s="7" t="str">
        <f t="shared" si="5"/>
        <v>🔊</v>
      </c>
      <c r="D677" s="8" t="s">
        <v>8602</v>
      </c>
      <c r="E677" s="6" t="s">
        <v>27</v>
      </c>
      <c r="F677" s="12" t="str">
        <f>IFERROR(__xludf.DUMMYFUNCTION("GOOGLETRANSLATE(B677,""zh_cn"",""vi"")"),"nếm")</f>
        <v>nếm</v>
      </c>
      <c r="G677" s="20" t="s">
        <v>8603</v>
      </c>
      <c r="H677" s="6"/>
      <c r="I677" s="11" t="b">
        <f t="shared" si="2"/>
        <v>0</v>
      </c>
      <c r="J677" s="24"/>
      <c r="K677" s="11" t="b">
        <f t="shared" si="3"/>
        <v>0</v>
      </c>
    </row>
    <row r="678" ht="22.5" customHeight="1">
      <c r="A678" s="12">
        <f t="shared" si="4"/>
        <v>2676</v>
      </c>
      <c r="B678" s="30" t="s">
        <v>8604</v>
      </c>
      <c r="C678" s="7" t="str">
        <f t="shared" si="5"/>
        <v>🔊</v>
      </c>
      <c r="D678" s="8" t="s">
        <v>8605</v>
      </c>
      <c r="E678" s="6" t="s">
        <v>27</v>
      </c>
      <c r="F678" s="12" t="str">
        <f>IFERROR(__xludf.DUMMYFUNCTION("GOOGLETRANSLATE(B678,""zh_cn"",""vi"")"),"Thư viện")</f>
        <v>Thư viện</v>
      </c>
      <c r="G678" s="20" t="s">
        <v>8606</v>
      </c>
      <c r="H678" s="6"/>
      <c r="I678" s="11" t="b">
        <f t="shared" si="2"/>
        <v>0</v>
      </c>
      <c r="J678" s="24"/>
      <c r="K678" s="11" t="b">
        <f t="shared" si="3"/>
        <v>0</v>
      </c>
    </row>
    <row r="679" ht="22.5" customHeight="1">
      <c r="A679" s="12">
        <f t="shared" si="4"/>
        <v>2677</v>
      </c>
      <c r="B679" s="30" t="s">
        <v>8607</v>
      </c>
      <c r="C679" s="7" t="str">
        <f t="shared" si="5"/>
        <v>🔊</v>
      </c>
      <c r="D679" s="8" t="s">
        <v>8608</v>
      </c>
      <c r="E679" s="6" t="s">
        <v>8609</v>
      </c>
      <c r="F679" s="12" t="str">
        <f>IFERROR(__xludf.DUMMYFUNCTION("GOOGLETRANSLATE(B679,""zh_cn"",""vi"")"),"Chiều rộng")</f>
        <v>Chiều rộng</v>
      </c>
      <c r="G679" s="20" t="s">
        <v>8610</v>
      </c>
      <c r="H679" s="6"/>
      <c r="I679" s="11" t="b">
        <f t="shared" si="2"/>
        <v>0</v>
      </c>
      <c r="J679" s="24"/>
      <c r="K679" s="11" t="b">
        <f t="shared" si="3"/>
        <v>0</v>
      </c>
    </row>
    <row r="680" ht="22.5" customHeight="1">
      <c r="A680" s="12">
        <f t="shared" si="4"/>
        <v>2678</v>
      </c>
      <c r="B680" s="30" t="s">
        <v>8611</v>
      </c>
      <c r="C680" s="7" t="str">
        <f t="shared" si="5"/>
        <v>🔊</v>
      </c>
      <c r="D680" s="8" t="s">
        <v>8612</v>
      </c>
      <c r="E680" s="6" t="s">
        <v>27</v>
      </c>
      <c r="F680" s="12" t="str">
        <f>IFERROR(__xludf.DUMMYFUNCTION("GOOGLETRANSLATE(B680,""zh_cn"",""vi"")"),"chiều rộng")</f>
        <v>chiều rộng</v>
      </c>
      <c r="G680" s="20" t="s">
        <v>8613</v>
      </c>
      <c r="H680" s="6"/>
      <c r="I680" s="11" t="b">
        <f t="shared" si="2"/>
        <v>0</v>
      </c>
      <c r="J680" s="24"/>
      <c r="K680" s="11" t="b">
        <f t="shared" si="3"/>
        <v>0</v>
      </c>
    </row>
    <row r="681" ht="22.5" customHeight="1">
      <c r="A681" s="12">
        <f t="shared" si="4"/>
        <v>2679</v>
      </c>
      <c r="B681" s="30" t="s">
        <v>8614</v>
      </c>
      <c r="C681" s="7" t="str">
        <f t="shared" si="5"/>
        <v>🔊</v>
      </c>
      <c r="D681" s="8" t="s">
        <v>8615</v>
      </c>
      <c r="E681" s="6" t="s">
        <v>13</v>
      </c>
      <c r="F681" s="12" t="str">
        <f>IFERROR(__xludf.DUMMYFUNCTION("GOOGLETRANSLATE(B681,""zh_cn"",""vi"")"),"thâm hụt")</f>
        <v>thâm hụt</v>
      </c>
      <c r="G681" s="20" t="s">
        <v>8616</v>
      </c>
      <c r="H681" s="6"/>
      <c r="I681" s="11" t="b">
        <f t="shared" si="2"/>
        <v>0</v>
      </c>
      <c r="J681" s="24"/>
      <c r="K681" s="11" t="b">
        <f t="shared" si="3"/>
        <v>0</v>
      </c>
    </row>
    <row r="682" ht="22.5" customHeight="1">
      <c r="A682" s="12">
        <f t="shared" si="4"/>
        <v>2680</v>
      </c>
      <c r="B682" s="30" t="s">
        <v>8617</v>
      </c>
      <c r="C682" s="7" t="str">
        <f t="shared" si="5"/>
        <v>🔊</v>
      </c>
      <c r="D682" s="8" t="s">
        <v>8618</v>
      </c>
      <c r="E682" s="6" t="s">
        <v>27</v>
      </c>
      <c r="F682" s="12" t="str">
        <f>IFERROR(__xludf.DUMMYFUNCTION("GOOGLETRANSLATE(B682,""zh_cn"",""vi"")"),"côn trùng")</f>
        <v>côn trùng</v>
      </c>
      <c r="G682" s="20" t="s">
        <v>8619</v>
      </c>
      <c r="H682" s="6"/>
      <c r="I682" s="11" t="b">
        <f t="shared" si="2"/>
        <v>0</v>
      </c>
      <c r="J682" s="24"/>
      <c r="K682" s="11" t="b">
        <f t="shared" si="3"/>
        <v>0</v>
      </c>
    </row>
    <row r="683" ht="22.5" customHeight="1">
      <c r="A683" s="12">
        <f t="shared" si="4"/>
        <v>2681</v>
      </c>
      <c r="B683" s="30" t="s">
        <v>8620</v>
      </c>
      <c r="C683" s="7" t="str">
        <f t="shared" si="5"/>
        <v>🔊</v>
      </c>
      <c r="D683" s="8" t="s">
        <v>8621</v>
      </c>
      <c r="E683" s="6" t="s">
        <v>13</v>
      </c>
      <c r="F683" s="12" t="str">
        <f>IFERROR(__xludf.DUMMYFUNCTION("GOOGLETRANSLATE(B683,""zh_cn"",""vi"")"),"mở rộng")</f>
        <v>mở rộng</v>
      </c>
      <c r="G683" s="20" t="s">
        <v>8622</v>
      </c>
      <c r="H683" s="6"/>
      <c r="I683" s="11" t="b">
        <f t="shared" si="2"/>
        <v>0</v>
      </c>
      <c r="J683" s="24"/>
      <c r="K683" s="11" t="b">
        <f t="shared" si="3"/>
        <v>0</v>
      </c>
    </row>
    <row r="684" ht="22.5" customHeight="1">
      <c r="A684" s="12">
        <f t="shared" si="4"/>
        <v>2682</v>
      </c>
      <c r="B684" s="30" t="s">
        <v>8623</v>
      </c>
      <c r="C684" s="7" t="str">
        <f t="shared" si="5"/>
        <v>🔊</v>
      </c>
      <c r="D684" s="8" t="s">
        <v>8624</v>
      </c>
      <c r="E684" s="6" t="s">
        <v>57</v>
      </c>
      <c r="F684" s="12" t="str">
        <f>IFERROR(__xludf.DUMMYFUNCTION("GOOGLETRANSLATE(B684,""zh_cn"",""vi"")"),"nguồn")</f>
        <v>nguồn</v>
      </c>
      <c r="G684" s="20" t="s">
        <v>8625</v>
      </c>
      <c r="H684" s="6"/>
      <c r="I684" s="11" t="b">
        <f t="shared" si="2"/>
        <v>0</v>
      </c>
      <c r="J684" s="24"/>
      <c r="K684" s="11" t="b">
        <f t="shared" si="3"/>
        <v>0</v>
      </c>
    </row>
    <row r="685" ht="22.5" customHeight="1">
      <c r="A685" s="12">
        <f t="shared" si="4"/>
        <v>2683</v>
      </c>
      <c r="B685" s="30" t="s">
        <v>8626</v>
      </c>
      <c r="C685" s="7" t="str">
        <f t="shared" si="5"/>
        <v>🔊</v>
      </c>
      <c r="D685" s="8" t="s">
        <v>8627</v>
      </c>
      <c r="E685" s="6" t="s">
        <v>27</v>
      </c>
      <c r="F685" s="12" t="str">
        <f>IFERROR(__xludf.DUMMYFUNCTION("GOOGLETRANSLATE(B685,""zh_cn"",""vi"")"),"người dân thường")</f>
        <v>người dân thường</v>
      </c>
      <c r="G685" s="20" t="s">
        <v>8628</v>
      </c>
      <c r="H685" s="6"/>
      <c r="I685" s="11" t="b">
        <f t="shared" si="2"/>
        <v>0</v>
      </c>
      <c r="J685" s="24"/>
      <c r="K685" s="11" t="b">
        <f t="shared" si="3"/>
        <v>0</v>
      </c>
    </row>
    <row r="686" ht="22.5" customHeight="1">
      <c r="A686" s="12">
        <f t="shared" si="4"/>
        <v>2684</v>
      </c>
      <c r="B686" s="30" t="s">
        <v>8629</v>
      </c>
      <c r="C686" s="7" t="str">
        <f t="shared" si="5"/>
        <v>🔊</v>
      </c>
      <c r="D686" s="8" t="s">
        <v>8630</v>
      </c>
      <c r="E686" s="6" t="s">
        <v>27</v>
      </c>
      <c r="F686" s="12" t="str">
        <f>IFERROR(__xludf.DUMMYFUNCTION("GOOGLETRANSLATE(B686,""zh_cn"",""vi"")"),"ông chủ")</f>
        <v>ông chủ</v>
      </c>
      <c r="G686" s="20" t="s">
        <v>8631</v>
      </c>
      <c r="H686" s="6"/>
      <c r="I686" s="11" t="b">
        <f t="shared" si="2"/>
        <v>0</v>
      </c>
      <c r="J686" s="24"/>
      <c r="K686" s="11" t="b">
        <f t="shared" si="3"/>
        <v>0</v>
      </c>
    </row>
    <row r="687" ht="22.5" customHeight="1">
      <c r="A687" s="12">
        <f t="shared" si="4"/>
        <v>2685</v>
      </c>
      <c r="B687" s="30" t="s">
        <v>8632</v>
      </c>
      <c r="C687" s="7" t="str">
        <f t="shared" si="5"/>
        <v>🔊</v>
      </c>
      <c r="D687" s="8" t="s">
        <v>8633</v>
      </c>
      <c r="E687" s="6" t="s">
        <v>57</v>
      </c>
      <c r="F687" s="12" t="str">
        <f>IFERROR(__xludf.DUMMYFUNCTION("GOOGLETRANSLATE(B687,""zh_cn"",""vi"")"),"nhân công")</f>
        <v>nhân công</v>
      </c>
      <c r="G687" s="20" t="s">
        <v>8634</v>
      </c>
      <c r="H687" s="6"/>
      <c r="I687" s="11" t="b">
        <f t="shared" si="2"/>
        <v>0</v>
      </c>
      <c r="J687" s="24"/>
      <c r="K687" s="11" t="b">
        <f t="shared" si="3"/>
        <v>0</v>
      </c>
    </row>
    <row r="688" ht="22.5" customHeight="1">
      <c r="A688" s="12">
        <f t="shared" si="4"/>
        <v>2686</v>
      </c>
      <c r="B688" s="30" t="s">
        <v>8635</v>
      </c>
      <c r="C688" s="7" t="str">
        <f t="shared" si="5"/>
        <v>🔊</v>
      </c>
      <c r="D688" s="8" t="s">
        <v>8636</v>
      </c>
      <c r="E688" s="6" t="s">
        <v>27</v>
      </c>
      <c r="F688" s="12" t="str">
        <f>IFERROR(__xludf.DUMMYFUNCTION("GOOGLETRANSLATE(B688,""zh_cn"",""vi"")"),"chồng")</f>
        <v>chồng</v>
      </c>
      <c r="G688" s="20" t="s">
        <v>8637</v>
      </c>
      <c r="H688" s="6"/>
      <c r="I688" s="11" t="b">
        <f t="shared" si="2"/>
        <v>0</v>
      </c>
      <c r="J688" s="24"/>
      <c r="K688" s="11" t="b">
        <f t="shared" si="3"/>
        <v>0</v>
      </c>
    </row>
    <row r="689" ht="22.5" customHeight="1">
      <c r="A689" s="12">
        <f t="shared" si="4"/>
        <v>2687</v>
      </c>
      <c r="B689" s="30" t="s">
        <v>8638</v>
      </c>
      <c r="C689" s="7" t="str">
        <f t="shared" si="5"/>
        <v>🔊</v>
      </c>
      <c r="D689" s="8" t="s">
        <v>8639</v>
      </c>
      <c r="E689" s="6" t="s">
        <v>27</v>
      </c>
      <c r="F689" s="12" t="str">
        <f>IFERROR(__xludf.DUMMYFUNCTION("GOOGLETRANSLATE(B689,""zh_cn"",""vi"")"),"Bà")</f>
        <v>Bà</v>
      </c>
      <c r="G689" s="20" t="s">
        <v>8640</v>
      </c>
      <c r="H689" s="6"/>
      <c r="I689" s="11" t="b">
        <f t="shared" si="2"/>
        <v>0</v>
      </c>
      <c r="J689" s="24"/>
      <c r="K689" s="11" t="b">
        <f t="shared" si="3"/>
        <v>0</v>
      </c>
    </row>
    <row r="690" ht="22.5" customHeight="1">
      <c r="A690" s="12">
        <f t="shared" si="4"/>
        <v>2688</v>
      </c>
      <c r="B690" s="30" t="s">
        <v>8641</v>
      </c>
      <c r="C690" s="7" t="str">
        <f t="shared" si="5"/>
        <v>🔊</v>
      </c>
      <c r="D690" s="8" t="s">
        <v>8642</v>
      </c>
      <c r="E690" s="6" t="s">
        <v>27</v>
      </c>
      <c r="F690" s="12" t="str">
        <f>IFERROR(__xludf.DUMMYFUNCTION("GOOGLETRANSLATE(B690,""zh_cn"",""vi"")"),"Vợ")</f>
        <v>Vợ</v>
      </c>
      <c r="G690" s="20" t="s">
        <v>8643</v>
      </c>
      <c r="H690" s="6"/>
      <c r="I690" s="11" t="b">
        <f t="shared" si="2"/>
        <v>0</v>
      </c>
      <c r="J690" s="24"/>
      <c r="K690" s="11" t="b">
        <f t="shared" si="3"/>
        <v>0</v>
      </c>
    </row>
    <row r="691" ht="22.5" customHeight="1">
      <c r="A691" s="12">
        <f t="shared" si="4"/>
        <v>2689</v>
      </c>
      <c r="B691" s="30" t="s">
        <v>8644</v>
      </c>
      <c r="C691" s="7" t="str">
        <f t="shared" si="5"/>
        <v>🔊</v>
      </c>
      <c r="D691" s="8" t="s">
        <v>8645</v>
      </c>
      <c r="E691" s="6" t="s">
        <v>27</v>
      </c>
      <c r="F691" s="12" t="str">
        <f>IFERROR(__xludf.DUMMYFUNCTION("GOOGLETRANSLATE(B691,""zh_cn"",""vi"")"),"Ông nội")</f>
        <v>Ông nội</v>
      </c>
      <c r="G691" s="20" t="s">
        <v>8646</v>
      </c>
      <c r="H691" s="6"/>
      <c r="I691" s="11" t="b">
        <f t="shared" si="2"/>
        <v>0</v>
      </c>
      <c r="J691" s="24"/>
      <c r="K691" s="11" t="b">
        <f t="shared" si="3"/>
        <v>0</v>
      </c>
    </row>
    <row r="692" ht="22.5" customHeight="1">
      <c r="A692" s="12">
        <f t="shared" si="4"/>
        <v>2690</v>
      </c>
      <c r="B692" s="30" t="s">
        <v>8647</v>
      </c>
      <c r="C692" s="7" t="str">
        <f t="shared" si="5"/>
        <v>🔊</v>
      </c>
      <c r="D692" s="8" t="s">
        <v>8648</v>
      </c>
      <c r="E692" s="6" t="s">
        <v>99</v>
      </c>
      <c r="F692" s="12" t="str">
        <f>IFERROR(__xludf.DUMMYFUNCTION("GOOGLETRANSLATE(B692,""zh_cn"",""vi"")"),"lạc quan")</f>
        <v>lạc quan</v>
      </c>
      <c r="G692" s="20" t="s">
        <v>8649</v>
      </c>
      <c r="H692" s="6"/>
      <c r="I692" s="11" t="b">
        <f t="shared" si="2"/>
        <v>0</v>
      </c>
      <c r="J692" s="24"/>
      <c r="K692" s="11" t="b">
        <f t="shared" si="3"/>
        <v>0</v>
      </c>
    </row>
    <row r="693" ht="22.5" customHeight="1">
      <c r="A693" s="12">
        <f t="shared" si="4"/>
        <v>2691</v>
      </c>
      <c r="B693" s="30" t="s">
        <v>8650</v>
      </c>
      <c r="C693" s="7" t="str">
        <f t="shared" si="5"/>
        <v>🔊</v>
      </c>
      <c r="D693" s="8" t="s">
        <v>1325</v>
      </c>
      <c r="E693" s="6" t="s">
        <v>27</v>
      </c>
      <c r="F693" s="12" t="str">
        <f>IFERROR(__xludf.DUMMYFUNCTION("GOOGLETRANSLATE(B693,""zh_cn"",""vi"")"),"xé")</f>
        <v>xé</v>
      </c>
      <c r="G693" s="20" t="s">
        <v>8651</v>
      </c>
      <c r="H693" s="6"/>
      <c r="I693" s="11" t="b">
        <f t="shared" si="2"/>
        <v>0</v>
      </c>
      <c r="J693" s="24"/>
      <c r="K693" s="11" t="b">
        <f t="shared" si="3"/>
        <v>0</v>
      </c>
    </row>
    <row r="694" ht="22.5" customHeight="1">
      <c r="A694" s="12">
        <f t="shared" si="4"/>
        <v>2692</v>
      </c>
      <c r="B694" s="30" t="s">
        <v>8652</v>
      </c>
      <c r="C694" s="7" t="str">
        <f t="shared" si="5"/>
        <v>🔊</v>
      </c>
      <c r="D694" s="8" t="s">
        <v>1325</v>
      </c>
      <c r="E694" s="6" t="s">
        <v>259</v>
      </c>
      <c r="F694" s="12" t="str">
        <f>IFERROR(__xludf.DUMMYFUNCTION("GOOGLETRANSLATE(B694,""zh_cn"",""vi"")"),"loại")</f>
        <v>loại</v>
      </c>
      <c r="G694" s="20" t="s">
        <v>8653</v>
      </c>
      <c r="H694" s="6"/>
      <c r="I694" s="11" t="b">
        <f t="shared" si="2"/>
        <v>0</v>
      </c>
      <c r="J694" s="24"/>
      <c r="K694" s="11" t="b">
        <f t="shared" si="3"/>
        <v>0</v>
      </c>
    </row>
    <row r="695" ht="22.5" customHeight="1">
      <c r="A695" s="12">
        <f t="shared" si="4"/>
        <v>2693</v>
      </c>
      <c r="B695" s="30" t="s">
        <v>8654</v>
      </c>
      <c r="C695" s="7" t="str">
        <f t="shared" si="5"/>
        <v>🔊</v>
      </c>
      <c r="D695" s="8" t="s">
        <v>8655</v>
      </c>
      <c r="E695" s="6" t="s">
        <v>27</v>
      </c>
      <c r="F695" s="12" t="str">
        <f>IFERROR(__xludf.DUMMYFUNCTION("GOOGLETRANSLATE(B695,""zh_cn"",""vi"")"),"Nước mắt")</f>
        <v>Nước mắt</v>
      </c>
      <c r="G695" s="20" t="s">
        <v>8656</v>
      </c>
      <c r="H695" s="6"/>
      <c r="I695" s="11" t="b">
        <f t="shared" si="2"/>
        <v>0</v>
      </c>
      <c r="J695" s="24"/>
      <c r="K695" s="11" t="b">
        <f t="shared" si="3"/>
        <v>0</v>
      </c>
    </row>
    <row r="696" ht="22.5" customHeight="1">
      <c r="A696" s="12">
        <f t="shared" si="4"/>
        <v>2694</v>
      </c>
      <c r="B696" s="30" t="s">
        <v>8657</v>
      </c>
      <c r="C696" s="7" t="str">
        <f t="shared" si="5"/>
        <v>🔊</v>
      </c>
      <c r="D696" s="8" t="s">
        <v>8658</v>
      </c>
      <c r="E696" s="6" t="s">
        <v>13</v>
      </c>
      <c r="F696" s="12" t="str">
        <f>IFERROR(__xludf.DUMMYFUNCTION("GOOGLETRANSLATE(B696,""zh_cn"",""vi"")"),"tương tự")</f>
        <v>tương tự</v>
      </c>
      <c r="G696" s="20" t="s">
        <v>8659</v>
      </c>
      <c r="H696" s="6"/>
      <c r="I696" s="11" t="b">
        <f t="shared" si="2"/>
        <v>0</v>
      </c>
      <c r="J696" s="24"/>
      <c r="K696" s="11" t="b">
        <f t="shared" si="3"/>
        <v>0</v>
      </c>
    </row>
    <row r="697" ht="22.5" customHeight="1">
      <c r="A697" s="12">
        <f t="shared" si="4"/>
        <v>2695</v>
      </c>
      <c r="B697" s="30" t="s">
        <v>8660</v>
      </c>
      <c r="C697" s="7" t="str">
        <f t="shared" si="5"/>
        <v>🔊</v>
      </c>
      <c r="D697" s="8" t="s">
        <v>8661</v>
      </c>
      <c r="E697" s="6" t="s">
        <v>27</v>
      </c>
      <c r="F697" s="12" t="str">
        <f>IFERROR(__xludf.DUMMYFUNCTION("GOOGLETRANSLATE(B697,""zh_cn"",""vi"")"),"kiểu")</f>
        <v>kiểu</v>
      </c>
      <c r="G697" s="20" t="s">
        <v>8662</v>
      </c>
      <c r="H697" s="6"/>
      <c r="I697" s="11" t="b">
        <f t="shared" si="2"/>
        <v>0</v>
      </c>
      <c r="J697" s="24"/>
      <c r="K697" s="11" t="b">
        <f t="shared" si="3"/>
        <v>0</v>
      </c>
    </row>
    <row r="698" ht="22.5" customHeight="1">
      <c r="A698" s="12">
        <f t="shared" si="4"/>
        <v>2696</v>
      </c>
      <c r="B698" s="30" t="s">
        <v>8663</v>
      </c>
      <c r="C698" s="7" t="str">
        <f t="shared" si="5"/>
        <v>🔊</v>
      </c>
      <c r="D698" s="8" t="s">
        <v>8664</v>
      </c>
      <c r="E698" s="6" t="s">
        <v>27</v>
      </c>
      <c r="F698" s="12" t="str">
        <f>IFERROR(__xludf.DUMMYFUNCTION("GOOGLETRANSLATE(B698,""zh_cn"",""vi"")"),"vinh hạnh")</f>
        <v>vinh hạnh</v>
      </c>
      <c r="G698" s="20" t="s">
        <v>8665</v>
      </c>
      <c r="H698" s="6"/>
      <c r="I698" s="11" t="b">
        <f t="shared" si="2"/>
        <v>0</v>
      </c>
      <c r="J698" s="24"/>
      <c r="K698" s="11" t="b">
        <f t="shared" si="3"/>
        <v>0</v>
      </c>
    </row>
    <row r="699" ht="22.5" customHeight="1">
      <c r="A699" s="12">
        <f t="shared" si="4"/>
        <v>2697</v>
      </c>
      <c r="B699" s="30" t="s">
        <v>8666</v>
      </c>
      <c r="C699" s="7" t="str">
        <f t="shared" si="5"/>
        <v>🔊</v>
      </c>
      <c r="D699" s="8" t="s">
        <v>1328</v>
      </c>
      <c r="E699" s="6" t="s">
        <v>27</v>
      </c>
      <c r="F699" s="12" t="str">
        <f>IFERROR(__xludf.DUMMYFUNCTION("GOOGLETRANSLATE(B699,""zh_cn"",""vi"")"),"quả lê")</f>
        <v>quả lê</v>
      </c>
      <c r="G699" s="20" t="s">
        <v>8667</v>
      </c>
      <c r="H699" s="6"/>
      <c r="I699" s="11" t="b">
        <f t="shared" si="2"/>
        <v>0</v>
      </c>
      <c r="J699" s="24"/>
      <c r="K699" s="11" t="b">
        <f t="shared" si="3"/>
        <v>0</v>
      </c>
    </row>
    <row r="700" ht="22.5" customHeight="1">
      <c r="A700" s="12">
        <f t="shared" si="4"/>
        <v>2698</v>
      </c>
      <c r="B700" s="30" t="s">
        <v>8668</v>
      </c>
      <c r="C700" s="7" t="str">
        <f t="shared" si="5"/>
        <v>🔊</v>
      </c>
      <c r="D700" s="8" t="s">
        <v>8669</v>
      </c>
      <c r="E700" s="6" t="s">
        <v>52</v>
      </c>
      <c r="F700" s="12" t="str">
        <f>IFERROR(__xludf.DUMMYFUNCTION("GOOGLETRANSLATE(B700,""zh_cn"",""vi"")"),"lực lượng")</f>
        <v>lực lượng</v>
      </c>
      <c r="G700" s="20" t="s">
        <v>8670</v>
      </c>
      <c r="H700" s="6"/>
      <c r="I700" s="11" t="b">
        <f t="shared" si="2"/>
        <v>0</v>
      </c>
      <c r="J700" s="24"/>
      <c r="K700" s="11" t="b">
        <f t="shared" si="3"/>
        <v>0</v>
      </c>
    </row>
    <row r="701" ht="22.5" customHeight="1">
      <c r="A701" s="12">
        <f t="shared" si="4"/>
        <v>2699</v>
      </c>
      <c r="B701" s="30" t="s">
        <v>8671</v>
      </c>
      <c r="C701" s="7" t="str">
        <f t="shared" si="5"/>
        <v>🔊</v>
      </c>
      <c r="D701" s="8" t="s">
        <v>8672</v>
      </c>
      <c r="E701" s="6" t="s">
        <v>232</v>
      </c>
      <c r="F701" s="12" t="str">
        <f>IFERROR(__xludf.DUMMYFUNCTION("GOOGLETRANSLATE(B701,""zh_cn"",""vi"")"),"đang yêu")</f>
        <v>đang yêu</v>
      </c>
      <c r="G701" s="20" t="s">
        <v>8673</v>
      </c>
      <c r="H701" s="6"/>
      <c r="I701" s="11" t="b">
        <f t="shared" si="2"/>
        <v>0</v>
      </c>
      <c r="J701" s="24"/>
      <c r="K701" s="11" t="b">
        <f t="shared" si="3"/>
        <v>0</v>
      </c>
    </row>
    <row r="702" ht="22.5" customHeight="1">
      <c r="A702" s="12">
        <f t="shared" si="4"/>
        <v>2700</v>
      </c>
      <c r="B702" s="30" t="s">
        <v>47</v>
      </c>
      <c r="C702" s="7" t="str">
        <f t="shared" si="5"/>
        <v>🔊</v>
      </c>
      <c r="D702" s="8" t="s">
        <v>2518</v>
      </c>
      <c r="E702" s="6" t="s">
        <v>27</v>
      </c>
      <c r="F702" s="12" t="str">
        <f>IFERROR(__xludf.DUMMYFUNCTION("GOOGLETRANSLATE(B702,""zh_cn"",""vi"")"),"Số lượng")</f>
        <v>Số lượng</v>
      </c>
      <c r="G702" s="20" t="s">
        <v>8674</v>
      </c>
      <c r="H702" s="6"/>
      <c r="I702" s="11" t="b">
        <f t="shared" si="2"/>
        <v>0</v>
      </c>
      <c r="J702" s="24"/>
      <c r="K702" s="11" t="b">
        <f t="shared" si="3"/>
        <v>0</v>
      </c>
    </row>
    <row r="703" ht="22.5" customHeight="1">
      <c r="A703" s="12">
        <f t="shared" si="4"/>
        <v>2701</v>
      </c>
      <c r="B703" s="30" t="s">
        <v>8675</v>
      </c>
      <c r="C703" s="7" t="str">
        <f t="shared" si="5"/>
        <v>🔊</v>
      </c>
      <c r="D703" s="8" t="s">
        <v>8676</v>
      </c>
      <c r="E703" s="6" t="s">
        <v>99</v>
      </c>
      <c r="F703" s="12" t="str">
        <f>IFERROR(__xludf.DUMMYFUNCTION("GOOGLETRANSLATE(B703,""zh_cn"",""vi"")"),"Tốt")</f>
        <v>Tốt</v>
      </c>
      <c r="G703" s="20" t="s">
        <v>8677</v>
      </c>
      <c r="H703" s="6"/>
      <c r="I703" s="11" t="b">
        <f t="shared" si="2"/>
        <v>0</v>
      </c>
      <c r="J703" s="24"/>
      <c r="K703" s="11" t="b">
        <f t="shared" si="3"/>
        <v>0</v>
      </c>
    </row>
    <row r="704" ht="22.5" customHeight="1">
      <c r="A704" s="12">
        <f t="shared" si="4"/>
        <v>2702</v>
      </c>
      <c r="B704" s="30" t="s">
        <v>8678</v>
      </c>
      <c r="C704" s="7" t="str">
        <f t="shared" si="5"/>
        <v>🔊</v>
      </c>
      <c r="D704" s="8" t="s">
        <v>8679</v>
      </c>
      <c r="E704" s="6" t="s">
        <v>27</v>
      </c>
      <c r="F704" s="12" t="str">
        <f>IFERROR(__xludf.DUMMYFUNCTION("GOOGLETRANSLATE(B704,""zh_cn"",""vi"")"),"đồ ăn")</f>
        <v>đồ ăn</v>
      </c>
      <c r="G704" s="20" t="s">
        <v>8680</v>
      </c>
      <c r="H704" s="6"/>
      <c r="I704" s="11" t="b">
        <f t="shared" si="2"/>
        <v>0</v>
      </c>
      <c r="J704" s="24"/>
      <c r="K704" s="11" t="b">
        <f t="shared" si="3"/>
        <v>0</v>
      </c>
    </row>
    <row r="705" ht="22.5" customHeight="1">
      <c r="A705" s="12">
        <f t="shared" si="4"/>
        <v>2703</v>
      </c>
      <c r="B705" s="30" t="s">
        <v>8681</v>
      </c>
      <c r="C705" s="7" t="str">
        <f t="shared" si="5"/>
        <v>🔊</v>
      </c>
      <c r="D705" s="8" t="s">
        <v>8682</v>
      </c>
      <c r="E705" s="6" t="s">
        <v>368</v>
      </c>
      <c r="F705" s="12" t="str">
        <f>IFERROR(__xludf.DUMMYFUNCTION("GOOGLETRANSLATE(B705,""zh_cn"",""vi"")"),"chung")</f>
        <v>chung</v>
      </c>
      <c r="G705" s="20" t="s">
        <v>8683</v>
      </c>
      <c r="H705" s="6"/>
      <c r="I705" s="11" t="b">
        <f t="shared" si="2"/>
        <v>0</v>
      </c>
      <c r="J705" s="24"/>
      <c r="K705" s="11" t="b">
        <f t="shared" si="3"/>
        <v>0</v>
      </c>
    </row>
    <row r="706" ht="22.5" customHeight="1">
      <c r="A706" s="12">
        <f t="shared" si="4"/>
        <v>2704</v>
      </c>
      <c r="B706" s="30" t="s">
        <v>8684</v>
      </c>
      <c r="C706" s="7" t="str">
        <f t="shared" si="5"/>
        <v>🔊</v>
      </c>
      <c r="D706" s="8" t="s">
        <v>8685</v>
      </c>
      <c r="E706" s="6" t="s">
        <v>13</v>
      </c>
      <c r="F706" s="12" t="str">
        <f>IFERROR(__xludf.DUMMYFUNCTION("GOOGLETRANSLATE(B706,""zh_cn"",""vi"")"),"kết nối")</f>
        <v>kết nối</v>
      </c>
      <c r="G706" s="20" t="s">
        <v>8686</v>
      </c>
      <c r="H706" s="6"/>
      <c r="I706" s="11" t="b">
        <f t="shared" si="2"/>
        <v>0</v>
      </c>
      <c r="J706" s="24"/>
      <c r="K706" s="11" t="b">
        <f t="shared" si="3"/>
        <v>0</v>
      </c>
    </row>
    <row r="707" ht="22.5" customHeight="1">
      <c r="A707" s="12">
        <f t="shared" si="4"/>
        <v>2705</v>
      </c>
      <c r="B707" s="30" t="s">
        <v>8687</v>
      </c>
      <c r="C707" s="7" t="str">
        <f t="shared" si="5"/>
        <v>🔊</v>
      </c>
      <c r="D707" s="8" t="s">
        <v>8688</v>
      </c>
      <c r="E707" s="6" t="s">
        <v>61</v>
      </c>
      <c r="F707" s="12" t="str">
        <f>IFERROR(__xludf.DUMMYFUNCTION("GOOGLETRANSLATE(B707,""zh_cn"",""vi"")"),"Ngay lập tức")</f>
        <v>Ngay lập tức</v>
      </c>
      <c r="G707" s="20" t="s">
        <v>8689</v>
      </c>
      <c r="H707" s="6"/>
      <c r="I707" s="11" t="b">
        <f t="shared" si="2"/>
        <v>0</v>
      </c>
      <c r="J707" s="24"/>
      <c r="K707" s="11" t="b">
        <f t="shared" si="3"/>
        <v>0</v>
      </c>
    </row>
    <row r="708" ht="22.5" customHeight="1">
      <c r="A708" s="12">
        <f t="shared" si="4"/>
        <v>2706</v>
      </c>
      <c r="B708" s="30" t="s">
        <v>8690</v>
      </c>
      <c r="C708" s="7" t="str">
        <f t="shared" si="5"/>
        <v>🔊</v>
      </c>
      <c r="D708" s="8" t="s">
        <v>8691</v>
      </c>
      <c r="E708" s="6" t="s">
        <v>27</v>
      </c>
      <c r="F708" s="12" t="str">
        <f>IFERROR(__xludf.DUMMYFUNCTION("GOOGLETRANSLATE(B708,""zh_cn"",""vi"")"),"màu da")</f>
        <v>màu da</v>
      </c>
      <c r="G708" s="20" t="s">
        <v>8692</v>
      </c>
      <c r="H708" s="6"/>
      <c r="I708" s="11" t="b">
        <f t="shared" si="2"/>
        <v>0</v>
      </c>
      <c r="J708" s="24"/>
      <c r="K708" s="11" t="b">
        <f t="shared" si="3"/>
        <v>0</v>
      </c>
    </row>
    <row r="709" ht="22.5" customHeight="1">
      <c r="A709" s="12">
        <f t="shared" si="4"/>
        <v>2707</v>
      </c>
      <c r="B709" s="30" t="s">
        <v>8693</v>
      </c>
      <c r="C709" s="7" t="str">
        <f t="shared" si="5"/>
        <v>🔊</v>
      </c>
      <c r="D709" s="8" t="s">
        <v>8694</v>
      </c>
      <c r="E709" s="6" t="s">
        <v>13</v>
      </c>
      <c r="F709" s="12" t="str">
        <f>IFERROR(__xludf.DUMMYFUNCTION("GOOGLETRANSLATE(B709,""zh_cn"",""vi"")"),"liên tục")</f>
        <v>liên tục</v>
      </c>
      <c r="G709" s="20" t="s">
        <v>8695</v>
      </c>
      <c r="H709" s="6"/>
      <c r="I709" s="11" t="b">
        <f t="shared" si="2"/>
        <v>0</v>
      </c>
      <c r="J709" s="24"/>
      <c r="K709" s="11" t="b">
        <f t="shared" si="3"/>
        <v>0</v>
      </c>
    </row>
    <row r="710" ht="22.5" customHeight="1">
      <c r="A710" s="12">
        <f t="shared" si="4"/>
        <v>2708</v>
      </c>
      <c r="B710" s="30" t="s">
        <v>8696</v>
      </c>
      <c r="C710" s="7" t="str">
        <f t="shared" si="5"/>
        <v>🔊</v>
      </c>
      <c r="D710" s="8" t="s">
        <v>8697</v>
      </c>
      <c r="E710" s="6" t="s">
        <v>99</v>
      </c>
      <c r="F710" s="12" t="str">
        <f>IFERROR(__xludf.DUMMYFUNCTION("GOOGLETRANSLATE(B710,""zh_cn"",""vi"")"),"tuyệt vời")</f>
        <v>tuyệt vời</v>
      </c>
      <c r="G710" s="20" t="s">
        <v>8698</v>
      </c>
      <c r="H710" s="6"/>
      <c r="I710" s="11" t="b">
        <f t="shared" si="2"/>
        <v>0</v>
      </c>
      <c r="J710" s="24"/>
      <c r="K710" s="11" t="b">
        <f t="shared" si="3"/>
        <v>0</v>
      </c>
    </row>
    <row r="711" ht="22.5" customHeight="1">
      <c r="A711" s="12">
        <f t="shared" si="4"/>
        <v>2709</v>
      </c>
      <c r="B711" s="30" t="s">
        <v>8699</v>
      </c>
      <c r="C711" s="7" t="str">
        <f t="shared" si="5"/>
        <v>🔊</v>
      </c>
      <c r="D711" s="8" t="s">
        <v>8700</v>
      </c>
      <c r="E711" s="6" t="s">
        <v>27</v>
      </c>
      <c r="F711" s="12" t="str">
        <f>IFERROR(__xludf.DUMMYFUNCTION("GOOGLETRANSLATE(B711,""zh_cn"",""vi"")"),"xe lửa")</f>
        <v>xe lửa</v>
      </c>
      <c r="G711" s="20" t="s">
        <v>8701</v>
      </c>
      <c r="H711" s="6"/>
      <c r="I711" s="11" t="b">
        <f t="shared" si="2"/>
        <v>0</v>
      </c>
      <c r="J711" s="24"/>
      <c r="K711" s="11" t="b">
        <f t="shared" si="3"/>
        <v>0</v>
      </c>
    </row>
    <row r="712" ht="22.5" customHeight="1">
      <c r="A712" s="12">
        <f t="shared" si="4"/>
        <v>2710</v>
      </c>
      <c r="B712" s="30" t="s">
        <v>8702</v>
      </c>
      <c r="C712" s="7" t="str">
        <f t="shared" si="5"/>
        <v>🔊</v>
      </c>
      <c r="D712" s="8" t="s">
        <v>8703</v>
      </c>
      <c r="E712" s="6" t="s">
        <v>13</v>
      </c>
      <c r="F712" s="12" t="str">
        <f>IFERROR(__xludf.DUMMYFUNCTION("GOOGLETRANSLATE(B712,""zh_cn"",""vi"")"),"ly hôn")</f>
        <v>ly hôn</v>
      </c>
      <c r="G712" s="20" t="s">
        <v>8704</v>
      </c>
      <c r="H712" s="6"/>
      <c r="I712" s="11" t="b">
        <f t="shared" si="2"/>
        <v>0</v>
      </c>
      <c r="J712" s="24"/>
      <c r="K712" s="11" t="b">
        <f t="shared" si="3"/>
        <v>0</v>
      </c>
    </row>
    <row r="713" ht="22.5" customHeight="1">
      <c r="A713" s="12">
        <f t="shared" si="4"/>
        <v>2711</v>
      </c>
      <c r="B713" s="30" t="s">
        <v>8705</v>
      </c>
      <c r="C713" s="7" t="str">
        <f t="shared" si="5"/>
        <v>🔊</v>
      </c>
      <c r="D713" s="8" t="s">
        <v>8706</v>
      </c>
      <c r="E713" s="6" t="s">
        <v>61</v>
      </c>
      <c r="F713" s="12" t="str">
        <f>IFERROR(__xludf.DUMMYFUNCTION("GOOGLETRANSLATE(B713,""zh_cn"",""vi"")"),"ngay lập tức")</f>
        <v>ngay lập tức</v>
      </c>
      <c r="G713" s="20" t="s">
        <v>8707</v>
      </c>
      <c r="H713" s="6"/>
      <c r="I713" s="11" t="b">
        <f t="shared" si="2"/>
        <v>0</v>
      </c>
      <c r="J713" s="24"/>
      <c r="K713" s="11" t="b">
        <f t="shared" si="3"/>
        <v>0</v>
      </c>
    </row>
    <row r="714" ht="22.5" customHeight="1">
      <c r="A714" s="12">
        <f t="shared" si="4"/>
        <v>2712</v>
      </c>
      <c r="B714" s="30" t="s">
        <v>8708</v>
      </c>
      <c r="C714" s="7" t="str">
        <f t="shared" si="5"/>
        <v>🔊</v>
      </c>
      <c r="D714" s="8" t="s">
        <v>8709</v>
      </c>
      <c r="E714" s="6" t="s">
        <v>61</v>
      </c>
      <c r="F714" s="12" t="str">
        <f>IFERROR(__xludf.DUMMYFUNCTION("GOOGLETRANSLATE(B714,""zh_cn"",""vi"")"),"ngay lập tức")</f>
        <v>ngay lập tức</v>
      </c>
      <c r="G714" s="20" t="s">
        <v>8710</v>
      </c>
      <c r="H714" s="6"/>
      <c r="I714" s="11" t="b">
        <f t="shared" si="2"/>
        <v>0</v>
      </c>
      <c r="J714" s="24"/>
      <c r="K714" s="11" t="b">
        <f t="shared" si="3"/>
        <v>0</v>
      </c>
    </row>
    <row r="715" ht="22.5" customHeight="1">
      <c r="A715" s="12">
        <f t="shared" si="4"/>
        <v>2713</v>
      </c>
      <c r="B715" s="30" t="s">
        <v>8711</v>
      </c>
      <c r="C715" s="7" t="str">
        <f t="shared" si="5"/>
        <v>🔊</v>
      </c>
      <c r="D715" s="8" t="s">
        <v>8712</v>
      </c>
      <c r="E715" s="6" t="s">
        <v>27</v>
      </c>
      <c r="F715" s="12" t="str">
        <f>IFERROR(__xludf.DUMMYFUNCTION("GOOGLETRANSLATE(B715,""zh_cn"",""vi"")"),"sức mạnh")</f>
        <v>sức mạnh</v>
      </c>
      <c r="G715" s="20" t="s">
        <v>8713</v>
      </c>
      <c r="H715" s="6"/>
      <c r="I715" s="11" t="b">
        <f t="shared" si="2"/>
        <v>0</v>
      </c>
      <c r="J715" s="24"/>
      <c r="K715" s="11" t="b">
        <f t="shared" si="3"/>
        <v>0</v>
      </c>
    </row>
    <row r="716" ht="22.5" customHeight="1">
      <c r="A716" s="12">
        <f t="shared" si="4"/>
        <v>2714</v>
      </c>
      <c r="B716" s="30" t="s">
        <v>8714</v>
      </c>
      <c r="C716" s="7" t="str">
        <f t="shared" si="5"/>
        <v>🔊</v>
      </c>
      <c r="D716" s="8" t="s">
        <v>8715</v>
      </c>
      <c r="E716" s="6" t="s">
        <v>57</v>
      </c>
      <c r="F716" s="12" t="str">
        <f>IFERROR(__xludf.DUMMYFUNCTION("GOOGLETRANSLATE(B716,""zh_cn"",""vi"")"),"lý thuyết")</f>
        <v>lý thuyết</v>
      </c>
      <c r="G716" s="20" t="s">
        <v>8716</v>
      </c>
      <c r="H716" s="6"/>
      <c r="I716" s="11" t="b">
        <f t="shared" si="2"/>
        <v>0</v>
      </c>
      <c r="J716" s="24"/>
      <c r="K716" s="11" t="b">
        <f t="shared" si="3"/>
        <v>0</v>
      </c>
    </row>
    <row r="717" ht="22.5" customHeight="1">
      <c r="A717" s="12">
        <f t="shared" si="4"/>
        <v>2715</v>
      </c>
      <c r="B717" s="30" t="s">
        <v>8717</v>
      </c>
      <c r="C717" s="7" t="str">
        <f t="shared" si="5"/>
        <v>🔊</v>
      </c>
      <c r="D717" s="8" t="s">
        <v>8718</v>
      </c>
      <c r="E717" s="6" t="s">
        <v>47</v>
      </c>
      <c r="F717" s="12" t="str">
        <f>IFERROR(__xludf.DUMMYFUNCTION("GOOGLETRANSLATE(B717,""zh_cn"",""vi"")"),"centimet")</f>
        <v>centimet</v>
      </c>
      <c r="G717" s="20" t="s">
        <v>8719</v>
      </c>
      <c r="H717" s="6"/>
      <c r="I717" s="11" t="b">
        <f t="shared" si="2"/>
        <v>0</v>
      </c>
      <c r="J717" s="24"/>
      <c r="K717" s="11" t="b">
        <f t="shared" si="3"/>
        <v>0</v>
      </c>
    </row>
    <row r="718" ht="22.5" customHeight="1">
      <c r="A718" s="12">
        <f t="shared" si="4"/>
        <v>2716</v>
      </c>
      <c r="B718" s="30" t="s">
        <v>8720</v>
      </c>
      <c r="C718" s="7" t="str">
        <f t="shared" si="5"/>
        <v>🔊</v>
      </c>
      <c r="D718" s="8" t="s">
        <v>396</v>
      </c>
      <c r="E718" s="6" t="s">
        <v>27</v>
      </c>
      <c r="F718" s="12" t="str">
        <f>IFERROR(__xludf.DUMMYFUNCTION("GOOGLETRANSLATE(B718,""zh_cn"",""vi"")"),"chuông")</f>
        <v>chuông</v>
      </c>
      <c r="G718" s="20" t="s">
        <v>8721</v>
      </c>
      <c r="H718" s="6"/>
      <c r="I718" s="11" t="b">
        <f t="shared" si="2"/>
        <v>0</v>
      </c>
      <c r="J718" s="24"/>
      <c r="K718" s="11" t="b">
        <f t="shared" si="3"/>
        <v>0</v>
      </c>
    </row>
    <row r="719" ht="22.5" customHeight="1">
      <c r="A719" s="12">
        <f t="shared" si="4"/>
        <v>2717</v>
      </c>
      <c r="B719" s="30" t="s">
        <v>8722</v>
      </c>
      <c r="C719" s="7" t="str">
        <f t="shared" si="5"/>
        <v>🔊</v>
      </c>
      <c r="D719" s="8" t="s">
        <v>4873</v>
      </c>
      <c r="E719" s="6" t="s">
        <v>232</v>
      </c>
      <c r="F719" s="12" t="str">
        <f>IFERROR(__xludf.DUMMYFUNCTION("GOOGLETRANSLATE(B719,""zh_cn"",""vi"")"),"làm")</f>
        <v>làm</v>
      </c>
      <c r="G719" s="20" t="s">
        <v>8723</v>
      </c>
      <c r="H719" s="6"/>
      <c r="I719" s="11" t="b">
        <f t="shared" si="2"/>
        <v>0</v>
      </c>
      <c r="J719" s="24"/>
      <c r="K719" s="11" t="b">
        <f t="shared" si="3"/>
        <v>0</v>
      </c>
    </row>
    <row r="720" ht="22.5" customHeight="1">
      <c r="A720" s="12">
        <f t="shared" si="4"/>
        <v>2718</v>
      </c>
      <c r="B720" s="30" t="s">
        <v>8724</v>
      </c>
      <c r="C720" s="7" t="str">
        <f t="shared" si="5"/>
        <v>🔊</v>
      </c>
      <c r="D720" s="8" t="s">
        <v>8725</v>
      </c>
      <c r="E720" s="6" t="s">
        <v>57</v>
      </c>
      <c r="F720" s="12" t="str">
        <f>IFERROR(__xludf.DUMMYFUNCTION("GOOGLETRANSLATE(B720,""zh_cn"",""vi"")"),"cổ áo")</f>
        <v>cổ áo</v>
      </c>
      <c r="G720" s="20" t="s">
        <v>8726</v>
      </c>
      <c r="H720" s="6"/>
      <c r="I720" s="11" t="b">
        <f t="shared" si="2"/>
        <v>0</v>
      </c>
      <c r="J720" s="24"/>
      <c r="K720" s="11" t="b">
        <f t="shared" si="3"/>
        <v>0</v>
      </c>
    </row>
    <row r="721" ht="22.5" customHeight="1">
      <c r="A721" s="12">
        <f t="shared" si="4"/>
        <v>2719</v>
      </c>
      <c r="B721" s="30" t="s">
        <v>8727</v>
      </c>
      <c r="C721" s="7" t="str">
        <f t="shared" si="5"/>
        <v>🔊</v>
      </c>
      <c r="D721" s="8" t="s">
        <v>8728</v>
      </c>
      <c r="E721" s="6" t="s">
        <v>27</v>
      </c>
      <c r="F721" s="12" t="str">
        <f>IFERROR(__xludf.DUMMYFUNCTION("GOOGLETRANSLATE(B721,""zh_cn"",""vi"")"),"cà vạt")</f>
        <v>cà vạt</v>
      </c>
      <c r="G721" s="20" t="s">
        <v>8729</v>
      </c>
      <c r="H721" s="6"/>
      <c r="I721" s="11" t="b">
        <f t="shared" si="2"/>
        <v>0</v>
      </c>
      <c r="J721" s="24"/>
      <c r="K721" s="11" t="b">
        <f t="shared" si="3"/>
        <v>0</v>
      </c>
    </row>
    <row r="722" ht="22.5" customHeight="1">
      <c r="A722" s="12">
        <f t="shared" si="4"/>
        <v>2720</v>
      </c>
      <c r="B722" s="30" t="s">
        <v>8730</v>
      </c>
      <c r="C722" s="7" t="str">
        <f t="shared" si="5"/>
        <v>🔊</v>
      </c>
      <c r="D722" s="8" t="s">
        <v>8731</v>
      </c>
      <c r="E722" s="6" t="s">
        <v>232</v>
      </c>
      <c r="F722" s="12" t="str">
        <f>IFERROR(__xludf.DUMMYFUNCTION("GOOGLETRANSLATE(B722,""zh_cn"",""vi"")"),"chỉ huy")</f>
        <v>chỉ huy</v>
      </c>
      <c r="G722" s="20" t="s">
        <v>8732</v>
      </c>
      <c r="H722" s="6"/>
      <c r="I722" s="11" t="b">
        <f t="shared" si="2"/>
        <v>0</v>
      </c>
      <c r="J722" s="24"/>
      <c r="K722" s="11" t="b">
        <f t="shared" si="3"/>
        <v>0</v>
      </c>
    </row>
    <row r="723" ht="22.5" customHeight="1">
      <c r="A723" s="12">
        <f t="shared" si="4"/>
        <v>2721</v>
      </c>
      <c r="B723" s="30" t="s">
        <v>8733</v>
      </c>
      <c r="C723" s="7" t="str">
        <f t="shared" si="5"/>
        <v>🔊</v>
      </c>
      <c r="D723" s="8" t="s">
        <v>8734</v>
      </c>
      <c r="E723" s="6" t="s">
        <v>99</v>
      </c>
      <c r="F723" s="12" t="str">
        <f>IFERROR(__xludf.DUMMYFUNCTION("GOOGLETRANSLATE(B723,""zh_cn"",""vi"")"),"linh hoạt")</f>
        <v>linh hoạt</v>
      </c>
      <c r="G723" s="20" t="s">
        <v>8735</v>
      </c>
      <c r="H723" s="6"/>
      <c r="I723" s="11" t="b">
        <f t="shared" si="2"/>
        <v>0</v>
      </c>
      <c r="J723" s="24"/>
      <c r="K723" s="11" t="b">
        <f t="shared" si="3"/>
        <v>0</v>
      </c>
    </row>
    <row r="724" ht="22.5" customHeight="1">
      <c r="A724" s="12">
        <f t="shared" si="4"/>
        <v>2722</v>
      </c>
      <c r="B724" s="30" t="s">
        <v>8736</v>
      </c>
      <c r="C724" s="7" t="str">
        <f t="shared" si="5"/>
        <v>🔊</v>
      </c>
      <c r="D724" s="8" t="s">
        <v>8737</v>
      </c>
      <c r="E724" s="6" t="s">
        <v>13</v>
      </c>
      <c r="F724" s="12" t="str">
        <f>IFERROR(__xludf.DUMMYFUNCTION("GOOGLETRANSLATE(B724,""zh_cn"",""vi"")"),"nhận được")</f>
        <v>nhận được</v>
      </c>
      <c r="G724" s="20" t="s">
        <v>8738</v>
      </c>
      <c r="H724" s="6"/>
      <c r="I724" s="11" t="b">
        <f t="shared" si="2"/>
        <v>0</v>
      </c>
      <c r="J724" s="24"/>
      <c r="K724" s="11" t="b">
        <f t="shared" si="3"/>
        <v>0</v>
      </c>
    </row>
    <row r="725" ht="22.5" customHeight="1">
      <c r="A725" s="12">
        <f t="shared" si="4"/>
        <v>2723</v>
      </c>
      <c r="B725" s="30" t="s">
        <v>8739</v>
      </c>
      <c r="C725" s="7" t="str">
        <f t="shared" si="5"/>
        <v>🔊</v>
      </c>
      <c r="D725" s="8" t="s">
        <v>8740</v>
      </c>
      <c r="E725" s="6" t="s">
        <v>13</v>
      </c>
      <c r="F725" s="12" t="str">
        <f>IFERROR(__xludf.DUMMYFUNCTION("GOOGLETRANSLATE(B725,""zh_cn"",""vi"")"),"Dẫn đầu")</f>
        <v>Dẫn đầu</v>
      </c>
      <c r="G725" s="20" t="s">
        <v>8741</v>
      </c>
      <c r="H725" s="6"/>
      <c r="I725" s="11" t="b">
        <f t="shared" si="2"/>
        <v>0</v>
      </c>
      <c r="J725" s="24"/>
      <c r="K725" s="11" t="b">
        <f t="shared" si="3"/>
        <v>0</v>
      </c>
    </row>
    <row r="726" ht="22.5" customHeight="1">
      <c r="A726" s="12">
        <f t="shared" si="4"/>
        <v>2724</v>
      </c>
      <c r="B726" s="30" t="s">
        <v>8742</v>
      </c>
      <c r="C726" s="7" t="str">
        <f t="shared" si="5"/>
        <v>🔊</v>
      </c>
      <c r="D726" s="8" t="s">
        <v>8743</v>
      </c>
      <c r="E726" s="6" t="s">
        <v>27</v>
      </c>
      <c r="F726" s="12" t="str">
        <f>IFERROR(__xludf.DUMMYFUNCTION("GOOGLETRANSLATE(B726,""zh_cn"",""vi"")"),"cánh đồng")</f>
        <v>cánh đồng</v>
      </c>
      <c r="G726" s="20" t="s">
        <v>8744</v>
      </c>
      <c r="H726" s="6"/>
      <c r="I726" s="11" t="b">
        <f t="shared" si="2"/>
        <v>0</v>
      </c>
      <c r="J726" s="24"/>
      <c r="K726" s="11" t="b">
        <f t="shared" si="3"/>
        <v>0</v>
      </c>
    </row>
    <row r="727" ht="22.5" customHeight="1">
      <c r="A727" s="12">
        <f t="shared" si="4"/>
        <v>2725</v>
      </c>
      <c r="B727" s="30" t="s">
        <v>8745</v>
      </c>
      <c r="C727" s="7" t="str">
        <f t="shared" si="5"/>
        <v>🔊</v>
      </c>
      <c r="D727" s="8" t="s">
        <v>8746</v>
      </c>
      <c r="E727" s="6" t="s">
        <v>5100</v>
      </c>
      <c r="F727" s="12" t="str">
        <f>IFERROR(__xludf.DUMMYFUNCTION("GOOGLETRANSLATE(B727,""zh_cn"",""vi"")"),"tạm thời")</f>
        <v>tạm thời</v>
      </c>
      <c r="G727" s="20" t="s">
        <v>8747</v>
      </c>
      <c r="H727" s="6"/>
      <c r="I727" s="11" t="b">
        <f t="shared" si="2"/>
        <v>0</v>
      </c>
      <c r="J727" s="24"/>
      <c r="K727" s="11" t="b">
        <f t="shared" si="3"/>
        <v>0</v>
      </c>
    </row>
    <row r="728" ht="22.5" customHeight="1">
      <c r="A728" s="12">
        <f t="shared" si="4"/>
        <v>2726</v>
      </c>
      <c r="B728" s="30" t="s">
        <v>8748</v>
      </c>
      <c r="C728" s="7" t="str">
        <f t="shared" si="5"/>
        <v>🔊</v>
      </c>
      <c r="D728" s="8" t="s">
        <v>8749</v>
      </c>
      <c r="E728" s="6" t="s">
        <v>27</v>
      </c>
      <c r="F728" s="12" t="str">
        <f>IFERROR(__xludf.DUMMYFUNCTION("GOOGLETRANSLATE(B728,""zh_cn"",""vi"")"),"lợi nhuận")</f>
        <v>lợi nhuận</v>
      </c>
      <c r="G728" s="20" t="s">
        <v>8750</v>
      </c>
      <c r="H728" s="6"/>
      <c r="I728" s="11" t="b">
        <f t="shared" si="2"/>
        <v>0</v>
      </c>
      <c r="J728" s="24"/>
      <c r="K728" s="11" t="b">
        <f t="shared" si="3"/>
        <v>0</v>
      </c>
    </row>
    <row r="729" ht="22.5" customHeight="1">
      <c r="A729" s="12">
        <f t="shared" si="4"/>
        <v>2727</v>
      </c>
      <c r="B729" s="30" t="s">
        <v>8751</v>
      </c>
      <c r="C729" s="7" t="str">
        <f t="shared" si="5"/>
        <v>🔊</v>
      </c>
      <c r="D729" s="8" t="s">
        <v>8752</v>
      </c>
      <c r="E729" s="6" t="s">
        <v>27</v>
      </c>
      <c r="F729" s="12" t="str">
        <f>IFERROR(__xludf.DUMMYFUNCTION("GOOGLETRANSLATE(B729,""zh_cn"",""vi"")"),"Bên trong")</f>
        <v>Bên trong</v>
      </c>
      <c r="G729" s="20" t="s">
        <v>8753</v>
      </c>
      <c r="H729" s="6"/>
      <c r="I729" s="11" t="b">
        <f t="shared" si="2"/>
        <v>0</v>
      </c>
      <c r="J729" s="24"/>
      <c r="K729" s="11" t="b">
        <f t="shared" si="3"/>
        <v>0</v>
      </c>
    </row>
    <row r="730" ht="22.5" customHeight="1">
      <c r="A730" s="12">
        <f t="shared" si="4"/>
        <v>2728</v>
      </c>
      <c r="B730" s="30" t="s">
        <v>8754</v>
      </c>
      <c r="C730" s="7" t="str">
        <f t="shared" si="5"/>
        <v>🔊</v>
      </c>
      <c r="D730" s="8" t="s">
        <v>8755</v>
      </c>
      <c r="E730" s="6" t="s">
        <v>13</v>
      </c>
      <c r="F730" s="12" t="str">
        <f>IFERROR(__xludf.DUMMYFUNCTION("GOOGLETRANSLATE(B730,""zh_cn"",""vi"")"),"lây lan")</f>
        <v>lây lan</v>
      </c>
      <c r="G730" s="20" t="s">
        <v>8756</v>
      </c>
      <c r="H730" s="6"/>
      <c r="I730" s="11" t="b">
        <f t="shared" si="2"/>
        <v>0</v>
      </c>
      <c r="J730" s="24"/>
      <c r="K730" s="11" t="b">
        <f t="shared" si="3"/>
        <v>0</v>
      </c>
    </row>
    <row r="731" ht="22.5" customHeight="1">
      <c r="A731" s="12">
        <f t="shared" si="4"/>
        <v>2729</v>
      </c>
      <c r="B731" s="30" t="s">
        <v>8757</v>
      </c>
      <c r="C731" s="7" t="str">
        <f t="shared" si="5"/>
        <v>🔊</v>
      </c>
      <c r="D731" s="8" t="s">
        <v>8758</v>
      </c>
      <c r="E731" s="6" t="s">
        <v>27</v>
      </c>
      <c r="F731" s="12" t="str">
        <f>IFERROR(__xludf.DUMMYFUNCTION("GOOGLETRANSLATE(B731,""zh_cn"",""vi"")"),"cúm")</f>
        <v>cúm</v>
      </c>
      <c r="G731" s="20" t="s">
        <v>8759</v>
      </c>
      <c r="H731" s="6"/>
      <c r="I731" s="11" t="b">
        <f t="shared" si="2"/>
        <v>0</v>
      </c>
      <c r="J731" s="24"/>
      <c r="K731" s="11" t="b">
        <f t="shared" si="3"/>
        <v>0</v>
      </c>
    </row>
    <row r="732" ht="22.5" customHeight="1">
      <c r="A732" s="12">
        <f t="shared" si="4"/>
        <v>2730</v>
      </c>
      <c r="B732" s="30" t="s">
        <v>8760</v>
      </c>
      <c r="C732" s="7" t="str">
        <f t="shared" si="5"/>
        <v>🔊</v>
      </c>
      <c r="D732" s="8" t="s">
        <v>8761</v>
      </c>
      <c r="E732" s="6" t="s">
        <v>13</v>
      </c>
      <c r="F732" s="12" t="str">
        <f>IFERROR(__xludf.DUMMYFUNCTION("GOOGLETRANSLATE(B732,""zh_cn"",""vi"")"),"Duyệt")</f>
        <v>Duyệt</v>
      </c>
      <c r="G732" s="20" t="s">
        <v>8762</v>
      </c>
      <c r="H732" s="6"/>
      <c r="I732" s="11" t="b">
        <f t="shared" si="2"/>
        <v>0</v>
      </c>
      <c r="J732" s="24"/>
      <c r="K732" s="11" t="b">
        <f t="shared" si="3"/>
        <v>0</v>
      </c>
    </row>
    <row r="733" ht="22.5" customHeight="1">
      <c r="A733" s="12">
        <f t="shared" si="4"/>
        <v>2731</v>
      </c>
      <c r="B733" s="30" t="s">
        <v>8763</v>
      </c>
      <c r="C733" s="7" t="str">
        <f t="shared" si="5"/>
        <v>🔊</v>
      </c>
      <c r="D733" s="8" t="s">
        <v>8764</v>
      </c>
      <c r="E733" s="6" t="s">
        <v>232</v>
      </c>
      <c r="F733" s="12" t="str">
        <f>IFERROR(__xludf.DUMMYFUNCTION("GOOGLETRANSLATE(B733,""zh_cn"",""vi"")"),"tin nhắn")</f>
        <v>tin nhắn</v>
      </c>
      <c r="G733" s="20" t="s">
        <v>8765</v>
      </c>
      <c r="H733" s="6"/>
      <c r="I733" s="11" t="b">
        <f t="shared" si="2"/>
        <v>0</v>
      </c>
      <c r="J733" s="24"/>
      <c r="K733" s="11" t="b">
        <f t="shared" si="3"/>
        <v>0</v>
      </c>
    </row>
    <row r="734" ht="22.5" customHeight="1">
      <c r="A734" s="12">
        <f t="shared" si="4"/>
        <v>2732</v>
      </c>
      <c r="B734" s="30" t="s">
        <v>8766</v>
      </c>
      <c r="C734" s="7" t="str">
        <f t="shared" si="5"/>
        <v>🔊</v>
      </c>
      <c r="D734" s="8" t="s">
        <v>8767</v>
      </c>
      <c r="E734" s="6" t="s">
        <v>27</v>
      </c>
      <c r="F734" s="12" t="str">
        <f>IFERROR(__xludf.DUMMYFUNCTION("GOOGLETRANSLATE(B734,""zh_cn"",""vi"")"),"Lợi ích")</f>
        <v>Lợi ích</v>
      </c>
      <c r="G734" s="20" t="s">
        <v>8768</v>
      </c>
      <c r="H734" s="6"/>
      <c r="I734" s="11" t="b">
        <f t="shared" si="2"/>
        <v>0</v>
      </c>
      <c r="J734" s="24"/>
      <c r="K734" s="11" t="b">
        <f t="shared" si="3"/>
        <v>0</v>
      </c>
    </row>
    <row r="735" ht="22.5" customHeight="1">
      <c r="A735" s="12">
        <f t="shared" si="4"/>
        <v>2733</v>
      </c>
      <c r="B735" s="30" t="s">
        <v>8769</v>
      </c>
      <c r="C735" s="7" t="str">
        <f t="shared" si="5"/>
        <v>🔊</v>
      </c>
      <c r="D735" s="8" t="s">
        <v>8770</v>
      </c>
      <c r="E735" s="6" t="s">
        <v>13</v>
      </c>
      <c r="F735" s="12" t="str">
        <f>IFERROR(__xludf.DUMMYFUNCTION("GOOGLETRANSLATE(B735,""zh_cn"",""vi"")"),"sử dụng")</f>
        <v>sử dụng</v>
      </c>
      <c r="G735" s="20" t="s">
        <v>8771</v>
      </c>
      <c r="H735" s="6"/>
      <c r="I735" s="11" t="b">
        <f t="shared" si="2"/>
        <v>0</v>
      </c>
      <c r="J735" s="24"/>
      <c r="K735" s="11" t="b">
        <f t="shared" si="3"/>
        <v>0</v>
      </c>
    </row>
    <row r="736" ht="22.5" customHeight="1">
      <c r="A736" s="12">
        <f t="shared" si="4"/>
        <v>2734</v>
      </c>
      <c r="B736" s="30" t="s">
        <v>8772</v>
      </c>
      <c r="C736" s="7" t="str">
        <f t="shared" si="5"/>
        <v>🔊</v>
      </c>
      <c r="D736" s="8" t="s">
        <v>8773</v>
      </c>
      <c r="E736" s="6" t="s">
        <v>27</v>
      </c>
      <c r="F736" s="12" t="str">
        <f>IFERROR(__xludf.DUMMYFUNCTION("GOOGLETRANSLATE(B736,""zh_cn"",""vi"")"),"lý do")</f>
        <v>lý do</v>
      </c>
      <c r="G736" s="20" t="s">
        <v>8774</v>
      </c>
      <c r="H736" s="6"/>
      <c r="I736" s="11" t="b">
        <f t="shared" si="2"/>
        <v>0</v>
      </c>
      <c r="J736" s="24"/>
      <c r="K736" s="11" t="b">
        <f t="shared" si="3"/>
        <v>0</v>
      </c>
    </row>
    <row r="737" ht="22.5" customHeight="1">
      <c r="A737" s="12">
        <f t="shared" si="4"/>
        <v>2735</v>
      </c>
      <c r="B737" s="30" t="s">
        <v>8775</v>
      </c>
      <c r="C737" s="7" t="str">
        <f t="shared" si="5"/>
        <v>🔊</v>
      </c>
      <c r="D737" s="8" t="s">
        <v>8776</v>
      </c>
      <c r="E737" s="6" t="s">
        <v>13</v>
      </c>
      <c r="F737" s="12" t="str">
        <f>IFERROR(__xludf.DUMMYFUNCTION("GOOGLETRANSLATE(B737,""zh_cn"",""vi"")"),"Sự từ chức")</f>
        <v>Sự từ chức</v>
      </c>
      <c r="G737" s="20" t="s">
        <v>8777</v>
      </c>
      <c r="H737" s="6"/>
      <c r="I737" s="11" t="b">
        <f t="shared" si="2"/>
        <v>0</v>
      </c>
      <c r="J737" s="24"/>
      <c r="K737" s="11" t="b">
        <f t="shared" si="3"/>
        <v>0</v>
      </c>
    </row>
    <row r="738" ht="22.5" customHeight="1">
      <c r="A738" s="12">
        <f t="shared" si="4"/>
        <v>2736</v>
      </c>
      <c r="B738" s="30" t="s">
        <v>8778</v>
      </c>
      <c r="C738" s="7" t="str">
        <f t="shared" si="5"/>
        <v>🔊</v>
      </c>
      <c r="D738" s="8" t="s">
        <v>8779</v>
      </c>
      <c r="E738" s="6" t="s">
        <v>27</v>
      </c>
      <c r="F738" s="12" t="str">
        <f>IFERROR(__xludf.DUMMYFUNCTION("GOOGLETRANSLATE(B738,""zh_cn"",""vi"")"),"rồng")</f>
        <v>rồng</v>
      </c>
      <c r="G738" s="20" t="s">
        <v>8780</v>
      </c>
      <c r="H738" s="6"/>
      <c r="I738" s="11" t="b">
        <f t="shared" si="2"/>
        <v>0</v>
      </c>
      <c r="J738" s="24"/>
      <c r="K738" s="11" t="b">
        <f t="shared" si="3"/>
        <v>0</v>
      </c>
    </row>
    <row r="739" ht="22.5" customHeight="1">
      <c r="A739" s="12">
        <f t="shared" si="4"/>
        <v>2737</v>
      </c>
      <c r="B739" s="30" t="s">
        <v>8781</v>
      </c>
      <c r="C739" s="7" t="str">
        <f t="shared" si="5"/>
        <v>🔊</v>
      </c>
      <c r="D739" s="8" t="s">
        <v>8782</v>
      </c>
      <c r="E739" s="6" t="s">
        <v>13</v>
      </c>
      <c r="F739" s="12" t="str">
        <f>IFERROR(__xludf.DUMMYFUNCTION("GOOGLETRANSLATE(B739,""zh_cn"",""vi"")"),"hở")</f>
        <v>hở</v>
      </c>
      <c r="G739" s="20" t="s">
        <v>8783</v>
      </c>
      <c r="H739" s="6"/>
      <c r="I739" s="11" t="b">
        <f t="shared" si="2"/>
        <v>0</v>
      </c>
      <c r="J739" s="24"/>
      <c r="K739" s="11" t="b">
        <f t="shared" si="3"/>
        <v>0</v>
      </c>
    </row>
    <row r="740" ht="22.5" customHeight="1">
      <c r="A740" s="12">
        <f t="shared" si="4"/>
        <v>2738</v>
      </c>
      <c r="B740" s="30" t="s">
        <v>8784</v>
      </c>
      <c r="C740" s="7" t="str">
        <f t="shared" si="5"/>
        <v>🔊</v>
      </c>
      <c r="D740" s="8" t="s">
        <v>1339</v>
      </c>
      <c r="E740" s="6" t="s">
        <v>13</v>
      </c>
      <c r="F740" s="12" t="str">
        <f>IFERROR(__xludf.DUMMYFUNCTION("GOOGLETRANSLATE(B740,""zh_cn"",""vi"")"),"ghi ")</f>
        <v>ghi </v>
      </c>
      <c r="G740" s="20" t="s">
        <v>8785</v>
      </c>
      <c r="H740" s="6"/>
      <c r="I740" s="11" t="b">
        <f t="shared" si="2"/>
        <v>0</v>
      </c>
      <c r="J740" s="24"/>
      <c r="K740" s="11" t="b">
        <f t="shared" si="3"/>
        <v>0</v>
      </c>
    </row>
    <row r="741" ht="22.5" customHeight="1">
      <c r="A741" s="12">
        <f t="shared" si="4"/>
        <v>2739</v>
      </c>
      <c r="B741" s="30" t="s">
        <v>8786</v>
      </c>
      <c r="C741" s="7" t="str">
        <f t="shared" si="5"/>
        <v>🔊</v>
      </c>
      <c r="D741" s="8" t="s">
        <v>8787</v>
      </c>
      <c r="E741" s="6" t="s">
        <v>27</v>
      </c>
      <c r="F741" s="12" t="str">
        <f>IFERROR(__xludf.DUMMYFUNCTION("GOOGLETRANSLATE(B741,""zh_cn"",""vi"")"),"đất")</f>
        <v>đất</v>
      </c>
      <c r="G741" s="20" t="s">
        <v>8788</v>
      </c>
      <c r="H741" s="6"/>
      <c r="I741" s="11" t="b">
        <f t="shared" si="2"/>
        <v>0</v>
      </c>
      <c r="J741" s="24"/>
      <c r="K741" s="11" t="b">
        <f t="shared" si="3"/>
        <v>0</v>
      </c>
    </row>
    <row r="742" ht="22.5" customHeight="1">
      <c r="A742" s="12">
        <f t="shared" si="4"/>
        <v>2740</v>
      </c>
      <c r="B742" s="30" t="s">
        <v>8789</v>
      </c>
      <c r="C742" s="7" t="str">
        <f t="shared" si="5"/>
        <v>🔊</v>
      </c>
      <c r="D742" s="8" t="s">
        <v>8790</v>
      </c>
      <c r="E742" s="6" t="s">
        <v>27</v>
      </c>
      <c r="F742" s="12" t="str">
        <f>IFERROR(__xludf.DUMMYFUNCTION("GOOGLETRANSLATE(B742,""zh_cn"",""vi"")"),"giấy")</f>
        <v>giấy</v>
      </c>
      <c r="G742" s="20" t="s">
        <v>8791</v>
      </c>
      <c r="H742" s="6"/>
      <c r="I742" s="11" t="b">
        <f t="shared" si="2"/>
        <v>0</v>
      </c>
      <c r="J742" s="24"/>
      <c r="K742" s="11" t="b">
        <f t="shared" si="3"/>
        <v>0</v>
      </c>
    </row>
    <row r="743" ht="22.5" customHeight="1">
      <c r="A743" s="12">
        <f t="shared" si="4"/>
        <v>2741</v>
      </c>
      <c r="B743" s="30" t="s">
        <v>8792</v>
      </c>
      <c r="C743" s="7" t="str">
        <f t="shared" si="5"/>
        <v>🔊</v>
      </c>
      <c r="D743" s="8" t="s">
        <v>8793</v>
      </c>
      <c r="E743" s="6" t="s">
        <v>27</v>
      </c>
      <c r="F743" s="12" t="str">
        <f>IFERROR(__xludf.DUMMYFUNCTION("GOOGLETRANSLATE(B743,""zh_cn"",""vi"")"),"logic")</f>
        <v>logic</v>
      </c>
      <c r="G743" s="20" t="s">
        <v>8794</v>
      </c>
      <c r="H743" s="6"/>
      <c r="I743" s="11" t="b">
        <f t="shared" si="2"/>
        <v>0</v>
      </c>
      <c r="J743" s="24"/>
      <c r="K743" s="11" t="b">
        <f t="shared" si="3"/>
        <v>0</v>
      </c>
    </row>
    <row r="744" ht="22.5" customHeight="1">
      <c r="A744" s="12">
        <f t="shared" si="4"/>
        <v>2742</v>
      </c>
      <c r="B744" s="30" t="s">
        <v>8795</v>
      </c>
      <c r="C744" s="7" t="str">
        <f t="shared" si="5"/>
        <v>🔊</v>
      </c>
      <c r="D744" s="8" t="s">
        <v>8796</v>
      </c>
      <c r="E744" s="6" t="s">
        <v>13</v>
      </c>
      <c r="F744" s="12" t="str">
        <f>IFERROR(__xludf.DUMMYFUNCTION("GOOGLETRANSLATE(B744,""zh_cn"",""vi"")"),"Nhập học")</f>
        <v>Nhập học</v>
      </c>
      <c r="G744" s="20" t="s">
        <v>8797</v>
      </c>
      <c r="H744" s="6"/>
      <c r="I744" s="11" t="b">
        <f t="shared" si="2"/>
        <v>0</v>
      </c>
      <c r="J744" s="24"/>
      <c r="K744" s="11" t="b">
        <f t="shared" si="3"/>
        <v>0</v>
      </c>
    </row>
    <row r="745" ht="22.5" customHeight="1">
      <c r="A745" s="12">
        <f t="shared" si="4"/>
        <v>2743</v>
      </c>
      <c r="B745" s="30" t="s">
        <v>8798</v>
      </c>
      <c r="C745" s="7" t="str">
        <f t="shared" si="5"/>
        <v>🔊</v>
      </c>
      <c r="D745" s="8" t="s">
        <v>8799</v>
      </c>
      <c r="E745" s="6" t="s">
        <v>27</v>
      </c>
      <c r="F745" s="12" t="str">
        <f>IFERROR(__xludf.DUMMYFUNCTION("GOOGLETRANSLATE(B745,""zh_cn"",""vi"")"),"người qua đường")</f>
        <v>người qua đường</v>
      </c>
      <c r="G745" s="20" t="s">
        <v>8800</v>
      </c>
      <c r="H745" s="6"/>
      <c r="I745" s="11" t="b">
        <f t="shared" si="2"/>
        <v>0</v>
      </c>
      <c r="J745" s="24"/>
      <c r="K745" s="11" t="b">
        <f t="shared" si="3"/>
        <v>0</v>
      </c>
    </row>
    <row r="746" ht="22.5" customHeight="1">
      <c r="A746" s="12">
        <f t="shared" si="4"/>
        <v>2744</v>
      </c>
      <c r="B746" s="30" t="s">
        <v>8801</v>
      </c>
      <c r="C746" s="7" t="str">
        <f t="shared" si="5"/>
        <v>🔊</v>
      </c>
      <c r="D746" s="8" t="s">
        <v>8802</v>
      </c>
      <c r="E746" s="6" t="s">
        <v>27</v>
      </c>
      <c r="F746" s="12" t="str">
        <f>IFERROR(__xludf.DUMMYFUNCTION("GOOGLETRANSLATE(B746,""zh_cn"",""vi"")"),"tuyến đường")</f>
        <v>tuyến đường</v>
      </c>
      <c r="G746" s="20" t="s">
        <v>8803</v>
      </c>
      <c r="H746" s="6"/>
      <c r="I746" s="11" t="b">
        <f t="shared" si="2"/>
        <v>0</v>
      </c>
      <c r="J746" s="24"/>
      <c r="K746" s="11" t="b">
        <f t="shared" si="3"/>
        <v>0</v>
      </c>
    </row>
    <row r="747" ht="22.5" customHeight="1">
      <c r="A747" s="12">
        <f t="shared" si="4"/>
        <v>2745</v>
      </c>
      <c r="B747" s="30" t="s">
        <v>8804</v>
      </c>
      <c r="C747" s="7" t="str">
        <f t="shared" si="5"/>
        <v>🔊</v>
      </c>
      <c r="D747" s="8" t="s">
        <v>8805</v>
      </c>
      <c r="E747" s="6" t="s">
        <v>27</v>
      </c>
      <c r="F747" s="12" t="str">
        <f>IFERROR(__xludf.DUMMYFUNCTION("GOOGLETRANSLATE(B747,""zh_cn"",""vi"")"),"đại lý du lịch")</f>
        <v>đại lý du lịch</v>
      </c>
      <c r="G747" s="20" t="s">
        <v>8806</v>
      </c>
      <c r="H747" s="6"/>
      <c r="I747" s="11" t="b">
        <f t="shared" si="2"/>
        <v>0</v>
      </c>
      <c r="J747" s="24"/>
      <c r="K747" s="11" t="b">
        <f t="shared" si="3"/>
        <v>0</v>
      </c>
    </row>
    <row r="748" ht="22.5" customHeight="1">
      <c r="A748" s="12">
        <f t="shared" si="4"/>
        <v>2746</v>
      </c>
      <c r="B748" s="30" t="s">
        <v>8807</v>
      </c>
      <c r="C748" s="7" t="str">
        <f t="shared" si="5"/>
        <v>🔊</v>
      </c>
      <c r="D748" s="8" t="s">
        <v>8808</v>
      </c>
      <c r="E748" s="6" t="s">
        <v>61</v>
      </c>
      <c r="F748" s="12" t="str">
        <f>IFERROR(__xludf.DUMMYFUNCTION("GOOGLETRANSLATE(B748,""zh_cn"",""vi"")"),"hết cái này đến cái khác")</f>
        <v>hết cái này đến cái khác</v>
      </c>
      <c r="G748" s="20" t="s">
        <v>8809</v>
      </c>
      <c r="H748" s="6"/>
      <c r="I748" s="11" t="b">
        <f t="shared" si="2"/>
        <v>0</v>
      </c>
      <c r="J748" s="24"/>
      <c r="K748" s="11" t="b">
        <f t="shared" si="3"/>
        <v>0</v>
      </c>
    </row>
    <row r="749" ht="22.5" customHeight="1">
      <c r="A749" s="12">
        <f t="shared" si="4"/>
        <v>2747</v>
      </c>
      <c r="B749" s="30" t="s">
        <v>8810</v>
      </c>
      <c r="C749" s="7" t="str">
        <f t="shared" si="5"/>
        <v>🔊</v>
      </c>
      <c r="D749" s="8" t="s">
        <v>8811</v>
      </c>
      <c r="E749" s="6" t="s">
        <v>232</v>
      </c>
      <c r="F749" s="12" t="str">
        <f>IFERROR(__xludf.DUMMYFUNCTION("GOOGLETRANSLATE(B749,""zh_cn"",""vi"")"),"ghi âm")</f>
        <v>ghi âm</v>
      </c>
      <c r="G749" s="20" t="s">
        <v>8812</v>
      </c>
      <c r="H749" s="6"/>
      <c r="I749" s="11" t="b">
        <f t="shared" si="2"/>
        <v>0</v>
      </c>
      <c r="J749" s="24"/>
      <c r="K749" s="11" t="b">
        <f t="shared" si="3"/>
        <v>0</v>
      </c>
    </row>
    <row r="750" ht="22.5" customHeight="1">
      <c r="A750" s="12">
        <f t="shared" si="4"/>
        <v>2748</v>
      </c>
      <c r="B750" s="30" t="s">
        <v>8813</v>
      </c>
      <c r="C750" s="7" t="str">
        <f t="shared" si="5"/>
        <v>🔊</v>
      </c>
      <c r="D750" s="8" t="s">
        <v>8814</v>
      </c>
      <c r="E750" s="6" t="s">
        <v>13</v>
      </c>
      <c r="F750" s="12" t="str">
        <f>IFERROR(__xludf.DUMMYFUNCTION("GOOGLETRANSLATE(B750,""zh_cn"",""vi"")"),"mắng mỏ")</f>
        <v>mắng mỏ</v>
      </c>
      <c r="G750" s="20" t="s">
        <v>8815</v>
      </c>
      <c r="H750" s="6"/>
      <c r="I750" s="11" t="b">
        <f t="shared" si="2"/>
        <v>0</v>
      </c>
      <c r="J750" s="24"/>
      <c r="K750" s="11" t="b">
        <f t="shared" si="3"/>
        <v>0</v>
      </c>
    </row>
    <row r="751" ht="22.5" customHeight="1">
      <c r="A751" s="12">
        <f t="shared" si="4"/>
        <v>2749</v>
      </c>
      <c r="B751" s="30" t="s">
        <v>8816</v>
      </c>
      <c r="C751" s="7" t="str">
        <f t="shared" si="5"/>
        <v>🔊</v>
      </c>
      <c r="D751" s="8" t="s">
        <v>8817</v>
      </c>
      <c r="E751" s="6" t="s">
        <v>27</v>
      </c>
      <c r="F751" s="12" t="str">
        <f>IFERROR(__xludf.DUMMYFUNCTION("GOOGLETRANSLATE(B751,""zh_cn"",""vi"")"),"mua bán")</f>
        <v>mua bán</v>
      </c>
      <c r="G751" s="20" t="s">
        <v>8818</v>
      </c>
      <c r="H751" s="6"/>
      <c r="I751" s="11" t="b">
        <f t="shared" si="2"/>
        <v>0</v>
      </c>
      <c r="J751" s="24"/>
      <c r="K751" s="11" t="b">
        <f t="shared" si="3"/>
        <v>0</v>
      </c>
    </row>
    <row r="752" ht="22.5" customHeight="1">
      <c r="A752" s="12">
        <f t="shared" si="4"/>
        <v>2750</v>
      </c>
      <c r="B752" s="30" t="s">
        <v>8819</v>
      </c>
      <c r="C752" s="7" t="str">
        <f t="shared" si="5"/>
        <v>🔊</v>
      </c>
      <c r="D752" s="8" t="s">
        <v>8820</v>
      </c>
      <c r="E752" s="6" t="s">
        <v>99</v>
      </c>
      <c r="F752" s="12" t="str">
        <f>IFERROR(__xludf.DUMMYFUNCTION("GOOGLETRANSLATE(B752,""zh_cn"",""vi"")"),"Bận")</f>
        <v>Bận</v>
      </c>
      <c r="G752" s="20" t="s">
        <v>8821</v>
      </c>
      <c r="H752" s="6"/>
      <c r="I752" s="11" t="b">
        <f t="shared" si="2"/>
        <v>0</v>
      </c>
      <c r="J752" s="24"/>
      <c r="K752" s="11" t="b">
        <f t="shared" si="3"/>
        <v>0</v>
      </c>
    </row>
    <row r="753" ht="22.5" customHeight="1">
      <c r="A753" s="12">
        <f t="shared" si="4"/>
        <v>2751</v>
      </c>
      <c r="B753" s="30" t="s">
        <v>8822</v>
      </c>
      <c r="C753" s="7" t="str">
        <f t="shared" si="5"/>
        <v>🔊</v>
      </c>
      <c r="D753" s="8" t="s">
        <v>8823</v>
      </c>
      <c r="E753" s="6" t="s">
        <v>13</v>
      </c>
      <c r="F753" s="12" t="str">
        <f>IFERROR(__xludf.DUMMYFUNCTION("GOOGLETRANSLATE(B753,""zh_cn"",""vi"")"),"thỏa mãn")</f>
        <v>thỏa mãn</v>
      </c>
      <c r="G753" s="20" t="s">
        <v>8824</v>
      </c>
      <c r="H753" s="6"/>
      <c r="I753" s="11" t="b">
        <f t="shared" si="2"/>
        <v>0</v>
      </c>
      <c r="J753" s="24"/>
      <c r="K753" s="11" t="b">
        <f t="shared" si="3"/>
        <v>0</v>
      </c>
    </row>
    <row r="754" ht="22.5" customHeight="1">
      <c r="A754" s="12">
        <f t="shared" si="4"/>
        <v>2752</v>
      </c>
      <c r="B754" s="30" t="s">
        <v>8825</v>
      </c>
      <c r="C754" s="7" t="str">
        <f t="shared" si="5"/>
        <v>🔊</v>
      </c>
      <c r="D754" s="8" t="s">
        <v>8826</v>
      </c>
      <c r="E754" s="6" t="s">
        <v>27</v>
      </c>
      <c r="F754" s="12" t="str">
        <f>IFERROR(__xludf.DUMMYFUNCTION("GOOGLETRANSLATE(B754,""zh_cn"",""vi"")"),"bút thư pháp")</f>
        <v>bút thư pháp</v>
      </c>
      <c r="G754" s="20" t="s">
        <v>8827</v>
      </c>
      <c r="H754" s="6"/>
      <c r="I754" s="11" t="b">
        <f t="shared" si="2"/>
        <v>0</v>
      </c>
      <c r="J754" s="24"/>
      <c r="K754" s="11" t="b">
        <f t="shared" si="3"/>
        <v>0</v>
      </c>
    </row>
    <row r="755" ht="22.5" customHeight="1">
      <c r="A755" s="12">
        <f t="shared" si="4"/>
        <v>2753</v>
      </c>
      <c r="B755" s="30" t="s">
        <v>8828</v>
      </c>
      <c r="C755" s="7" t="str">
        <f t="shared" si="5"/>
        <v>🔊</v>
      </c>
      <c r="D755" s="8" t="s">
        <v>8829</v>
      </c>
      <c r="E755" s="6" t="s">
        <v>27</v>
      </c>
      <c r="F755" s="12" t="str">
        <f>IFERROR(__xludf.DUMMYFUNCTION("GOOGLETRANSLATE(B755,""zh_cn"",""vi"")"),"Vấn đề")</f>
        <v>Vấn đề</v>
      </c>
      <c r="G755" s="20" t="s">
        <v>8830</v>
      </c>
      <c r="H755" s="6"/>
      <c r="I755" s="11" t="b">
        <f t="shared" si="2"/>
        <v>0</v>
      </c>
      <c r="J755" s="24"/>
      <c r="K755" s="11" t="b">
        <f t="shared" si="3"/>
        <v>0</v>
      </c>
    </row>
    <row r="756" ht="22.5" customHeight="1">
      <c r="A756" s="12">
        <f t="shared" si="4"/>
        <v>2754</v>
      </c>
      <c r="B756" s="30" t="s">
        <v>8831</v>
      </c>
      <c r="C756" s="7" t="str">
        <f t="shared" si="5"/>
        <v>🔊</v>
      </c>
      <c r="D756" s="8" t="s">
        <v>8832</v>
      </c>
      <c r="E756" s="6" t="s">
        <v>6727</v>
      </c>
      <c r="F756" s="12" t="str">
        <f>IFERROR(__xludf.DUMMYFUNCTION("GOOGLETRANSLATE(B756,""zh_cn"",""vi"")"),"mâu thuẫn")</f>
        <v>mâu thuẫn</v>
      </c>
      <c r="G756" s="20" t="s">
        <v>8833</v>
      </c>
      <c r="H756" s="6"/>
      <c r="I756" s="11" t="b">
        <f t="shared" si="2"/>
        <v>0</v>
      </c>
      <c r="J756" s="24"/>
      <c r="K756" s="11" t="b">
        <f t="shared" si="3"/>
        <v>0</v>
      </c>
    </row>
    <row r="757" ht="22.5" customHeight="1">
      <c r="A757" s="12">
        <f t="shared" si="4"/>
        <v>2755</v>
      </c>
      <c r="B757" s="30" t="s">
        <v>8834</v>
      </c>
      <c r="C757" s="7" t="str">
        <f t="shared" si="5"/>
        <v>🔊</v>
      </c>
      <c r="D757" s="8" t="s">
        <v>8835</v>
      </c>
      <c r="E757" s="6" t="s">
        <v>13</v>
      </c>
      <c r="F757" s="12" t="str">
        <f>IFERROR(__xludf.DUMMYFUNCTION("GOOGLETRANSLATE(B757,""zh_cn"",""vi"")"),"Không đời nào")</f>
        <v>Không đời nào</v>
      </c>
      <c r="G757" s="20" t="s">
        <v>8836</v>
      </c>
      <c r="H757" s="6"/>
      <c r="I757" s="11" t="b">
        <f t="shared" si="2"/>
        <v>0</v>
      </c>
      <c r="J757" s="24"/>
      <c r="K757" s="11" t="b">
        <f t="shared" si="3"/>
        <v>0</v>
      </c>
    </row>
    <row r="758" ht="22.5" customHeight="1">
      <c r="A758" s="12">
        <f t="shared" si="4"/>
        <v>2756</v>
      </c>
      <c r="B758" s="30" t="s">
        <v>8837</v>
      </c>
      <c r="C758" s="7" t="str">
        <f t="shared" si="5"/>
        <v>🔊</v>
      </c>
      <c r="D758" s="8" t="s">
        <v>8838</v>
      </c>
      <c r="E758" s="6" t="s">
        <v>27</v>
      </c>
      <c r="F758" s="12" t="str">
        <f>IFERROR(__xludf.DUMMYFUNCTION("GOOGLETRANSLATE(B758,""zh_cn"",""vi"")"),"Hoa hồng")</f>
        <v>Hoa hồng</v>
      </c>
      <c r="G758" s="20" t="s">
        <v>8839</v>
      </c>
      <c r="H758" s="6"/>
      <c r="I758" s="11" t="b">
        <f t="shared" si="2"/>
        <v>0</v>
      </c>
      <c r="J758" s="24"/>
      <c r="K758" s="11" t="b">
        <f t="shared" si="3"/>
        <v>0</v>
      </c>
    </row>
    <row r="759" ht="22.5" customHeight="1">
      <c r="A759" s="12">
        <f t="shared" si="4"/>
        <v>2757</v>
      </c>
      <c r="B759" s="30" t="s">
        <v>8840</v>
      </c>
      <c r="C759" s="7" t="str">
        <f t="shared" si="5"/>
        <v>🔊</v>
      </c>
      <c r="D759" s="8" t="s">
        <v>8841</v>
      </c>
      <c r="E759" s="6" t="s">
        <v>27</v>
      </c>
      <c r="F759" s="12" t="str">
        <f>IFERROR(__xludf.DUMMYFUNCTION("GOOGLETRANSLATE(B759,""zh_cn"",""vi"")"),"sự quyến rũ")</f>
        <v>sự quyến rũ</v>
      </c>
      <c r="G759" s="20" t="s">
        <v>8842</v>
      </c>
      <c r="H759" s="6"/>
      <c r="I759" s="11" t="b">
        <f t="shared" si="2"/>
        <v>0</v>
      </c>
      <c r="J759" s="24"/>
      <c r="K759" s="11" t="b">
        <f t="shared" si="3"/>
        <v>0</v>
      </c>
    </row>
    <row r="760" ht="22.5" customHeight="1">
      <c r="A760" s="12">
        <f t="shared" si="4"/>
        <v>2758</v>
      </c>
      <c r="B760" s="30" t="s">
        <v>8843</v>
      </c>
      <c r="C760" s="7" t="str">
        <f t="shared" si="5"/>
        <v>🔊</v>
      </c>
      <c r="D760" s="8" t="s">
        <v>8844</v>
      </c>
      <c r="E760" s="6" t="s">
        <v>27</v>
      </c>
      <c r="F760" s="12" t="str">
        <f>IFERROR(__xludf.DUMMYFUNCTION("GOOGLETRANSLATE(B760,""zh_cn"",""vi"")"),"nghệ thuật")</f>
        <v>nghệ thuật</v>
      </c>
      <c r="G760" s="20" t="s">
        <v>8845</v>
      </c>
      <c r="H760" s="6"/>
      <c r="I760" s="11" t="b">
        <f t="shared" si="2"/>
        <v>0</v>
      </c>
      <c r="J760" s="24"/>
      <c r="K760" s="11" t="b">
        <f t="shared" si="3"/>
        <v>0</v>
      </c>
    </row>
    <row r="761" ht="22.5" customHeight="1">
      <c r="A761" s="12">
        <f t="shared" si="4"/>
        <v>2759</v>
      </c>
      <c r="B761" s="30" t="s">
        <v>8846</v>
      </c>
      <c r="C761" s="7" t="str">
        <f t="shared" si="5"/>
        <v>🔊</v>
      </c>
      <c r="D761" s="8" t="s">
        <v>8847</v>
      </c>
      <c r="E761" s="6" t="s">
        <v>27</v>
      </c>
      <c r="F761" s="12" t="str">
        <f>IFERROR(__xludf.DUMMYFUNCTION("GOOGLETRANSLATE(B761,""zh_cn"",""vi"")"),"phương tiện truyền thông")</f>
        <v>phương tiện truyền thông</v>
      </c>
      <c r="G761" s="20" t="s">
        <v>8848</v>
      </c>
      <c r="H761" s="6"/>
      <c r="I761" s="11" t="b">
        <f t="shared" si="2"/>
        <v>0</v>
      </c>
      <c r="J761" s="24"/>
      <c r="K761" s="11" t="b">
        <f t="shared" si="3"/>
        <v>0</v>
      </c>
    </row>
    <row r="762" ht="22.5" customHeight="1">
      <c r="A762" s="12">
        <f t="shared" si="4"/>
        <v>2760</v>
      </c>
      <c r="B762" s="30" t="s">
        <v>8849</v>
      </c>
      <c r="C762" s="7" t="str">
        <f t="shared" si="5"/>
        <v>🔊</v>
      </c>
      <c r="D762" s="8" t="s">
        <v>8850</v>
      </c>
      <c r="E762" s="6" t="s">
        <v>27</v>
      </c>
      <c r="F762" s="12" t="str">
        <f>IFERROR(__xludf.DUMMYFUNCTION("GOOGLETRANSLATE(B762,""zh_cn"",""vi"")"),"ngon")</f>
        <v>ngon</v>
      </c>
      <c r="G762" s="20" t="s">
        <v>8851</v>
      </c>
      <c r="H762" s="6"/>
      <c r="I762" s="11" t="b">
        <f t="shared" si="2"/>
        <v>0</v>
      </c>
      <c r="J762" s="24"/>
      <c r="K762" s="11" t="b">
        <f t="shared" si="3"/>
        <v>0</v>
      </c>
    </row>
    <row r="763" ht="22.5" customHeight="1">
      <c r="A763" s="12">
        <f t="shared" si="4"/>
        <v>2761</v>
      </c>
      <c r="B763" s="30" t="s">
        <v>8852</v>
      </c>
      <c r="C763" s="7" t="str">
        <f t="shared" si="5"/>
        <v>🔊</v>
      </c>
      <c r="D763" s="8" t="s">
        <v>8853</v>
      </c>
      <c r="E763" s="6" t="s">
        <v>13</v>
      </c>
      <c r="F763" s="12" t="str">
        <f>IFERROR(__xludf.DUMMYFUNCTION("GOOGLETRANSLATE(B763,""zh_cn"",""vi"")"),"phòng khám ngoại trú")</f>
        <v>phòng khám ngoại trú</v>
      </c>
      <c r="G763" s="20" t="s">
        <v>8854</v>
      </c>
      <c r="H763" s="6"/>
      <c r="I763" s="11" t="b">
        <f t="shared" si="2"/>
        <v>0</v>
      </c>
      <c r="J763" s="24"/>
      <c r="K763" s="11" t="b">
        <f t="shared" si="3"/>
        <v>0</v>
      </c>
    </row>
    <row r="764" ht="22.5" customHeight="1">
      <c r="A764" s="12">
        <f t="shared" si="4"/>
        <v>2762</v>
      </c>
      <c r="B764" s="30" t="s">
        <v>8855</v>
      </c>
      <c r="C764" s="7" t="str">
        <f t="shared" si="5"/>
        <v>🔊</v>
      </c>
      <c r="D764" s="8" t="s">
        <v>8856</v>
      </c>
      <c r="E764" s="6" t="s">
        <v>13</v>
      </c>
      <c r="F764" s="12" t="str">
        <f>IFERROR(__xludf.DUMMYFUNCTION("GOOGLETRANSLATE(B764,""zh_cn"",""vi"")"),"cái quạt")</f>
        <v>cái quạt</v>
      </c>
      <c r="G764" s="20" t="s">
        <v>8857</v>
      </c>
      <c r="H764" s="6"/>
      <c r="I764" s="11" t="b">
        <f t="shared" si="2"/>
        <v>0</v>
      </c>
      <c r="J764" s="24"/>
      <c r="K764" s="11" t="b">
        <f t="shared" si="3"/>
        <v>0</v>
      </c>
    </row>
    <row r="765" ht="22.5" customHeight="1">
      <c r="A765" s="12">
        <f t="shared" si="4"/>
        <v>2763</v>
      </c>
      <c r="B765" s="30" t="s">
        <v>8858</v>
      </c>
      <c r="C765" s="7" t="str">
        <f t="shared" si="5"/>
        <v>🔊</v>
      </c>
      <c r="D765" s="8" t="s">
        <v>1374</v>
      </c>
      <c r="E765" s="6" t="s">
        <v>27</v>
      </c>
      <c r="F765" s="12" t="str">
        <f>IFERROR(__xludf.DUMMYFUNCTION("GOOGLETRANSLATE(B765,""zh_cn"",""vi"")"),"Trang 2")</f>
        <v>Trang 2</v>
      </c>
      <c r="G765" s="20" t="s">
        <v>8859</v>
      </c>
      <c r="H765" s="6"/>
      <c r="I765" s="11" t="b">
        <f t="shared" si="2"/>
        <v>0</v>
      </c>
      <c r="J765" s="24"/>
      <c r="K765" s="11" t="b">
        <f t="shared" si="3"/>
        <v>0</v>
      </c>
    </row>
    <row r="766" ht="22.5" customHeight="1">
      <c r="A766" s="12">
        <f t="shared" si="4"/>
        <v>2764</v>
      </c>
      <c r="B766" s="30" t="s">
        <v>8860</v>
      </c>
      <c r="C766" s="7" t="str">
        <f t="shared" si="5"/>
        <v>🔊</v>
      </c>
      <c r="D766" s="8" t="s">
        <v>8861</v>
      </c>
      <c r="E766" s="6" t="s">
        <v>27</v>
      </c>
      <c r="F766" s="12" t="str">
        <f>IFERROR(__xludf.DUMMYFUNCTION("GOOGLETRANSLATE(B766,""zh_cn"",""vi"")"),"khu vực")</f>
        <v>khu vực</v>
      </c>
      <c r="G766" s="20" t="s">
        <v>8862</v>
      </c>
      <c r="H766" s="6"/>
      <c r="I766" s="11" t="b">
        <f t="shared" si="2"/>
        <v>0</v>
      </c>
      <c r="J766" s="24"/>
      <c r="K766" s="11" t="b">
        <f t="shared" si="3"/>
        <v>0</v>
      </c>
    </row>
    <row r="767" ht="22.5" customHeight="1">
      <c r="A767" s="12">
        <f t="shared" si="4"/>
        <v>2765</v>
      </c>
      <c r="B767" s="30" t="s">
        <v>8863</v>
      </c>
      <c r="C767" s="7" t="str">
        <f t="shared" si="5"/>
        <v>🔊</v>
      </c>
      <c r="D767" s="8" t="s">
        <v>8864</v>
      </c>
      <c r="E767" s="6" t="s">
        <v>13</v>
      </c>
      <c r="F767" s="12" t="str">
        <f>IFERROR(__xludf.DUMMYFUNCTION("GOOGLETRANSLATE(B767,""zh_cn"",""vi"")"),"Đối diện")</f>
        <v>Đối diện</v>
      </c>
      <c r="G767" s="20" t="s">
        <v>8865</v>
      </c>
      <c r="H767" s="6"/>
      <c r="I767" s="11" t="b">
        <f t="shared" si="2"/>
        <v>0</v>
      </c>
      <c r="J767" s="24"/>
      <c r="K767" s="11" t="b">
        <f t="shared" si="3"/>
        <v>0</v>
      </c>
    </row>
    <row r="768" ht="22.5" customHeight="1">
      <c r="A768" s="12">
        <f t="shared" si="4"/>
        <v>2766</v>
      </c>
      <c r="B768" s="30" t="s">
        <v>8866</v>
      </c>
      <c r="C768" s="7" t="str">
        <f t="shared" si="5"/>
        <v>🔊</v>
      </c>
      <c r="D768" s="8" t="s">
        <v>8867</v>
      </c>
      <c r="E768" s="6" t="s">
        <v>13</v>
      </c>
      <c r="F768" s="12" t="str">
        <f>IFERROR(__xludf.DUMMYFUNCTION("GOOGLETRANSLATE(B768,""zh_cn"",""vi"")"),"Định hướng")</f>
        <v>Định hướng</v>
      </c>
      <c r="G768" s="20" t="s">
        <v>8868</v>
      </c>
      <c r="H768" s="6"/>
      <c r="I768" s="11" t="b">
        <f t="shared" si="2"/>
        <v>0</v>
      </c>
      <c r="J768" s="24"/>
      <c r="K768" s="11" t="b">
        <f t="shared" si="3"/>
        <v>0</v>
      </c>
    </row>
    <row r="769" ht="22.5" customHeight="1">
      <c r="A769" s="12">
        <f t="shared" si="4"/>
        <v>2767</v>
      </c>
      <c r="B769" s="30" t="s">
        <v>8869</v>
      </c>
      <c r="C769" s="7" t="str">
        <f t="shared" si="5"/>
        <v>🔊</v>
      </c>
      <c r="D769" s="8" t="s">
        <v>8870</v>
      </c>
      <c r="E769" s="6" t="s">
        <v>13</v>
      </c>
      <c r="F769" s="12" t="str">
        <f>IFERROR(__xludf.DUMMYFUNCTION("GOOGLETRANSLATE(B769,""zh_cn"",""vi"")"),"mô tả")</f>
        <v>mô tả</v>
      </c>
      <c r="G769" s="20" t="s">
        <v>8871</v>
      </c>
      <c r="H769" s="6"/>
      <c r="I769" s="11" t="b">
        <f t="shared" si="2"/>
        <v>0</v>
      </c>
      <c r="J769" s="24"/>
      <c r="K769" s="11" t="b">
        <f t="shared" si="3"/>
        <v>0</v>
      </c>
    </row>
    <row r="770" ht="22.5" customHeight="1">
      <c r="A770" s="12">
        <f t="shared" si="4"/>
        <v>2768</v>
      </c>
      <c r="B770" s="30" t="s">
        <v>8872</v>
      </c>
      <c r="C770" s="7" t="str">
        <f t="shared" si="5"/>
        <v>🔊</v>
      </c>
      <c r="D770" s="8" t="s">
        <v>8873</v>
      </c>
      <c r="E770" s="6" t="s">
        <v>13</v>
      </c>
      <c r="F770" s="12" t="str">
        <f>IFERROR(__xludf.DUMMYFUNCTION("GOOGLETRANSLATE(B770,""zh_cn"",""vi"")"),"lạc đường")</f>
        <v>lạc đường</v>
      </c>
      <c r="G770" s="20" t="s">
        <v>8874</v>
      </c>
      <c r="H770" s="6"/>
      <c r="I770" s="11" t="b">
        <f t="shared" si="2"/>
        <v>0</v>
      </c>
      <c r="J770" s="24"/>
      <c r="K770" s="11" t="b">
        <f t="shared" si="3"/>
        <v>0</v>
      </c>
    </row>
    <row r="771" ht="22.5" customHeight="1">
      <c r="A771" s="12">
        <f t="shared" si="4"/>
        <v>2769</v>
      </c>
      <c r="B771" s="30" t="s">
        <v>8875</v>
      </c>
      <c r="C771" s="7" t="str">
        <f t="shared" si="5"/>
        <v>🔊</v>
      </c>
      <c r="D771" s="8" t="s">
        <v>8876</v>
      </c>
      <c r="E771" s="6" t="s">
        <v>1164</v>
      </c>
      <c r="F771" s="12" t="str">
        <f>IFERROR(__xludf.DUMMYFUNCTION("GOOGLETRANSLATE(B771,""zh_cn"",""vi"")"),"bí mật")</f>
        <v>bí mật</v>
      </c>
      <c r="G771" s="20" t="s">
        <v>8877</v>
      </c>
      <c r="H771" s="6"/>
      <c r="I771" s="11" t="b">
        <f t="shared" si="2"/>
        <v>0</v>
      </c>
      <c r="J771" s="24"/>
      <c r="K771" s="11" t="b">
        <f t="shared" si="3"/>
        <v>0</v>
      </c>
    </row>
    <row r="772" ht="22.5" customHeight="1">
      <c r="A772" s="12">
        <f t="shared" si="4"/>
        <v>2770</v>
      </c>
      <c r="B772" s="30" t="s">
        <v>8878</v>
      </c>
      <c r="C772" s="7" t="str">
        <f t="shared" si="5"/>
        <v>🔊</v>
      </c>
      <c r="D772" s="8" t="s">
        <v>8879</v>
      </c>
      <c r="E772" s="6" t="s">
        <v>27</v>
      </c>
      <c r="F772" s="12" t="str">
        <f>IFERROR(__xludf.DUMMYFUNCTION("GOOGLETRANSLATE(B772,""zh_cn"",""vi"")"),"Cuộc sống 1")</f>
        <v>Cuộc sống 1</v>
      </c>
      <c r="G772" s="20" t="s">
        <v>8880</v>
      </c>
      <c r="H772" s="6"/>
      <c r="I772" s="11" t="b">
        <f t="shared" si="2"/>
        <v>0</v>
      </c>
      <c r="J772" s="24"/>
      <c r="K772" s="11" t="b">
        <f t="shared" si="3"/>
        <v>0</v>
      </c>
    </row>
    <row r="773" ht="22.5" customHeight="1">
      <c r="A773" s="12">
        <f t="shared" si="4"/>
        <v>2771</v>
      </c>
      <c r="B773" s="30" t="s">
        <v>8881</v>
      </c>
      <c r="C773" s="7" t="str">
        <f t="shared" si="5"/>
        <v>🔊</v>
      </c>
      <c r="D773" s="8" t="s">
        <v>8882</v>
      </c>
      <c r="E773" s="6" t="s">
        <v>99</v>
      </c>
      <c r="F773" s="12" t="str">
        <f>IFERROR(__xludf.DUMMYFUNCTION("GOOGLETRANSLATE(B773,""zh_cn"",""vi"")"),"nhạy cảm")</f>
        <v>nhạy cảm</v>
      </c>
      <c r="G773" s="20" t="s">
        <v>8883</v>
      </c>
      <c r="H773" s="6"/>
      <c r="I773" s="11" t="b">
        <f t="shared" si="2"/>
        <v>0</v>
      </c>
      <c r="J773" s="24"/>
      <c r="K773" s="11" t="b">
        <f t="shared" si="3"/>
        <v>0</v>
      </c>
    </row>
    <row r="774" ht="22.5" customHeight="1">
      <c r="A774" s="12">
        <f t="shared" si="4"/>
        <v>2772</v>
      </c>
      <c r="B774" s="30" t="s">
        <v>8884</v>
      </c>
      <c r="C774" s="7" t="str">
        <f t="shared" si="5"/>
        <v>🔊</v>
      </c>
      <c r="D774" s="8" t="s">
        <v>8885</v>
      </c>
      <c r="E774" s="6" t="s">
        <v>27</v>
      </c>
      <c r="F774" s="12" t="str">
        <f>IFERROR(__xludf.DUMMYFUNCTION("GOOGLETRANSLATE(B774,""zh_cn"",""vi"")"),"tên")</f>
        <v>tên</v>
      </c>
      <c r="G774" s="20" t="s">
        <v>8886</v>
      </c>
      <c r="H774" s="6"/>
      <c r="I774" s="11" t="b">
        <f t="shared" si="2"/>
        <v>0</v>
      </c>
      <c r="J774" s="24"/>
      <c r="K774" s="11" t="b">
        <f t="shared" si="3"/>
        <v>0</v>
      </c>
    </row>
    <row r="775" ht="22.5" customHeight="1">
      <c r="A775" s="12">
        <f t="shared" si="4"/>
        <v>2773</v>
      </c>
      <c r="B775" s="30" t="s">
        <v>8887</v>
      </c>
      <c r="C775" s="7" t="str">
        <f t="shared" si="5"/>
        <v>🔊</v>
      </c>
      <c r="D775" s="8" t="s">
        <v>8888</v>
      </c>
      <c r="E775" s="6" t="s">
        <v>27</v>
      </c>
      <c r="F775" s="12" t="str">
        <f>IFERROR(__xludf.DUMMYFUNCTION("GOOGLETRANSLATE(B775,""zh_cn"",""vi"")"),"thương hiệu nổi tiếng")</f>
        <v>thương hiệu nổi tiếng</v>
      </c>
      <c r="G775" s="20" t="s">
        <v>8889</v>
      </c>
      <c r="H775" s="6"/>
      <c r="I775" s="11" t="b">
        <f t="shared" si="2"/>
        <v>0</v>
      </c>
      <c r="J775" s="24"/>
      <c r="K775" s="11" t="b">
        <f t="shared" si="3"/>
        <v>0</v>
      </c>
    </row>
    <row r="776" ht="22.5" customHeight="1">
      <c r="A776" s="12">
        <f t="shared" si="4"/>
        <v>2774</v>
      </c>
      <c r="B776" s="30" t="s">
        <v>8890</v>
      </c>
      <c r="C776" s="7" t="str">
        <f t="shared" si="5"/>
        <v>🔊</v>
      </c>
      <c r="D776" s="8" t="s">
        <v>8891</v>
      </c>
      <c r="E776" s="6" t="s">
        <v>27</v>
      </c>
      <c r="F776" s="12" t="str">
        <f>IFERROR(__xludf.DUMMYFUNCTION("GOOGLETRANSLATE(B776,""zh_cn"",""vi"")"),"danh thiếp")</f>
        <v>danh thiếp</v>
      </c>
      <c r="G776" s="20" t="s">
        <v>8892</v>
      </c>
      <c r="H776" s="6"/>
      <c r="I776" s="11" t="b">
        <f t="shared" si="2"/>
        <v>0</v>
      </c>
      <c r="J776" s="24"/>
      <c r="K776" s="11" t="b">
        <f t="shared" si="3"/>
        <v>0</v>
      </c>
    </row>
    <row r="777" ht="22.5" customHeight="1">
      <c r="A777" s="12">
        <f t="shared" si="4"/>
        <v>2775</v>
      </c>
      <c r="B777" s="30" t="s">
        <v>8893</v>
      </c>
      <c r="C777" s="7" t="str">
        <f t="shared" si="5"/>
        <v>🔊</v>
      </c>
      <c r="D777" s="8" t="s">
        <v>8894</v>
      </c>
      <c r="E777" s="6" t="s">
        <v>416</v>
      </c>
      <c r="F777" s="12" t="str">
        <f>IFERROR(__xludf.DUMMYFUNCTION("GOOGLETRANSLATE(B777,""zh_cn"",""vi"")"),"thông thoáng")</f>
        <v>thông thoáng</v>
      </c>
      <c r="G777" s="20" t="s">
        <v>8895</v>
      </c>
      <c r="H777" s="6"/>
      <c r="I777" s="11" t="b">
        <f t="shared" si="2"/>
        <v>0</v>
      </c>
      <c r="J777" s="24"/>
      <c r="K777" s="11" t="b">
        <f t="shared" si="3"/>
        <v>0</v>
      </c>
    </row>
    <row r="778" ht="22.5" customHeight="1">
      <c r="A778" s="12">
        <f t="shared" si="4"/>
        <v>2776</v>
      </c>
      <c r="B778" s="30" t="s">
        <v>8896</v>
      </c>
      <c r="C778" s="7" t="str">
        <f t="shared" si="5"/>
        <v>🔊</v>
      </c>
      <c r="D778" s="8" t="s">
        <v>8897</v>
      </c>
      <c r="E778" s="6" t="s">
        <v>99</v>
      </c>
      <c r="F778" s="12" t="str">
        <f>IFERROR(__xludf.DUMMYFUNCTION("GOOGLETRANSLATE(B778,""zh_cn"",""vi"")"),"rõ ràng")</f>
        <v>rõ ràng</v>
      </c>
      <c r="G778" s="20" t="s">
        <v>8898</v>
      </c>
      <c r="H778" s="6"/>
      <c r="I778" s="11" t="b">
        <f t="shared" si="2"/>
        <v>0</v>
      </c>
      <c r="J778" s="24"/>
      <c r="K778" s="11" t="b">
        <f t="shared" si="3"/>
        <v>0</v>
      </c>
    </row>
    <row r="779" ht="22.5" customHeight="1">
      <c r="A779" s="12">
        <f t="shared" si="4"/>
        <v>2777</v>
      </c>
      <c r="B779" s="30" t="s">
        <v>8899</v>
      </c>
      <c r="C779" s="7" t="str">
        <f t="shared" si="5"/>
        <v>🔊</v>
      </c>
      <c r="D779" s="8" t="s">
        <v>8900</v>
      </c>
      <c r="E779" s="6" t="s">
        <v>27</v>
      </c>
      <c r="F779" s="12" t="str">
        <f>IFERROR(__xludf.DUMMYFUNCTION("GOOGLETRANSLATE(B779,""zh_cn"",""vi"")"),"ngôi sao")</f>
        <v>ngôi sao</v>
      </c>
      <c r="G779" s="20" t="s">
        <v>8901</v>
      </c>
      <c r="H779" s="6"/>
      <c r="I779" s="11" t="b">
        <f t="shared" si="2"/>
        <v>0</v>
      </c>
      <c r="J779" s="24"/>
      <c r="K779" s="11" t="b">
        <f t="shared" si="3"/>
        <v>0</v>
      </c>
    </row>
    <row r="780" ht="22.5" customHeight="1">
      <c r="A780" s="12">
        <f t="shared" si="4"/>
        <v>2778</v>
      </c>
      <c r="B780" s="30" t="s">
        <v>8902</v>
      </c>
      <c r="C780" s="7" t="str">
        <f t="shared" si="5"/>
        <v>🔊</v>
      </c>
      <c r="D780" s="8" t="s">
        <v>8903</v>
      </c>
      <c r="E780" s="6" t="s">
        <v>27</v>
      </c>
      <c r="F780" s="12" t="str">
        <f>IFERROR(__xludf.DUMMYFUNCTION("GOOGLETRANSLATE(B780,""zh_cn"",""vi"")"),"định mệnh")</f>
        <v>định mệnh</v>
      </c>
      <c r="G780" s="20" t="s">
        <v>8904</v>
      </c>
      <c r="H780" s="6"/>
      <c r="I780" s="11" t="b">
        <f t="shared" si="2"/>
        <v>0</v>
      </c>
      <c r="J780" s="24"/>
      <c r="K780" s="11" t="b">
        <f t="shared" si="3"/>
        <v>0</v>
      </c>
    </row>
    <row r="781" ht="22.5" customHeight="1">
      <c r="A781" s="12">
        <f t="shared" si="4"/>
        <v>2779</v>
      </c>
      <c r="B781" s="30" t="s">
        <v>8905</v>
      </c>
      <c r="C781" s="7" t="str">
        <f t="shared" si="5"/>
        <v>🔊</v>
      </c>
      <c r="D781" s="8" t="s">
        <v>8906</v>
      </c>
      <c r="E781" s="6" t="s">
        <v>416</v>
      </c>
      <c r="F781" s="12" t="str">
        <f>IFERROR(__xludf.DUMMYFUNCTION("GOOGLETRANSLATE(B781,""zh_cn"",""vi"")"),"đóng")</f>
        <v>đóng</v>
      </c>
      <c r="G781" s="20" t="s">
        <v>8907</v>
      </c>
      <c r="H781" s="6"/>
      <c r="I781" s="11" t="b">
        <f t="shared" si="2"/>
        <v>0</v>
      </c>
      <c r="J781" s="24"/>
      <c r="K781" s="11" t="b">
        <f t="shared" si="3"/>
        <v>0</v>
      </c>
    </row>
    <row r="782" ht="22.5" customHeight="1">
      <c r="A782" s="12">
        <f t="shared" si="4"/>
        <v>2780</v>
      </c>
      <c r="B782" s="30" t="s">
        <v>8908</v>
      </c>
      <c r="C782" s="7" t="str">
        <f t="shared" si="5"/>
        <v>🔊</v>
      </c>
      <c r="D782" s="8" t="s">
        <v>8909</v>
      </c>
      <c r="E782" s="6" t="s">
        <v>27</v>
      </c>
      <c r="F782" s="12" t="str">
        <f>IFERROR(__xludf.DUMMYFUNCTION("GOOGLETRANSLATE(B782,""zh_cn"",""vi"")"),"thư ký")</f>
        <v>thư ký</v>
      </c>
      <c r="G782" s="20" t="s">
        <v>8910</v>
      </c>
      <c r="H782" s="6"/>
      <c r="I782" s="11" t="b">
        <f t="shared" si="2"/>
        <v>0</v>
      </c>
      <c r="J782" s="24"/>
      <c r="K782" s="11" t="b">
        <f t="shared" si="3"/>
        <v>0</v>
      </c>
    </row>
    <row r="783" ht="22.5" customHeight="1">
      <c r="A783" s="12">
        <f t="shared" si="4"/>
        <v>2781</v>
      </c>
      <c r="B783" s="30" t="s">
        <v>8911</v>
      </c>
      <c r="C783" s="7" t="str">
        <f t="shared" si="5"/>
        <v>🔊</v>
      </c>
      <c r="D783" s="8" t="s">
        <v>8912</v>
      </c>
      <c r="E783" s="6" t="s">
        <v>13</v>
      </c>
      <c r="F783" s="12" t="str">
        <f>IFERROR(__xludf.DUMMYFUNCTION("GOOGLETRANSLATE(B783,""zh_cn"",""vi"")"),"chạm")</f>
        <v>chạm</v>
      </c>
      <c r="G783" s="20" t="s">
        <v>8913</v>
      </c>
      <c r="H783" s="6"/>
      <c r="I783" s="11" t="b">
        <f t="shared" si="2"/>
        <v>0</v>
      </c>
      <c r="J783" s="24"/>
      <c r="K783" s="11" t="b">
        <f t="shared" si="3"/>
        <v>0</v>
      </c>
    </row>
    <row r="784" ht="22.5" customHeight="1">
      <c r="A784" s="12">
        <f t="shared" si="4"/>
        <v>2782</v>
      </c>
      <c r="B784" s="30" t="s">
        <v>8914</v>
      </c>
      <c r="C784" s="7" t="str">
        <f t="shared" si="5"/>
        <v>🔊</v>
      </c>
      <c r="D784" s="8" t="s">
        <v>8915</v>
      </c>
      <c r="E784" s="6" t="s">
        <v>416</v>
      </c>
      <c r="F784" s="12" t="str">
        <f>IFERROR(__xludf.DUMMYFUNCTION("GOOGLETRANSLATE(B784,""zh_cn"",""vi"")"),"Mơ hồ")</f>
        <v>Mơ hồ</v>
      </c>
      <c r="G784" s="20" t="s">
        <v>8916</v>
      </c>
      <c r="H784" s="6"/>
      <c r="I784" s="11" t="b">
        <f t="shared" si="2"/>
        <v>0</v>
      </c>
      <c r="J784" s="24"/>
      <c r="K784" s="11" t="b">
        <f t="shared" si="3"/>
        <v>0</v>
      </c>
    </row>
    <row r="785" ht="22.5" customHeight="1">
      <c r="A785" s="12">
        <f t="shared" si="4"/>
        <v>2783</v>
      </c>
      <c r="B785" s="30" t="s">
        <v>8917</v>
      </c>
      <c r="C785" s="7" t="str">
        <f t="shared" si="5"/>
        <v>🔊</v>
      </c>
      <c r="D785" s="8" t="s">
        <v>8918</v>
      </c>
      <c r="E785" s="6" t="s">
        <v>99</v>
      </c>
      <c r="F785" s="12" t="str">
        <f>IFERROR(__xludf.DUMMYFUNCTION("GOOGLETRANSLATE(B785,""zh_cn"",""vi"")"),"sự kỳ lạ")</f>
        <v>sự kỳ lạ</v>
      </c>
      <c r="G785" s="20" t="s">
        <v>8919</v>
      </c>
      <c r="H785" s="6"/>
      <c r="I785" s="11" t="b">
        <f t="shared" si="2"/>
        <v>0</v>
      </c>
      <c r="J785" s="24"/>
      <c r="K785" s="11" t="b">
        <f t="shared" si="3"/>
        <v>0</v>
      </c>
    </row>
    <row r="786" ht="22.5" customHeight="1">
      <c r="A786" s="12">
        <f t="shared" si="4"/>
        <v>2784</v>
      </c>
      <c r="B786" s="30" t="s">
        <v>8920</v>
      </c>
      <c r="C786" s="7" t="str">
        <f t="shared" si="5"/>
        <v>🔊</v>
      </c>
      <c r="D786" s="8" t="s">
        <v>8921</v>
      </c>
      <c r="E786" s="6" t="s">
        <v>27</v>
      </c>
      <c r="F786" s="12" t="str">
        <f>IFERROR(__xludf.DUMMYFUNCTION("GOOGLETRANSLATE(B786,""zh_cn"",""vi"")"),"người mẫu")</f>
        <v>người mẫu</v>
      </c>
      <c r="G786" s="20" t="s">
        <v>8922</v>
      </c>
      <c r="H786" s="6"/>
      <c r="I786" s="11" t="b">
        <f t="shared" si="2"/>
        <v>0</v>
      </c>
      <c r="J786" s="24"/>
      <c r="K786" s="11" t="b">
        <f t="shared" si="3"/>
        <v>0</v>
      </c>
    </row>
    <row r="787" ht="22.5" customHeight="1">
      <c r="A787" s="12">
        <f t="shared" si="4"/>
        <v>2785</v>
      </c>
      <c r="B787" s="30" t="s">
        <v>8923</v>
      </c>
      <c r="C787" s="7" t="str">
        <f t="shared" si="5"/>
        <v>🔊</v>
      </c>
      <c r="D787" s="8" t="s">
        <v>8924</v>
      </c>
      <c r="E787" s="6" t="s">
        <v>106</v>
      </c>
      <c r="F787" s="12" t="str">
        <f>IFERROR(__xludf.DUMMYFUNCTION("GOOGLETRANSLATE(B787,""zh_cn"",""vi"")"),"chắc chắn")</f>
        <v>chắc chắn</v>
      </c>
      <c r="G787" s="20" t="s">
        <v>8925</v>
      </c>
      <c r="H787" s="6"/>
      <c r="I787" s="11" t="b">
        <f t="shared" si="2"/>
        <v>0</v>
      </c>
      <c r="J787" s="24"/>
      <c r="K787" s="11" t="b">
        <f t="shared" si="3"/>
        <v>0</v>
      </c>
    </row>
    <row r="788" ht="22.5" customHeight="1">
      <c r="A788" s="12">
        <f t="shared" si="4"/>
        <v>2786</v>
      </c>
      <c r="B788" s="30" t="s">
        <v>8926</v>
      </c>
      <c r="C788" s="7" t="str">
        <f t="shared" si="5"/>
        <v>🔊</v>
      </c>
      <c r="D788" s="8" t="s">
        <v>8927</v>
      </c>
      <c r="E788" s="6" t="s">
        <v>27</v>
      </c>
      <c r="F788" s="12" t="str">
        <f>IFERROR(__xludf.DUMMYFUNCTION("GOOGLETRANSLATE(B788,""zh_cn"",""vi"")"),"Nhìn")</f>
        <v>Nhìn</v>
      </c>
      <c r="G788" s="20" t="s">
        <v>8928</v>
      </c>
      <c r="H788" s="6"/>
      <c r="I788" s="11" t="b">
        <f t="shared" si="2"/>
        <v>0</v>
      </c>
      <c r="J788" s="24"/>
      <c r="K788" s="11" t="b">
        <f t="shared" si="3"/>
        <v>0</v>
      </c>
    </row>
    <row r="789" ht="22.5" customHeight="1">
      <c r="A789" s="12">
        <f t="shared" si="4"/>
        <v>2787</v>
      </c>
      <c r="B789" s="30" t="s">
        <v>8929</v>
      </c>
      <c r="C789" s="7" t="str">
        <f t="shared" si="5"/>
        <v>🔊</v>
      </c>
      <c r="D789" s="8" t="s">
        <v>8930</v>
      </c>
      <c r="E789" s="6" t="s">
        <v>27</v>
      </c>
      <c r="F789" s="12" t="str">
        <f>IFERROR(__xludf.DUMMYFUNCTION("GOOGLETRANSLATE(B789,""zh_cn"",""vi"")"),"gỗ")</f>
        <v>gỗ</v>
      </c>
      <c r="G789" s="20" t="s">
        <v>8931</v>
      </c>
      <c r="H789" s="6"/>
      <c r="I789" s="11" t="b">
        <f t="shared" si="2"/>
        <v>0</v>
      </c>
      <c r="J789" s="24"/>
      <c r="K789" s="11" t="b">
        <f t="shared" si="3"/>
        <v>0</v>
      </c>
    </row>
    <row r="790" ht="22.5" customHeight="1">
      <c r="A790" s="12">
        <f t="shared" si="4"/>
        <v>2788</v>
      </c>
      <c r="B790" s="30" t="s">
        <v>8932</v>
      </c>
      <c r="C790" s="7" t="str">
        <f t="shared" si="5"/>
        <v>🔊</v>
      </c>
      <c r="D790" s="8" t="s">
        <v>8933</v>
      </c>
      <c r="E790" s="6" t="s">
        <v>99</v>
      </c>
      <c r="F790" s="12" t="str">
        <f>IFERROR(__xludf.DUMMYFUNCTION("GOOGLETRANSLATE(B790,""zh_cn"",""vi"")"),"hiếm")</f>
        <v>hiếm</v>
      </c>
      <c r="G790" s="20" t="s">
        <v>8934</v>
      </c>
      <c r="H790" s="6"/>
      <c r="I790" s="11" t="b">
        <f t="shared" si="2"/>
        <v>0</v>
      </c>
      <c r="J790" s="24"/>
      <c r="K790" s="11" t="b">
        <f t="shared" si="3"/>
        <v>0</v>
      </c>
    </row>
    <row r="791" ht="22.5" customHeight="1">
      <c r="A791" s="12">
        <f t="shared" si="4"/>
        <v>2789</v>
      </c>
      <c r="B791" s="30" t="s">
        <v>8935</v>
      </c>
      <c r="C791" s="7" t="str">
        <f t="shared" si="5"/>
        <v>🔊</v>
      </c>
      <c r="D791" s="8" t="s">
        <v>8936</v>
      </c>
      <c r="E791" s="6" t="s">
        <v>27</v>
      </c>
      <c r="F791" s="12" t="str">
        <f>IFERROR(__xludf.DUMMYFUNCTION("GOOGLETRANSLATE(B791,""zh_cn"",""vi"")"),"Khó khăn")</f>
        <v>Khó khăn</v>
      </c>
      <c r="G791" s="20" t="s">
        <v>8937</v>
      </c>
      <c r="H791" s="6"/>
      <c r="I791" s="11" t="b">
        <f t="shared" si="2"/>
        <v>0</v>
      </c>
      <c r="J791" s="24"/>
      <c r="K791" s="11" t="b">
        <f t="shared" si="3"/>
        <v>0</v>
      </c>
    </row>
    <row r="792" ht="22.5" customHeight="1">
      <c r="A792" s="12">
        <f t="shared" si="4"/>
        <v>2790</v>
      </c>
      <c r="B792" s="30" t="s">
        <v>8938</v>
      </c>
      <c r="C792" s="7" t="str">
        <f t="shared" si="5"/>
        <v>🔊</v>
      </c>
      <c r="D792" s="8" t="s">
        <v>8939</v>
      </c>
      <c r="E792" s="6" t="s">
        <v>13</v>
      </c>
      <c r="F792" s="12" t="str">
        <f>IFERROR(__xludf.DUMMYFUNCTION("GOOGLETRANSLATE(B792,""zh_cn"",""vi"")"),"khó ")</f>
        <v>khó </v>
      </c>
      <c r="G792" s="20" t="s">
        <v>8940</v>
      </c>
      <c r="H792" s="6"/>
      <c r="I792" s="11" t="b">
        <f t="shared" si="2"/>
        <v>0</v>
      </c>
      <c r="J792" s="24"/>
      <c r="K792" s="11" t="b">
        <f t="shared" si="3"/>
        <v>0</v>
      </c>
    </row>
    <row r="793" ht="22.5" customHeight="1">
      <c r="A793" s="12">
        <f t="shared" si="4"/>
        <v>2791</v>
      </c>
      <c r="B793" s="30" t="s">
        <v>8941</v>
      </c>
      <c r="C793" s="7" t="str">
        <f t="shared" si="5"/>
        <v>🔊</v>
      </c>
      <c r="D793" s="8" t="s">
        <v>8942</v>
      </c>
      <c r="E793" s="6" t="s">
        <v>27</v>
      </c>
      <c r="F793" s="12" t="str">
        <f>IFERROR(__xludf.DUMMYFUNCTION("GOOGLETRANSLATE(B793,""zh_cn"",""vi"")"),"người đàn ông")</f>
        <v>người đàn ông</v>
      </c>
      <c r="G793" s="20" t="s">
        <v>8943</v>
      </c>
      <c r="H793" s="6"/>
      <c r="I793" s="11" t="b">
        <f t="shared" si="2"/>
        <v>0</v>
      </c>
      <c r="J793" s="24"/>
      <c r="K793" s="11" t="b">
        <f t="shared" si="3"/>
        <v>0</v>
      </c>
    </row>
    <row r="794" ht="22.5" customHeight="1">
      <c r="A794" s="12">
        <f t="shared" si="4"/>
        <v>2792</v>
      </c>
      <c r="B794" s="30" t="s">
        <v>8944</v>
      </c>
      <c r="C794" s="7" t="str">
        <f t="shared" si="5"/>
        <v>🔊</v>
      </c>
      <c r="D794" s="8" t="s">
        <v>8945</v>
      </c>
      <c r="E794" s="6" t="s">
        <v>416</v>
      </c>
      <c r="F794" s="12" t="str">
        <f>IFERROR(__xludf.DUMMYFUNCTION("GOOGLETRANSLATE(B794,""zh_cn"",""vi"")"),"Ồn ào")</f>
        <v>Ồn ào</v>
      </c>
      <c r="G794" s="20" t="s">
        <v>8946</v>
      </c>
      <c r="H794" s="6"/>
      <c r="I794" s="11" t="b">
        <f t="shared" si="2"/>
        <v>0</v>
      </c>
      <c r="J794" s="24"/>
      <c r="K794" s="11" t="b">
        <f t="shared" si="3"/>
        <v>0</v>
      </c>
    </row>
    <row r="795" ht="22.5" customHeight="1">
      <c r="A795" s="12">
        <f t="shared" si="4"/>
        <v>2793</v>
      </c>
      <c r="B795" s="30" t="s">
        <v>8947</v>
      </c>
      <c r="C795" s="7" t="str">
        <f t="shared" si="5"/>
        <v>🔊</v>
      </c>
      <c r="D795" s="8" t="s">
        <v>8948</v>
      </c>
      <c r="E795" s="6" t="s">
        <v>27</v>
      </c>
      <c r="F795" s="12" t="str">
        <f>IFERROR(__xludf.DUMMYFUNCTION("GOOGLETRANSLATE(B795,""zh_cn"",""vi"")"),"Đồng hồ báo thức")</f>
        <v>Đồng hồ báo thức</v>
      </c>
      <c r="G795" s="20" t="s">
        <v>8949</v>
      </c>
      <c r="H795" s="6"/>
      <c r="I795" s="11" t="b">
        <f t="shared" si="2"/>
        <v>0</v>
      </c>
      <c r="J795" s="24"/>
      <c r="K795" s="11" t="b">
        <f t="shared" si="3"/>
        <v>0</v>
      </c>
    </row>
    <row r="796" ht="22.5" customHeight="1">
      <c r="A796" s="12">
        <f t="shared" si="4"/>
        <v>2794</v>
      </c>
      <c r="B796" s="30" t="s">
        <v>8950</v>
      </c>
      <c r="C796" s="7" t="str">
        <f t="shared" si="5"/>
        <v>🔊</v>
      </c>
      <c r="D796" s="8" t="s">
        <v>8951</v>
      </c>
      <c r="E796" s="6" t="s">
        <v>1132</v>
      </c>
      <c r="F796" s="12" t="str">
        <f>IFERROR(__xludf.DUMMYFUNCTION("GOOGLETRANSLATE(B796,""zh_cn"",""vi"")"),"Ngay cả khi")</f>
        <v>Ngay cả khi</v>
      </c>
      <c r="G796" s="20" t="s">
        <v>8952</v>
      </c>
      <c r="H796" s="6"/>
      <c r="I796" s="11" t="b">
        <f t="shared" si="2"/>
        <v>0</v>
      </c>
      <c r="J796" s="24"/>
      <c r="K796" s="11" t="b">
        <f t="shared" si="3"/>
        <v>0</v>
      </c>
    </row>
    <row r="797" ht="22.5" customHeight="1">
      <c r="A797" s="12">
        <f t="shared" si="4"/>
        <v>2795</v>
      </c>
      <c r="B797" s="30" t="s">
        <v>8953</v>
      </c>
      <c r="C797" s="7" t="str">
        <f t="shared" si="5"/>
        <v>🔊</v>
      </c>
      <c r="D797" s="8" t="s">
        <v>8954</v>
      </c>
      <c r="E797" s="6" t="s">
        <v>27</v>
      </c>
      <c r="F797" s="12" t="str">
        <f>IFERROR(__xludf.DUMMYFUNCTION("GOOGLETRANSLATE(B797,""zh_cn"",""vi"")"),"nội bộ")</f>
        <v>nội bộ</v>
      </c>
      <c r="G797" s="20" t="s">
        <v>8955</v>
      </c>
      <c r="H797" s="6"/>
      <c r="I797" s="11" t="b">
        <f t="shared" si="2"/>
        <v>0</v>
      </c>
      <c r="J797" s="24"/>
      <c r="K797" s="11" t="b">
        <f t="shared" si="3"/>
        <v>0</v>
      </c>
    </row>
    <row r="798" ht="22.5" customHeight="1">
      <c r="A798" s="12">
        <f t="shared" si="4"/>
        <v>2796</v>
      </c>
      <c r="B798" s="30" t="s">
        <v>8956</v>
      </c>
      <c r="C798" s="7" t="str">
        <f t="shared" si="5"/>
        <v>🔊</v>
      </c>
      <c r="D798" s="8" t="s">
        <v>8957</v>
      </c>
      <c r="E798" s="6" t="s">
        <v>99</v>
      </c>
      <c r="F798" s="12" t="str">
        <f>IFERROR(__xludf.DUMMYFUNCTION("GOOGLETRANSLATE(B798,""zh_cn"",""vi"")"),"có khả năng")</f>
        <v>có khả năng</v>
      </c>
      <c r="G798" s="20" t="s">
        <v>8958</v>
      </c>
      <c r="H798" s="6"/>
      <c r="I798" s="11" t="b">
        <f t="shared" si="2"/>
        <v>0</v>
      </c>
      <c r="J798" s="24"/>
      <c r="K798" s="11" t="b">
        <f t="shared" si="3"/>
        <v>0</v>
      </c>
    </row>
    <row r="799" ht="22.5" customHeight="1">
      <c r="A799" s="12">
        <f t="shared" si="4"/>
        <v>2797</v>
      </c>
      <c r="B799" s="30" t="s">
        <v>8959</v>
      </c>
      <c r="C799" s="7" t="str">
        <f t="shared" si="5"/>
        <v>🔊</v>
      </c>
      <c r="D799" s="8" t="s">
        <v>8960</v>
      </c>
      <c r="E799" s="6" t="s">
        <v>13</v>
      </c>
      <c r="F799" s="12" t="str">
        <f>IFERROR(__xludf.DUMMYFUNCTION("GOOGLETRANSLATE(B799,""zh_cn"",""vi"")"),"đọc")</f>
        <v>đọc</v>
      </c>
      <c r="G799" s="20" t="s">
        <v>8961</v>
      </c>
      <c r="H799" s="6"/>
      <c r="I799" s="11" t="b">
        <f t="shared" si="2"/>
        <v>0</v>
      </c>
      <c r="J799" s="24"/>
      <c r="K799" s="11" t="b">
        <f t="shared" si="3"/>
        <v>0</v>
      </c>
    </row>
    <row r="800" ht="22.5" customHeight="1">
      <c r="A800" s="12">
        <f t="shared" si="4"/>
        <v>2798</v>
      </c>
      <c r="B800" s="30" t="s">
        <v>8962</v>
      </c>
      <c r="C800" s="7" t="str">
        <f t="shared" si="5"/>
        <v>🔊</v>
      </c>
      <c r="D800" s="8" t="s">
        <v>8963</v>
      </c>
      <c r="E800" s="6" t="s">
        <v>27</v>
      </c>
      <c r="F800" s="12" t="str">
        <f>IFERROR(__xludf.DUMMYFUNCTION("GOOGLETRANSLATE(B800,""zh_cn"",""vi"")"),"Đầu năm")</f>
        <v>Đầu năm</v>
      </c>
      <c r="G800" s="20" t="s">
        <v>8964</v>
      </c>
      <c r="H800" s="6"/>
      <c r="I800" s="11" t="b">
        <f t="shared" si="2"/>
        <v>0</v>
      </c>
      <c r="J800" s="24"/>
      <c r="K800" s="11" t="b">
        <f t="shared" si="3"/>
        <v>0</v>
      </c>
    </row>
    <row r="801" ht="22.5" customHeight="1">
      <c r="A801" s="12">
        <f t="shared" si="4"/>
        <v>2799</v>
      </c>
      <c r="B801" s="30" t="s">
        <v>8965</v>
      </c>
      <c r="C801" s="7" t="str">
        <f t="shared" si="5"/>
        <v>🔊</v>
      </c>
      <c r="D801" s="8" t="s">
        <v>8966</v>
      </c>
      <c r="E801" s="6" t="s">
        <v>27</v>
      </c>
      <c r="F801" s="12" t="str">
        <f>IFERROR(__xludf.DUMMYFUNCTION("GOOGLETRANSLATE(B801,""zh_cn"",""vi"")"),"Kỷ nguyên")</f>
        <v>Kỷ nguyên</v>
      </c>
      <c r="G801" s="20" t="s">
        <v>8967</v>
      </c>
      <c r="H801" s="6"/>
      <c r="I801" s="11" t="b">
        <f t="shared" si="2"/>
        <v>0</v>
      </c>
      <c r="J801" s="24"/>
      <c r="K801" s="11" t="b">
        <f t="shared" si="3"/>
        <v>0</v>
      </c>
    </row>
    <row r="802" ht="22.5" customHeight="1">
      <c r="A802" s="12">
        <f t="shared" si="4"/>
        <v>2800</v>
      </c>
      <c r="B802" s="30" t="s">
        <v>8968</v>
      </c>
      <c r="C802" s="7" t="str">
        <f t="shared" si="5"/>
        <v>🔊</v>
      </c>
      <c r="D802" s="8" t="s">
        <v>8969</v>
      </c>
      <c r="E802" s="6" t="s">
        <v>27</v>
      </c>
      <c r="F802" s="12" t="str">
        <f>IFERROR(__xludf.DUMMYFUNCTION("GOOGLETRANSLATE(B802,""zh_cn"",""vi"")"),"tuổi")</f>
        <v>tuổi</v>
      </c>
      <c r="G802" s="20" t="s">
        <v>8970</v>
      </c>
      <c r="H802" s="6"/>
      <c r="I802" s="11" t="b">
        <f t="shared" si="2"/>
        <v>0</v>
      </c>
      <c r="J802" s="24"/>
      <c r="K802" s="11" t="b">
        <f t="shared" si="3"/>
        <v>0</v>
      </c>
    </row>
    <row r="803" ht="22.5" customHeight="1">
      <c r="A803" s="12">
        <f t="shared" si="4"/>
        <v>2801</v>
      </c>
      <c r="B803" s="30" t="s">
        <v>8971</v>
      </c>
      <c r="C803" s="7" t="str">
        <f t="shared" si="5"/>
        <v>🔊</v>
      </c>
      <c r="D803" s="8" t="s">
        <v>8972</v>
      </c>
      <c r="E803" s="6" t="s">
        <v>27</v>
      </c>
      <c r="F803" s="12" t="str">
        <f>IFERROR(__xludf.DUMMYFUNCTION("GOOGLETRANSLATE(B803,""zh_cn"",""vi"")"),"Bữa tối đêm giao thừa")</f>
        <v>Bữa tối đêm giao thừa</v>
      </c>
      <c r="G803" s="20" t="s">
        <v>8973</v>
      </c>
      <c r="H803" s="6"/>
      <c r="I803" s="11" t="b">
        <f t="shared" si="2"/>
        <v>0</v>
      </c>
      <c r="J803" s="24"/>
      <c r="K803" s="11" t="b">
        <f t="shared" si="3"/>
        <v>0</v>
      </c>
    </row>
    <row r="804" ht="22.5" customHeight="1">
      <c r="A804" s="12">
        <f t="shared" si="4"/>
        <v>2802</v>
      </c>
      <c r="B804" s="30" t="s">
        <v>8974</v>
      </c>
      <c r="C804" s="7" t="str">
        <f t="shared" si="5"/>
        <v>🔊</v>
      </c>
      <c r="D804" s="8" t="s">
        <v>8975</v>
      </c>
      <c r="E804" s="6" t="s">
        <v>27</v>
      </c>
      <c r="F804" s="12" t="str">
        <f>IFERROR(__xludf.DUMMYFUNCTION("GOOGLETRANSLATE(B804,""zh_cn"",""vi"")"),"quần jean")</f>
        <v>quần jean</v>
      </c>
      <c r="G804" s="20" t="s">
        <v>8976</v>
      </c>
      <c r="H804" s="6"/>
      <c r="I804" s="11" t="b">
        <f t="shared" si="2"/>
        <v>0</v>
      </c>
      <c r="J804" s="24"/>
      <c r="K804" s="11" t="b">
        <f t="shared" si="3"/>
        <v>0</v>
      </c>
    </row>
    <row r="805" ht="22.5" customHeight="1">
      <c r="A805" s="12">
        <f t="shared" si="4"/>
        <v>2803</v>
      </c>
      <c r="B805" s="30" t="s">
        <v>8977</v>
      </c>
      <c r="C805" s="1" t="s">
        <v>2</v>
      </c>
      <c r="D805" s="8" t="s">
        <v>8978</v>
      </c>
      <c r="E805" s="6" t="s">
        <v>99</v>
      </c>
      <c r="F805" s="12" t="str">
        <f>IFERROR(__xludf.DUMMYFUNCTION("GOOGLETRANSLATE(B805,""zh_cn"",""vi"")"),"tập trung")</f>
        <v>tập trung</v>
      </c>
      <c r="G805" s="20" t="s">
        <v>8979</v>
      </c>
      <c r="H805" s="6"/>
      <c r="I805" s="11" t="b">
        <f t="shared" si="2"/>
        <v>0</v>
      </c>
      <c r="J805" s="24"/>
      <c r="K805" s="11" t="b">
        <f t="shared" si="3"/>
        <v>0</v>
      </c>
    </row>
    <row r="806" ht="22.5" customHeight="1">
      <c r="A806" s="12">
        <f t="shared" si="4"/>
        <v>2804</v>
      </c>
      <c r="B806" s="30" t="s">
        <v>8980</v>
      </c>
      <c r="C806" s="7" t="str">
        <f t="shared" ref="C806:C1602" si="6">HYPERLINK("https://translate.google.com/translate_tts?ie=UTF-8&amp;client=tw-ob&amp;tl=zh-CN&amp;q="&amp;ENCODEURL(B806),"🔊")</f>
        <v>🔊</v>
      </c>
      <c r="D806" s="8" t="s">
        <v>8981</v>
      </c>
      <c r="E806" s="6" t="s">
        <v>27</v>
      </c>
      <c r="F806" s="12" t="str">
        <f>IFERROR(__xludf.DUMMYFUNCTION("GOOGLETRANSLATE(B806,""zh_cn"",""vi"")"),"nông dân")</f>
        <v>nông dân</v>
      </c>
      <c r="G806" s="20" t="s">
        <v>8982</v>
      </c>
      <c r="H806" s="6"/>
      <c r="I806" s="11" t="b">
        <f t="shared" si="2"/>
        <v>0</v>
      </c>
      <c r="J806" s="24"/>
      <c r="K806" s="11" t="b">
        <f t="shared" si="3"/>
        <v>0</v>
      </c>
    </row>
    <row r="807" ht="22.5" customHeight="1">
      <c r="A807" s="12">
        <f t="shared" si="4"/>
        <v>2805</v>
      </c>
      <c r="B807" s="30" t="s">
        <v>8983</v>
      </c>
      <c r="C807" s="7" t="str">
        <f t="shared" si="6"/>
        <v>🔊</v>
      </c>
      <c r="D807" s="8" t="s">
        <v>8984</v>
      </c>
      <c r="E807" s="6" t="s">
        <v>27</v>
      </c>
      <c r="F807" s="12" t="str">
        <f>IFERROR(__xludf.DUMMYFUNCTION("GOOGLETRANSLATE(B807,""zh_cn"",""vi"")"),"nông nghiệp")</f>
        <v>nông nghiệp</v>
      </c>
      <c r="G807" s="20" t="s">
        <v>8985</v>
      </c>
      <c r="H807" s="6"/>
      <c r="I807" s="11" t="b">
        <f t="shared" si="2"/>
        <v>0</v>
      </c>
      <c r="J807" s="24"/>
      <c r="K807" s="11" t="b">
        <f t="shared" si="3"/>
        <v>0</v>
      </c>
    </row>
    <row r="808" ht="22.5" customHeight="1">
      <c r="A808" s="12">
        <f t="shared" si="4"/>
        <v>2806</v>
      </c>
      <c r="B808" s="30" t="s">
        <v>8986</v>
      </c>
      <c r="C808" s="7" t="str">
        <f t="shared" si="6"/>
        <v>🔊</v>
      </c>
      <c r="D808" s="8" t="s">
        <v>8987</v>
      </c>
      <c r="E808" s="6" t="s">
        <v>27</v>
      </c>
      <c r="F808" s="12" t="str">
        <f>IFERROR(__xludf.DUMMYFUNCTION("GOOGLETRANSLATE(B808,""zh_cn"",""vi"")"),"đàn bà")</f>
        <v>đàn bà</v>
      </c>
      <c r="G808" s="20" t="s">
        <v>8988</v>
      </c>
      <c r="H808" s="6"/>
      <c r="I808" s="11" t="b">
        <f t="shared" si="2"/>
        <v>0</v>
      </c>
      <c r="J808" s="24"/>
      <c r="K808" s="11" t="b">
        <f t="shared" si="3"/>
        <v>0</v>
      </c>
    </row>
    <row r="809" ht="22.5" customHeight="1">
      <c r="A809" s="12">
        <f t="shared" si="4"/>
        <v>2807</v>
      </c>
      <c r="B809" s="30" t="s">
        <v>8989</v>
      </c>
      <c r="C809" s="7" t="str">
        <f t="shared" si="6"/>
        <v>🔊</v>
      </c>
      <c r="D809" s="8" t="s">
        <v>8990</v>
      </c>
      <c r="E809" s="6" t="s">
        <v>747</v>
      </c>
      <c r="F809" s="12" t="str">
        <f>IFERROR(__xludf.DUMMYFUNCTION("GOOGLETRANSLATE(B809,""zh_cn"",""vi"")"),"Ồ")</f>
        <v>Ồ</v>
      </c>
      <c r="G809" s="20" t="s">
        <v>8991</v>
      </c>
      <c r="H809" s="6"/>
      <c r="I809" s="11" t="b">
        <f t="shared" si="2"/>
        <v>0</v>
      </c>
      <c r="J809" s="24"/>
      <c r="K809" s="11" t="b">
        <f t="shared" si="3"/>
        <v>0</v>
      </c>
    </row>
    <row r="810" ht="22.5" customHeight="1">
      <c r="A810" s="12">
        <f t="shared" si="4"/>
        <v>2808</v>
      </c>
      <c r="B810" s="30" t="s">
        <v>8992</v>
      </c>
      <c r="C810" s="7" t="str">
        <f t="shared" si="6"/>
        <v>🔊</v>
      </c>
      <c r="D810" s="8" t="s">
        <v>8993</v>
      </c>
      <c r="E810" s="6" t="s">
        <v>99</v>
      </c>
      <c r="F810" s="12" t="str">
        <f>IFERROR(__xludf.DUMMYFUNCTION("GOOGLETRANSLATE(B810,""zh_cn"",""vi"")"),"vô tình")</f>
        <v>vô tình</v>
      </c>
      <c r="G810" s="20" t="s">
        <v>8994</v>
      </c>
      <c r="H810" s="6"/>
      <c r="I810" s="11" t="b">
        <f t="shared" si="2"/>
        <v>0</v>
      </c>
      <c r="J810" s="24"/>
      <c r="K810" s="11" t="b">
        <f t="shared" si="3"/>
        <v>0</v>
      </c>
    </row>
    <row r="811" ht="22.5" customHeight="1">
      <c r="A811" s="12">
        <f t="shared" si="4"/>
        <v>2809</v>
      </c>
      <c r="B811" s="30" t="s">
        <v>8995</v>
      </c>
      <c r="C811" s="7" t="str">
        <f t="shared" si="6"/>
        <v>🔊</v>
      </c>
      <c r="D811" s="8" t="s">
        <v>8996</v>
      </c>
      <c r="E811" s="6" t="s">
        <v>27</v>
      </c>
      <c r="F811" s="12" t="str">
        <f>IFERROR(__xludf.DUMMYFUNCTION("GOOGLETRANSLATE(B811,""zh_cn"",""vi"")"),"Châu Âu")</f>
        <v>Châu Âu</v>
      </c>
      <c r="G811" s="20" t="s">
        <v>8997</v>
      </c>
      <c r="H811" s="6"/>
      <c r="I811" s="11" t="b">
        <f t="shared" si="2"/>
        <v>0</v>
      </c>
      <c r="J811" s="24"/>
      <c r="K811" s="11" t="b">
        <f t="shared" si="3"/>
        <v>0</v>
      </c>
    </row>
    <row r="812" ht="22.5" customHeight="1">
      <c r="A812" s="12">
        <f t="shared" si="4"/>
        <v>2810</v>
      </c>
      <c r="B812" s="30" t="s">
        <v>8998</v>
      </c>
      <c r="C812" s="7" t="str">
        <f t="shared" si="6"/>
        <v>🔊</v>
      </c>
      <c r="D812" s="8" t="s">
        <v>8999</v>
      </c>
      <c r="E812" s="6" t="s">
        <v>1144</v>
      </c>
      <c r="F812" s="12" t="str">
        <f>IFERROR(__xludf.DUMMYFUNCTION("GOOGLETRANSLATE(B812,""zh_cn"",""vi"")"),"nhóm")</f>
        <v>nhóm</v>
      </c>
      <c r="G812" s="20" t="s">
        <v>9000</v>
      </c>
      <c r="H812" s="6"/>
      <c r="I812" s="11" t="b">
        <f t="shared" si="2"/>
        <v>0</v>
      </c>
      <c r="J812" s="24"/>
      <c r="K812" s="11" t="b">
        <f t="shared" si="3"/>
        <v>0</v>
      </c>
    </row>
    <row r="813" ht="22.5" customHeight="1">
      <c r="A813" s="12">
        <f t="shared" si="4"/>
        <v>2811</v>
      </c>
      <c r="B813" s="30" t="s">
        <v>9001</v>
      </c>
      <c r="C813" s="7" t="str">
        <f t="shared" si="6"/>
        <v>🔊</v>
      </c>
      <c r="D813" s="8" t="s">
        <v>9002</v>
      </c>
      <c r="E813" s="6" t="s">
        <v>27</v>
      </c>
      <c r="F813" s="12" t="str">
        <f>IFERROR(__xludf.DUMMYFUNCTION("GOOGLETRANSLATE(B813,""zh_cn"",""vi"")"),"Đồn cảnh sát")</f>
        <v>Đồn cảnh sát</v>
      </c>
      <c r="G813" s="20" t="s">
        <v>9003</v>
      </c>
      <c r="H813" s="6"/>
      <c r="I813" s="11" t="b">
        <f t="shared" si="2"/>
        <v>0</v>
      </c>
      <c r="J813" s="24"/>
      <c r="K813" s="11" t="b">
        <f t="shared" si="3"/>
        <v>0</v>
      </c>
    </row>
    <row r="814" ht="22.5" customHeight="1">
      <c r="A814" s="12">
        <f t="shared" si="4"/>
        <v>2812</v>
      </c>
      <c r="B814" s="30" t="s">
        <v>9004</v>
      </c>
      <c r="C814" s="7" t="str">
        <f t="shared" si="6"/>
        <v>🔊</v>
      </c>
      <c r="D814" s="8" t="s">
        <v>9005</v>
      </c>
      <c r="E814" s="6" t="s">
        <v>13</v>
      </c>
      <c r="F814" s="12" t="str">
        <f>IFERROR(__xludf.DUMMYFUNCTION("GOOGLETRANSLATE(B814,""zh_cn"",""vi"")"),"sắp xếp")</f>
        <v>sắp xếp</v>
      </c>
      <c r="G814" s="20" t="s">
        <v>9006</v>
      </c>
      <c r="H814" s="6"/>
      <c r="I814" s="11" t="b">
        <f t="shared" si="2"/>
        <v>0</v>
      </c>
      <c r="J814" s="24"/>
      <c r="K814" s="11" t="b">
        <f t="shared" si="3"/>
        <v>0</v>
      </c>
    </row>
    <row r="815" ht="22.5" customHeight="1">
      <c r="A815" s="12">
        <f t="shared" si="4"/>
        <v>2813</v>
      </c>
      <c r="B815" s="30" t="s">
        <v>9007</v>
      </c>
      <c r="C815" s="7" t="str">
        <f t="shared" si="6"/>
        <v>🔊</v>
      </c>
      <c r="D815" s="8" t="s">
        <v>9008</v>
      </c>
      <c r="E815" s="6" t="s">
        <v>13</v>
      </c>
      <c r="F815" s="12" t="str">
        <f>IFERROR(__xludf.DUMMYFUNCTION("GOOGLETRANSLATE(B815,""zh_cn"",""vi"")"),"Bắn súng")</f>
        <v>Bắn súng</v>
      </c>
      <c r="G815" s="20" t="s">
        <v>9009</v>
      </c>
      <c r="H815" s="6"/>
      <c r="I815" s="11" t="b">
        <f t="shared" si="2"/>
        <v>0</v>
      </c>
      <c r="J815" s="24"/>
      <c r="K815" s="11" t="b">
        <f t="shared" si="3"/>
        <v>0</v>
      </c>
    </row>
    <row r="816" ht="22.5" customHeight="1">
      <c r="A816" s="12">
        <f t="shared" si="4"/>
        <v>2814</v>
      </c>
      <c r="B816" s="30" t="s">
        <v>9010</v>
      </c>
      <c r="C816" s="7" t="str">
        <f t="shared" si="6"/>
        <v>🔊</v>
      </c>
      <c r="D816" s="8" t="s">
        <v>9011</v>
      </c>
      <c r="E816" s="6" t="s">
        <v>27</v>
      </c>
      <c r="F816" s="12" t="str">
        <f>IFERROR(__xludf.DUMMYFUNCTION("GOOGLETRANSLATE(B816,""zh_cn"",""vi"")"),"theo dõi")</f>
        <v>theo dõi</v>
      </c>
      <c r="G816" s="20" t="s">
        <v>9012</v>
      </c>
      <c r="H816" s="6"/>
      <c r="I816" s="11" t="b">
        <f t="shared" si="2"/>
        <v>0</v>
      </c>
      <c r="J816" s="24"/>
      <c r="K816" s="11" t="b">
        <f t="shared" si="3"/>
        <v>0</v>
      </c>
    </row>
    <row r="817" ht="22.5" customHeight="1">
      <c r="A817" s="12">
        <f t="shared" si="4"/>
        <v>2815</v>
      </c>
      <c r="B817" s="30" t="s">
        <v>9013</v>
      </c>
      <c r="C817" s="7" t="str">
        <f t="shared" si="6"/>
        <v>🔊</v>
      </c>
      <c r="D817" s="8" t="s">
        <v>5127</v>
      </c>
      <c r="E817" s="6" t="s">
        <v>13</v>
      </c>
      <c r="F817" s="12" t="str">
        <f>IFERROR(__xludf.DUMMYFUNCTION("GOOGLETRANSLATE(B817,""zh_cn"",""vi"")"),"chi trả")</f>
        <v>chi trả</v>
      </c>
      <c r="G817" s="20" t="s">
        <v>9014</v>
      </c>
      <c r="H817" s="6"/>
      <c r="I817" s="11" t="b">
        <f t="shared" si="2"/>
        <v>0</v>
      </c>
      <c r="J817" s="24"/>
      <c r="K817" s="11" t="b">
        <f t="shared" si="3"/>
        <v>0</v>
      </c>
    </row>
    <row r="818" ht="22.5" customHeight="1">
      <c r="A818" s="12">
        <f t="shared" si="4"/>
        <v>2816</v>
      </c>
      <c r="B818" s="30" t="s">
        <v>9015</v>
      </c>
      <c r="C818" s="7" t="str">
        <f t="shared" si="6"/>
        <v>🔊</v>
      </c>
      <c r="D818" s="8" t="s">
        <v>9016</v>
      </c>
      <c r="E818" s="6" t="s">
        <v>368</v>
      </c>
      <c r="F818" s="12" t="str">
        <f>IFERROR(__xludf.DUMMYFUNCTION("GOOGLETRANSLATE(B818,""zh_cn"",""vi"")"),"cuộc thi đấu")</f>
        <v>cuộc thi đấu</v>
      </c>
      <c r="G818" s="20" t="s">
        <v>9017</v>
      </c>
      <c r="H818" s="6"/>
      <c r="I818" s="11" t="b">
        <f t="shared" si="2"/>
        <v>0</v>
      </c>
      <c r="J818" s="24"/>
      <c r="K818" s="11" t="b">
        <f t="shared" si="3"/>
        <v>0</v>
      </c>
    </row>
    <row r="819" ht="22.5" customHeight="1">
      <c r="A819" s="12">
        <f t="shared" si="4"/>
        <v>2817</v>
      </c>
      <c r="B819" s="30" t="s">
        <v>9018</v>
      </c>
      <c r="C819" s="7" t="str">
        <f t="shared" si="6"/>
        <v>🔊</v>
      </c>
      <c r="D819" s="8" t="s">
        <v>9019</v>
      </c>
      <c r="E819" s="6" t="s">
        <v>13</v>
      </c>
      <c r="F819" s="12" t="str">
        <f>IFERROR(__xludf.DUMMYFUNCTION("GOOGLETRANSLATE(B819,""zh_cn"",""vi"")"),"đi kèm")</f>
        <v>đi kèm</v>
      </c>
      <c r="G819" s="20" t="s">
        <v>9020</v>
      </c>
      <c r="H819" s="6"/>
      <c r="I819" s="11" t="b">
        <f t="shared" si="2"/>
        <v>0</v>
      </c>
      <c r="J819" s="24"/>
      <c r="K819" s="11" t="b">
        <f t="shared" si="3"/>
        <v>0</v>
      </c>
    </row>
    <row r="820" ht="22.5" customHeight="1">
      <c r="A820" s="12">
        <f t="shared" si="4"/>
        <v>2818</v>
      </c>
      <c r="B820" s="30" t="s">
        <v>9021</v>
      </c>
      <c r="C820" s="7" t="str">
        <f t="shared" si="6"/>
        <v>🔊</v>
      </c>
      <c r="D820" s="8" t="s">
        <v>9022</v>
      </c>
      <c r="E820" s="6" t="s">
        <v>13</v>
      </c>
      <c r="F820" s="12" t="str">
        <f>IFERROR(__xludf.DUMMYFUNCTION("GOOGLETRANSLATE(B820,""zh_cn"",""vi"")"),"Hợp tác")</f>
        <v>Hợp tác</v>
      </c>
      <c r="G820" s="20" t="s">
        <v>9023</v>
      </c>
      <c r="H820" s="6"/>
      <c r="I820" s="11" t="b">
        <f t="shared" si="2"/>
        <v>0</v>
      </c>
      <c r="J820" s="24"/>
      <c r="K820" s="11" t="b">
        <f t="shared" si="3"/>
        <v>0</v>
      </c>
    </row>
    <row r="821" ht="22.5" customHeight="1">
      <c r="A821" s="12">
        <f t="shared" si="4"/>
        <v>2819</v>
      </c>
      <c r="B821" s="30" t="s">
        <v>9024</v>
      </c>
      <c r="C821" s="7" t="str">
        <f t="shared" si="6"/>
        <v>🔊</v>
      </c>
      <c r="D821" s="8" t="s">
        <v>9025</v>
      </c>
      <c r="E821" s="6" t="s">
        <v>13</v>
      </c>
      <c r="F821" s="12" t="str">
        <f>IFERROR(__xludf.DUMMYFUNCTION("GOOGLETRANSLATE(B821,""zh_cn"",""vi"")"),"Vận chuyển")</f>
        <v>Vận chuyển</v>
      </c>
      <c r="G821" s="20" t="s">
        <v>9026</v>
      </c>
      <c r="H821" s="6"/>
      <c r="I821" s="11" t="b">
        <f t="shared" si="2"/>
        <v>0</v>
      </c>
      <c r="J821" s="24"/>
      <c r="K821" s="11" t="b">
        <f t="shared" si="3"/>
        <v>0</v>
      </c>
    </row>
    <row r="822" ht="22.5" customHeight="1">
      <c r="A822" s="12">
        <f t="shared" si="4"/>
        <v>2820</v>
      </c>
      <c r="B822" s="30" t="s">
        <v>9027</v>
      </c>
      <c r="C822" s="7" t="str">
        <f t="shared" si="6"/>
        <v>🔊</v>
      </c>
      <c r="D822" s="8" t="s">
        <v>9028</v>
      </c>
      <c r="E822" s="6" t="s">
        <v>13</v>
      </c>
      <c r="F822" s="12" t="str">
        <f>IFERROR(__xludf.DUMMYFUNCTION("GOOGLETRANSLATE(B822,""zh_cn"",""vi"")"),"Đào tạo")</f>
        <v>Đào tạo</v>
      </c>
      <c r="G822" s="20" t="s">
        <v>9029</v>
      </c>
      <c r="H822" s="6"/>
      <c r="I822" s="11" t="b">
        <f t="shared" si="2"/>
        <v>0</v>
      </c>
      <c r="J822" s="24"/>
      <c r="K822" s="11" t="b">
        <f t="shared" si="3"/>
        <v>0</v>
      </c>
    </row>
    <row r="823" ht="22.5" customHeight="1">
      <c r="A823" s="12">
        <f t="shared" si="4"/>
        <v>2821</v>
      </c>
      <c r="B823" s="30" t="s">
        <v>9030</v>
      </c>
      <c r="C823" s="7" t="str">
        <f t="shared" si="6"/>
        <v>🔊</v>
      </c>
      <c r="D823" s="8" t="s">
        <v>9031</v>
      </c>
      <c r="E823" s="6" t="s">
        <v>13</v>
      </c>
      <c r="F823" s="12" t="str">
        <f>IFERROR(__xludf.DUMMYFUNCTION("GOOGLETRANSLATE(B823,""zh_cn"",""vi"")"),"nuôi")</f>
        <v>nuôi</v>
      </c>
      <c r="G823" s="20" t="s">
        <v>9032</v>
      </c>
      <c r="H823" s="6"/>
      <c r="I823" s="11" t="b">
        <f t="shared" si="2"/>
        <v>0</v>
      </c>
      <c r="J823" s="24"/>
      <c r="K823" s="11" t="b">
        <f t="shared" si="3"/>
        <v>0</v>
      </c>
    </row>
    <row r="824" ht="22.5" customHeight="1">
      <c r="A824" s="12">
        <f t="shared" si="4"/>
        <v>2822</v>
      </c>
      <c r="B824" s="30" t="s">
        <v>9033</v>
      </c>
      <c r="C824" s="7" t="str">
        <f t="shared" si="6"/>
        <v>🔊</v>
      </c>
      <c r="D824" s="8" t="s">
        <v>9034</v>
      </c>
      <c r="E824" s="6" t="s">
        <v>27</v>
      </c>
      <c r="F824" s="12" t="str">
        <f>IFERROR(__xludf.DUMMYFUNCTION("GOOGLETRANSLATE(B824,""zh_cn"",""vi"")"),"chậu")</f>
        <v>chậu</v>
      </c>
      <c r="G824" s="20" t="s">
        <v>9035</v>
      </c>
      <c r="H824" s="6"/>
      <c r="I824" s="11" t="b">
        <f t="shared" si="2"/>
        <v>0</v>
      </c>
      <c r="J824" s="24"/>
      <c r="K824" s="11" t="b">
        <f t="shared" si="3"/>
        <v>0</v>
      </c>
    </row>
    <row r="825" ht="22.5" customHeight="1">
      <c r="A825" s="12">
        <f t="shared" si="4"/>
        <v>2823</v>
      </c>
      <c r="B825" s="30" t="s">
        <v>9036</v>
      </c>
      <c r="C825" s="7" t="str">
        <f t="shared" si="6"/>
        <v>🔊</v>
      </c>
      <c r="D825" s="8" t="s">
        <v>9037</v>
      </c>
      <c r="E825" s="6" t="s">
        <v>13</v>
      </c>
      <c r="F825" s="12" t="str">
        <f>IFERROR(__xludf.DUMMYFUNCTION("GOOGLETRANSLATE(B825,""zh_cn"",""vi"")"),"đâm sầm vào")</f>
        <v>đâm sầm vào</v>
      </c>
      <c r="G825" s="20" t="s">
        <v>9038</v>
      </c>
      <c r="H825" s="6"/>
      <c r="I825" s="11" t="b">
        <f t="shared" si="2"/>
        <v>0</v>
      </c>
      <c r="J825" s="24"/>
      <c r="K825" s="11" t="b">
        <f t="shared" si="3"/>
        <v>0</v>
      </c>
    </row>
    <row r="826" ht="22.5" customHeight="1">
      <c r="A826" s="12">
        <f t="shared" si="4"/>
        <v>2824</v>
      </c>
      <c r="B826" s="30" t="s">
        <v>9039</v>
      </c>
      <c r="C826" s="7" t="str">
        <f t="shared" si="6"/>
        <v>🔊</v>
      </c>
      <c r="D826" s="8" t="s">
        <v>9040</v>
      </c>
      <c r="E826" s="6" t="s">
        <v>13</v>
      </c>
      <c r="F826" s="12" t="str">
        <f>IFERROR(__xludf.DUMMYFUNCTION("GOOGLETRANSLATE(B826,""zh_cn"",""vi"")"),"gặp")</f>
        <v>gặp</v>
      </c>
      <c r="G826" s="20" t="s">
        <v>9041</v>
      </c>
      <c r="H826" s="6"/>
      <c r="I826" s="11" t="b">
        <f t="shared" si="2"/>
        <v>0</v>
      </c>
      <c r="J826" s="24"/>
      <c r="K826" s="11" t="b">
        <f t="shared" si="3"/>
        <v>0</v>
      </c>
    </row>
    <row r="827" ht="22.5" customHeight="1">
      <c r="A827" s="12">
        <f t="shared" si="4"/>
        <v>2825</v>
      </c>
      <c r="B827" s="30" t="s">
        <v>9042</v>
      </c>
      <c r="C827" s="7" t="str">
        <f t="shared" si="6"/>
        <v>🔊</v>
      </c>
      <c r="D827" s="8" t="s">
        <v>9043</v>
      </c>
      <c r="E827" s="6" t="s">
        <v>47</v>
      </c>
      <c r="F827" s="12" t="str">
        <f>IFERROR(__xludf.DUMMYFUNCTION("GOOGLETRANSLATE(B827,""zh_cn"",""vi"")"),"cuộc thi đấu")</f>
        <v>cuộc thi đấu</v>
      </c>
      <c r="G827" s="20" t="s">
        <v>9044</v>
      </c>
      <c r="H827" s="6"/>
      <c r="I827" s="11" t="b">
        <f t="shared" si="2"/>
        <v>0</v>
      </c>
      <c r="J827" s="24"/>
      <c r="K827" s="11" t="b">
        <f t="shared" si="3"/>
        <v>0</v>
      </c>
    </row>
    <row r="828" ht="22.5" customHeight="1">
      <c r="A828" s="12">
        <f t="shared" si="4"/>
        <v>2826</v>
      </c>
      <c r="B828" s="30" t="s">
        <v>9045</v>
      </c>
      <c r="C828" s="7" t="str">
        <f t="shared" si="6"/>
        <v>🔊</v>
      </c>
      <c r="D828" s="8" t="s">
        <v>9046</v>
      </c>
      <c r="E828" s="6" t="s">
        <v>47</v>
      </c>
      <c r="F828" s="12" t="str">
        <f>IFERROR(__xludf.DUMMYFUNCTION("GOOGLETRANSLATE(B828,""zh_cn"",""vi"")"),"Lô 1")</f>
        <v>Lô 1</v>
      </c>
      <c r="G828" s="20" t="s">
        <v>9047</v>
      </c>
      <c r="H828" s="6"/>
      <c r="I828" s="11" t="b">
        <f t="shared" si="2"/>
        <v>0</v>
      </c>
      <c r="J828" s="24"/>
      <c r="K828" s="11" t="b">
        <f t="shared" si="3"/>
        <v>0</v>
      </c>
    </row>
    <row r="829" ht="22.5" customHeight="1">
      <c r="A829" s="12">
        <f t="shared" si="4"/>
        <v>2827</v>
      </c>
      <c r="B829" s="30" t="s">
        <v>9048</v>
      </c>
      <c r="C829" s="7" t="str">
        <f t="shared" si="6"/>
        <v>🔊</v>
      </c>
      <c r="D829" s="8" t="s">
        <v>9046</v>
      </c>
      <c r="E829" s="6" t="s">
        <v>13</v>
      </c>
      <c r="F829" s="12" t="str">
        <f>IFERROR(__xludf.DUMMYFUNCTION("GOOGLETRANSLATE(B829,""zh_cn"",""vi"")"),"Lô 2")</f>
        <v>Lô 2</v>
      </c>
      <c r="G829" s="20" t="s">
        <v>9049</v>
      </c>
      <c r="H829" s="6"/>
      <c r="I829" s="11" t="b">
        <f t="shared" si="2"/>
        <v>0</v>
      </c>
      <c r="J829" s="24"/>
      <c r="K829" s="11" t="b">
        <f t="shared" si="3"/>
        <v>0</v>
      </c>
    </row>
    <row r="830" ht="22.5" customHeight="1">
      <c r="A830" s="12">
        <f t="shared" si="4"/>
        <v>2828</v>
      </c>
      <c r="B830" s="30" t="s">
        <v>9050</v>
      </c>
      <c r="C830" s="7" t="str">
        <f t="shared" si="6"/>
        <v>🔊</v>
      </c>
      <c r="D830" s="8" t="s">
        <v>5130</v>
      </c>
      <c r="E830" s="6" t="s">
        <v>13</v>
      </c>
      <c r="F830" s="12" t="str">
        <f>IFERROR(__xludf.DUMMYFUNCTION("GOOGLETRANSLATE(B830,""zh_cn"",""vi"")"),"gian lận")</f>
        <v>gian lận</v>
      </c>
      <c r="G830" s="20" t="s">
        <v>9051</v>
      </c>
      <c r="H830" s="6"/>
      <c r="I830" s="11" t="b">
        <f t="shared" si="2"/>
        <v>0</v>
      </c>
      <c r="J830" s="24"/>
      <c r="K830" s="11" t="b">
        <f t="shared" si="3"/>
        <v>0</v>
      </c>
    </row>
    <row r="831" ht="22.5" customHeight="1">
      <c r="A831" s="12">
        <f t="shared" si="4"/>
        <v>2829</v>
      </c>
      <c r="B831" s="30" t="s">
        <v>9052</v>
      </c>
      <c r="C831" s="7" t="str">
        <f t="shared" si="6"/>
        <v>🔊</v>
      </c>
      <c r="D831" s="8" t="s">
        <v>9053</v>
      </c>
      <c r="E831" s="6" t="s">
        <v>8072</v>
      </c>
      <c r="F831" s="12" t="str">
        <f>IFERROR(__xludf.DUMMYFUNCTION("GOOGLETRANSLATE(B831,""zh_cn"",""vi"")"),"Nếm")</f>
        <v>Nếm</v>
      </c>
      <c r="G831" s="20" t="s">
        <v>9054</v>
      </c>
      <c r="H831" s="6"/>
      <c r="I831" s="11" t="b">
        <f t="shared" si="2"/>
        <v>0</v>
      </c>
      <c r="J831" s="24"/>
      <c r="K831" s="11" t="b">
        <f t="shared" si="3"/>
        <v>0</v>
      </c>
    </row>
    <row r="832" ht="22.5" customHeight="1">
      <c r="A832" s="12">
        <f t="shared" si="4"/>
        <v>2830</v>
      </c>
      <c r="B832" s="30" t="s">
        <v>9055</v>
      </c>
      <c r="C832" s="7" t="str">
        <f t="shared" si="6"/>
        <v>🔊</v>
      </c>
      <c r="D832" s="8" t="s">
        <v>9056</v>
      </c>
      <c r="E832" s="6" t="s">
        <v>13</v>
      </c>
      <c r="F832" s="12" t="str">
        <f>IFERROR(__xludf.DUMMYFUNCTION("GOOGLETRANSLATE(B832,""zh_cn"",""vi"")"),"Đánh vần")</f>
        <v>Đánh vần</v>
      </c>
      <c r="G832" s="20" t="s">
        <v>9057</v>
      </c>
      <c r="H832" s="6"/>
      <c r="I832" s="11" t="b">
        <f t="shared" si="2"/>
        <v>0</v>
      </c>
      <c r="J832" s="24"/>
      <c r="K832" s="11" t="b">
        <f t="shared" si="3"/>
        <v>0</v>
      </c>
    </row>
    <row r="833" ht="22.5" customHeight="1">
      <c r="A833" s="12">
        <f t="shared" si="4"/>
        <v>2831</v>
      </c>
      <c r="B833" s="30" t="s">
        <v>9058</v>
      </c>
      <c r="C833" s="7" t="str">
        <f t="shared" si="6"/>
        <v>🔊</v>
      </c>
      <c r="D833" s="8" t="s">
        <v>9059</v>
      </c>
      <c r="E833" s="6" t="s">
        <v>1502</v>
      </c>
      <c r="F833" s="12" t="str">
        <f>IFERROR(__xludf.DUMMYFUNCTION("GOOGLETRANSLATE(B833,""zh_cn"",""vi"")"),"phẳng")</f>
        <v>phẳng</v>
      </c>
      <c r="G833" s="20" t="s">
        <v>9060</v>
      </c>
      <c r="H833" s="6"/>
      <c r="I833" s="11" t="b">
        <f t="shared" si="2"/>
        <v>0</v>
      </c>
      <c r="J833" s="24"/>
      <c r="K833" s="11" t="b">
        <f t="shared" si="3"/>
        <v>0</v>
      </c>
    </row>
    <row r="834" ht="22.5" customHeight="1">
      <c r="A834" s="12">
        <f t="shared" si="4"/>
        <v>2832</v>
      </c>
      <c r="B834" s="30" t="s">
        <v>9061</v>
      </c>
      <c r="C834" s="7" t="str">
        <f t="shared" si="6"/>
        <v>🔊</v>
      </c>
      <c r="D834" s="8" t="s">
        <v>9059</v>
      </c>
      <c r="E834" s="6" t="s">
        <v>13</v>
      </c>
      <c r="F834" s="12" t="str">
        <f>IFERROR(__xludf.DUMMYFUNCTION("GOOGLETRANSLATE(B834,""zh_cn"",""vi"")"),"Bình luận")</f>
        <v>Bình luận</v>
      </c>
      <c r="G834" s="20" t="s">
        <v>9062</v>
      </c>
      <c r="H834" s="6"/>
      <c r="I834" s="11" t="b">
        <f t="shared" si="2"/>
        <v>0</v>
      </c>
      <c r="J834" s="24"/>
      <c r="K834" s="11" t="b">
        <f t="shared" si="3"/>
        <v>0</v>
      </c>
    </row>
    <row r="835" ht="22.5" customHeight="1">
      <c r="A835" s="12">
        <f t="shared" si="4"/>
        <v>2833</v>
      </c>
      <c r="B835" s="30" t="s">
        <v>9063</v>
      </c>
      <c r="C835" s="7" t="str">
        <f t="shared" si="6"/>
        <v>🔊</v>
      </c>
      <c r="D835" s="8" t="s">
        <v>9059</v>
      </c>
      <c r="E835" s="6" t="s">
        <v>1054</v>
      </c>
      <c r="F835" s="12" t="str">
        <f>IFERROR(__xludf.DUMMYFUNCTION("GOOGLETRANSLATE(B835,""zh_cn"",""vi"")"),"Qua")</f>
        <v>Qua</v>
      </c>
      <c r="G835" s="20" t="s">
        <v>9064</v>
      </c>
      <c r="H835" s="6"/>
      <c r="I835" s="11" t="b">
        <f t="shared" si="2"/>
        <v>0</v>
      </c>
      <c r="J835" s="24"/>
      <c r="K835" s="11" t="b">
        <f t="shared" si="3"/>
        <v>0</v>
      </c>
    </row>
    <row r="836" ht="22.5" customHeight="1">
      <c r="A836" s="12">
        <f t="shared" si="4"/>
        <v>2834</v>
      </c>
      <c r="B836" s="30" t="s">
        <v>9065</v>
      </c>
      <c r="C836" s="7" t="str">
        <f t="shared" si="6"/>
        <v>🔊</v>
      </c>
      <c r="D836" s="8" t="s">
        <v>9066</v>
      </c>
      <c r="E836" s="6" t="s">
        <v>99</v>
      </c>
      <c r="F836" s="12" t="str">
        <f>IFERROR(__xludf.DUMMYFUNCTION("GOOGLETRANSLATE(B836,""zh_cn"",""vi"")"),"Sự an toàn")</f>
        <v>Sự an toàn</v>
      </c>
      <c r="G836" s="20" t="s">
        <v>9067</v>
      </c>
      <c r="H836" s="6"/>
      <c r="I836" s="11" t="b">
        <f t="shared" si="2"/>
        <v>0</v>
      </c>
      <c r="J836" s="24"/>
      <c r="K836" s="11" t="b">
        <f t="shared" si="3"/>
        <v>0</v>
      </c>
    </row>
    <row r="837" ht="22.5" customHeight="1">
      <c r="A837" s="12">
        <f t="shared" si="4"/>
        <v>2835</v>
      </c>
      <c r="B837" s="30" t="s">
        <v>9068</v>
      </c>
      <c r="C837" s="7" t="str">
        <f t="shared" si="6"/>
        <v>🔊</v>
      </c>
      <c r="D837" s="8" t="s">
        <v>9069</v>
      </c>
      <c r="E837" s="6" t="s">
        <v>416</v>
      </c>
      <c r="F837" s="12" t="str">
        <f>IFERROR(__xludf.DUMMYFUNCTION("GOOGLETRANSLATE(B837,""zh_cn"",""vi"")"),"THĂNG BẰNG")</f>
        <v>THĂNG BẰNG</v>
      </c>
      <c r="G837" s="20" t="s">
        <v>9070</v>
      </c>
      <c r="H837" s="6"/>
      <c r="I837" s="11" t="b">
        <f t="shared" si="2"/>
        <v>0</v>
      </c>
      <c r="J837" s="24"/>
      <c r="K837" s="11" t="b">
        <f t="shared" si="3"/>
        <v>0</v>
      </c>
    </row>
    <row r="838" ht="22.5" customHeight="1">
      <c r="A838" s="12">
        <f t="shared" si="4"/>
        <v>2836</v>
      </c>
      <c r="B838" s="30" t="s">
        <v>9071</v>
      </c>
      <c r="C838" s="7" t="str">
        <f t="shared" si="6"/>
        <v>🔊</v>
      </c>
      <c r="D838" s="8" t="s">
        <v>9072</v>
      </c>
      <c r="E838" s="6" t="s">
        <v>232</v>
      </c>
      <c r="F838" s="12" t="str">
        <f>IFERROR(__xludf.DUMMYFUNCTION("GOOGLETRANSLATE(B838,""zh_cn"",""vi"")"),"đánh giá")</f>
        <v>đánh giá</v>
      </c>
      <c r="G838" s="20" t="s">
        <v>9073</v>
      </c>
      <c r="H838" s="6"/>
      <c r="I838" s="11" t="b">
        <f t="shared" si="2"/>
        <v>0</v>
      </c>
      <c r="J838" s="24"/>
      <c r="K838" s="11" t="b">
        <f t="shared" si="3"/>
        <v>0</v>
      </c>
    </row>
    <row r="839" ht="22.5" customHeight="1">
      <c r="A839" s="12">
        <f t="shared" si="4"/>
        <v>2837</v>
      </c>
      <c r="B839" s="30" t="s">
        <v>9074</v>
      </c>
      <c r="C839" s="7" t="str">
        <f t="shared" si="6"/>
        <v>🔊</v>
      </c>
      <c r="D839" s="8" t="s">
        <v>9075</v>
      </c>
      <c r="E839" s="6" t="s">
        <v>13</v>
      </c>
      <c r="F839" s="12" t="str">
        <f>IFERROR(__xludf.DUMMYFUNCTION("GOOGLETRANSLATE(B839,""zh_cn"",""vi"")"),"Với")</f>
        <v>Với</v>
      </c>
      <c r="G839" s="20" t="s">
        <v>9076</v>
      </c>
      <c r="H839" s="6"/>
      <c r="I839" s="11" t="b">
        <f t="shared" si="2"/>
        <v>0</v>
      </c>
      <c r="J839" s="24"/>
      <c r="K839" s="11" t="b">
        <f t="shared" si="3"/>
        <v>0</v>
      </c>
    </row>
    <row r="840" ht="22.5" customHeight="1">
      <c r="A840" s="12">
        <f t="shared" si="4"/>
        <v>2838</v>
      </c>
      <c r="B840" s="30" t="s">
        <v>9077</v>
      </c>
      <c r="C840" s="7" t="str">
        <f t="shared" si="6"/>
        <v>🔊</v>
      </c>
      <c r="D840" s="8" t="s">
        <v>9078</v>
      </c>
      <c r="E840" s="6" t="s">
        <v>99</v>
      </c>
      <c r="F840" s="12" t="str">
        <f>IFERROR(__xludf.DUMMYFUNCTION("GOOGLETRANSLATE(B840,""zh_cn"",""vi"")"),"điềm tĩnh")</f>
        <v>điềm tĩnh</v>
      </c>
      <c r="G840" s="20" t="s">
        <v>9079</v>
      </c>
      <c r="H840" s="6"/>
      <c r="I840" s="11" t="b">
        <f t="shared" si="2"/>
        <v>0</v>
      </c>
      <c r="J840" s="24"/>
      <c r="K840" s="11" t="b">
        <f t="shared" si="3"/>
        <v>0</v>
      </c>
    </row>
    <row r="841" ht="22.5" customHeight="1">
      <c r="A841" s="12">
        <f t="shared" si="4"/>
        <v>2839</v>
      </c>
      <c r="B841" s="30" t="s">
        <v>9080</v>
      </c>
      <c r="C841" s="7" t="str">
        <f t="shared" si="6"/>
        <v>🔊</v>
      </c>
      <c r="D841" s="8" t="s">
        <v>9081</v>
      </c>
      <c r="E841" s="6" t="s">
        <v>368</v>
      </c>
      <c r="F841" s="12" t="str">
        <f>IFERROR(__xludf.DUMMYFUNCTION("GOOGLETRANSLATE(B841,""zh_cn"",""vi"")"),"trung bình")</f>
        <v>trung bình</v>
      </c>
      <c r="G841" s="20" t="s">
        <v>9082</v>
      </c>
      <c r="H841" s="6"/>
      <c r="I841" s="11" t="b">
        <f t="shared" si="2"/>
        <v>0</v>
      </c>
      <c r="J841" s="24"/>
      <c r="K841" s="11" t="b">
        <f t="shared" si="3"/>
        <v>0</v>
      </c>
    </row>
    <row r="842" ht="22.5" customHeight="1">
      <c r="A842" s="12">
        <f t="shared" si="4"/>
        <v>2840</v>
      </c>
      <c r="B842" s="30" t="s">
        <v>9083</v>
      </c>
      <c r="C842" s="7" t="str">
        <f t="shared" si="6"/>
        <v>🔊</v>
      </c>
      <c r="D842" s="8" t="s">
        <v>9084</v>
      </c>
      <c r="E842" s="6" t="s">
        <v>27</v>
      </c>
      <c r="F842" s="12" t="str">
        <f>IFERROR(__xludf.DUMMYFUNCTION("GOOGLETRANSLATE(B842,""zh_cn"",""vi"")"),"Màn hình")</f>
        <v>Màn hình</v>
      </c>
      <c r="G842" s="20" t="s">
        <v>9085</v>
      </c>
      <c r="H842" s="6"/>
      <c r="I842" s="11" t="b">
        <f t="shared" si="2"/>
        <v>0</v>
      </c>
      <c r="J842" s="24"/>
      <c r="K842" s="11" t="b">
        <f t="shared" si="3"/>
        <v>0</v>
      </c>
    </row>
    <row r="843" ht="22.5" customHeight="1">
      <c r="A843" s="12">
        <f t="shared" si="4"/>
        <v>2841</v>
      </c>
      <c r="B843" s="30" t="s">
        <v>9086</v>
      </c>
      <c r="C843" s="7" t="str">
        <f t="shared" si="6"/>
        <v>🔊</v>
      </c>
      <c r="D843" s="8" t="s">
        <v>9087</v>
      </c>
      <c r="E843" s="6" t="s">
        <v>27</v>
      </c>
      <c r="F843" s="12" t="str">
        <f>IFERROR(__xludf.DUMMYFUNCTION("GOOGLETRANSLATE(B843,""zh_cn"",""vi"")"),"nền tảng")</f>
        <v>nền tảng</v>
      </c>
      <c r="G843" s="20" t="s">
        <v>9088</v>
      </c>
      <c r="H843" s="6"/>
      <c r="I843" s="11" t="b">
        <f t="shared" si="2"/>
        <v>0</v>
      </c>
      <c r="J843" s="24"/>
      <c r="K843" s="11" t="b">
        <f t="shared" si="3"/>
        <v>0</v>
      </c>
    </row>
    <row r="844" ht="22.5" customHeight="1">
      <c r="A844" s="12">
        <f t="shared" si="4"/>
        <v>2842</v>
      </c>
      <c r="B844" s="30" t="s">
        <v>9089</v>
      </c>
      <c r="C844" s="7" t="str">
        <f t="shared" si="6"/>
        <v>🔊</v>
      </c>
      <c r="D844" s="8" t="s">
        <v>9090</v>
      </c>
      <c r="E844" s="6" t="s">
        <v>27</v>
      </c>
      <c r="F844" s="12" t="str">
        <f>IFERROR(__xludf.DUMMYFUNCTION("GOOGLETRANSLATE(B844,""zh_cn"",""vi"")"),"thương hiệu")</f>
        <v>thương hiệu</v>
      </c>
      <c r="G844" s="20" t="s">
        <v>9091</v>
      </c>
      <c r="H844" s="6"/>
      <c r="I844" s="11" t="b">
        <f t="shared" si="2"/>
        <v>0</v>
      </c>
      <c r="J844" s="24"/>
      <c r="K844" s="11" t="b">
        <f t="shared" si="3"/>
        <v>0</v>
      </c>
    </row>
    <row r="845" ht="22.5" customHeight="1">
      <c r="A845" s="12">
        <f t="shared" si="4"/>
        <v>2843</v>
      </c>
      <c r="B845" s="30" t="s">
        <v>9092</v>
      </c>
      <c r="C845" s="7" t="str">
        <f t="shared" si="6"/>
        <v>🔊</v>
      </c>
      <c r="D845" s="8" t="s">
        <v>9093</v>
      </c>
      <c r="E845" s="6" t="s">
        <v>13</v>
      </c>
      <c r="F845" s="12" t="str">
        <f>IFERROR(__xludf.DUMMYFUNCTION("GOOGLETRANSLATE(B845,""zh_cn"",""vi"")"),"thuê")</f>
        <v>thuê</v>
      </c>
      <c r="G845" s="20" t="s">
        <v>9094</v>
      </c>
      <c r="H845" s="6"/>
      <c r="I845" s="11" t="b">
        <f t="shared" si="2"/>
        <v>0</v>
      </c>
      <c r="J845" s="24"/>
      <c r="K845" s="11" t="b">
        <f t="shared" si="3"/>
        <v>0</v>
      </c>
    </row>
    <row r="846" ht="22.5" customHeight="1">
      <c r="A846" s="12">
        <f t="shared" si="4"/>
        <v>2844</v>
      </c>
      <c r="B846" s="30" t="s">
        <v>9095</v>
      </c>
      <c r="C846" s="7" t="str">
        <f t="shared" si="6"/>
        <v>🔊</v>
      </c>
      <c r="D846" s="8" t="s">
        <v>9096</v>
      </c>
      <c r="E846" s="6" t="s">
        <v>13</v>
      </c>
      <c r="F846" s="12" t="str">
        <f>IFERROR(__xludf.DUMMYFUNCTION("GOOGLETRANSLATE(B846,""zh_cn"",""vi"")"),"Phiên âm Pinyin")</f>
        <v>Phiên âm Pinyin</v>
      </c>
      <c r="G846" s="20" t="s">
        <v>9097</v>
      </c>
      <c r="H846" s="6"/>
      <c r="I846" s="11" t="b">
        <f t="shared" si="2"/>
        <v>0</v>
      </c>
      <c r="J846" s="24"/>
      <c r="K846" s="11" t="b">
        <f t="shared" si="3"/>
        <v>0</v>
      </c>
    </row>
    <row r="847" ht="22.5" customHeight="1">
      <c r="A847" s="12">
        <f t="shared" si="4"/>
        <v>2845</v>
      </c>
      <c r="B847" s="30" t="s">
        <v>9098</v>
      </c>
      <c r="C847" s="7" t="str">
        <f t="shared" si="6"/>
        <v>🔊</v>
      </c>
      <c r="D847" s="8" t="s">
        <v>9099</v>
      </c>
      <c r="E847" s="6" t="s">
        <v>27</v>
      </c>
      <c r="F847" s="12" t="str">
        <f>IFERROR(__xludf.DUMMYFUNCTION("GOOGLETRANSLATE(B847,""zh_cn"",""vi"")"),"chất lượng")</f>
        <v>chất lượng</v>
      </c>
      <c r="G847" s="20" t="s">
        <v>9100</v>
      </c>
      <c r="H847" s="6"/>
      <c r="I847" s="11" t="b">
        <f t="shared" si="2"/>
        <v>0</v>
      </c>
      <c r="J847" s="24"/>
      <c r="K847" s="11" t="b">
        <f t="shared" si="3"/>
        <v>0</v>
      </c>
    </row>
    <row r="848" ht="22.5" customHeight="1">
      <c r="A848" s="12">
        <f t="shared" si="4"/>
        <v>2846</v>
      </c>
      <c r="B848" s="30" t="s">
        <v>9101</v>
      </c>
      <c r="C848" s="7" t="str">
        <f t="shared" si="6"/>
        <v>🔊</v>
      </c>
      <c r="D848" s="8" t="s">
        <v>9102</v>
      </c>
      <c r="E848" s="6" t="s">
        <v>27</v>
      </c>
      <c r="F848" s="12" t="str">
        <f>IFERROR(__xludf.DUMMYFUNCTION("GOOGLETRANSLATE(B848,""zh_cn"",""vi"")"),"đa dạng")</f>
        <v>đa dạng</v>
      </c>
      <c r="G848" s="20" t="s">
        <v>9103</v>
      </c>
      <c r="H848" s="6"/>
      <c r="I848" s="11" t="b">
        <f t="shared" si="2"/>
        <v>0</v>
      </c>
      <c r="J848" s="24"/>
      <c r="K848" s="11" t="b">
        <f t="shared" si="3"/>
        <v>0</v>
      </c>
    </row>
    <row r="849" ht="22.5" customHeight="1">
      <c r="A849" s="12">
        <f t="shared" si="4"/>
        <v>2847</v>
      </c>
      <c r="B849" s="30" t="s">
        <v>9104</v>
      </c>
      <c r="C849" s="7" t="str">
        <f t="shared" si="6"/>
        <v>🔊</v>
      </c>
      <c r="D849" s="8" t="s">
        <v>9105</v>
      </c>
      <c r="E849" s="6" t="s">
        <v>13</v>
      </c>
      <c r="F849" s="12" t="str">
        <f>IFERROR(__xludf.DUMMYFUNCTION("GOOGLETRANSLATE(B849,""zh_cn"",""vi"")"),"chấp thuận")</f>
        <v>chấp thuận</v>
      </c>
      <c r="G849" s="20" t="s">
        <v>9106</v>
      </c>
      <c r="H849" s="6"/>
      <c r="I849" s="11" t="b">
        <f t="shared" si="2"/>
        <v>0</v>
      </c>
      <c r="J849" s="24"/>
      <c r="K849" s="11" t="b">
        <f t="shared" si="3"/>
        <v>0</v>
      </c>
    </row>
    <row r="850" ht="22.5" customHeight="1">
      <c r="A850" s="12">
        <f t="shared" si="4"/>
        <v>2848</v>
      </c>
      <c r="B850" s="30" t="s">
        <v>9107</v>
      </c>
      <c r="C850" s="7" t="str">
        <f t="shared" si="6"/>
        <v>🔊</v>
      </c>
      <c r="D850" s="8" t="s">
        <v>9108</v>
      </c>
      <c r="E850" s="6" t="s">
        <v>13</v>
      </c>
      <c r="F850" s="12" t="str">
        <f>IFERROR(__xludf.DUMMYFUNCTION("GOOGLETRANSLATE(B850,""zh_cn"",""vi"")"),"hủy hoại")</f>
        <v>hủy hoại</v>
      </c>
      <c r="G850" s="20" t="s">
        <v>9109</v>
      </c>
      <c r="H850" s="6"/>
      <c r="I850" s="11" t="b">
        <f t="shared" si="2"/>
        <v>0</v>
      </c>
      <c r="J850" s="24"/>
      <c r="K850" s="11" t="b">
        <f t="shared" si="3"/>
        <v>0</v>
      </c>
    </row>
    <row r="851" ht="22.5" customHeight="1">
      <c r="A851" s="12">
        <f t="shared" si="4"/>
        <v>2849</v>
      </c>
      <c r="B851" s="30" t="s">
        <v>9110</v>
      </c>
      <c r="C851" s="7" t="str">
        <f t="shared" si="6"/>
        <v>🔊</v>
      </c>
      <c r="D851" s="8" t="s">
        <v>9111</v>
      </c>
      <c r="E851" s="6" t="s">
        <v>13</v>
      </c>
      <c r="F851" s="12" t="str">
        <f>IFERROR(__xludf.DUMMYFUNCTION("GOOGLETRANSLATE(B851,""zh_cn"",""vi"")"),"phổ quát")</f>
        <v>phổ quát</v>
      </c>
      <c r="G851" s="20" t="s">
        <v>9112</v>
      </c>
      <c r="H851" s="6"/>
      <c r="I851" s="11" t="b">
        <f t="shared" si="2"/>
        <v>0</v>
      </c>
      <c r="J851" s="24"/>
      <c r="K851" s="11" t="b">
        <f t="shared" si="3"/>
        <v>0</v>
      </c>
    </row>
    <row r="852" ht="22.5" customHeight="1">
      <c r="A852" s="12">
        <f t="shared" si="4"/>
        <v>2850</v>
      </c>
      <c r="B852" s="30" t="s">
        <v>9113</v>
      </c>
      <c r="C852" s="7" t="str">
        <f t="shared" si="6"/>
        <v>🔊</v>
      </c>
      <c r="D852" s="8" t="s">
        <v>2676</v>
      </c>
      <c r="E852" s="6" t="s">
        <v>9114</v>
      </c>
      <c r="F852" s="12" t="str">
        <f>IFERROR(__xludf.DUMMYFUNCTION("GOOGLETRANSLATE(B852,""zh_cn"",""vi"")"),"cùng nhau")</f>
        <v>cùng nhau</v>
      </c>
      <c r="G852" s="20" t="s">
        <v>9115</v>
      </c>
      <c r="H852" s="6"/>
      <c r="I852" s="11" t="b">
        <f t="shared" si="2"/>
        <v>0</v>
      </c>
      <c r="J852" s="24"/>
      <c r="K852" s="11" t="b">
        <f t="shared" si="3"/>
        <v>0</v>
      </c>
    </row>
    <row r="853" ht="22.5" customHeight="1">
      <c r="A853" s="12">
        <f t="shared" si="4"/>
        <v>2851</v>
      </c>
      <c r="B853" s="30" t="s">
        <v>9116</v>
      </c>
      <c r="C853" s="7" t="str">
        <f t="shared" si="6"/>
        <v>🔊</v>
      </c>
      <c r="D853" s="8" t="s">
        <v>2676</v>
      </c>
      <c r="E853" s="6" t="s">
        <v>106</v>
      </c>
      <c r="F853" s="12" t="str">
        <f>IFERROR(__xludf.DUMMYFUNCTION("GOOGLETRANSLATE(B853,""zh_cn"",""vi"")"),"Cái đó")</f>
        <v>Cái đó</v>
      </c>
      <c r="G853" s="20" t="s">
        <v>9117</v>
      </c>
      <c r="H853" s="6"/>
      <c r="I853" s="11" t="b">
        <f t="shared" si="2"/>
        <v>0</v>
      </c>
      <c r="J853" s="24"/>
      <c r="K853" s="11" t="b">
        <f t="shared" si="3"/>
        <v>0</v>
      </c>
    </row>
    <row r="854" ht="22.5" customHeight="1">
      <c r="A854" s="12">
        <f t="shared" si="4"/>
        <v>2852</v>
      </c>
      <c r="B854" s="30" t="s">
        <v>9118</v>
      </c>
      <c r="C854" s="7" t="str">
        <f t="shared" si="6"/>
        <v>🔊</v>
      </c>
      <c r="D854" s="8" t="s">
        <v>9119</v>
      </c>
      <c r="E854" s="6" t="s">
        <v>13</v>
      </c>
      <c r="F854" s="12" t="str">
        <f>IFERROR(__xludf.DUMMYFUNCTION("GOOGLETRANSLATE(B854,""zh_cn"",""vi"")"),"nợ")</f>
        <v>nợ</v>
      </c>
      <c r="G854" s="20" t="s">
        <v>9120</v>
      </c>
      <c r="H854" s="6"/>
      <c r="I854" s="11" t="b">
        <f t="shared" si="2"/>
        <v>0</v>
      </c>
      <c r="J854" s="24"/>
      <c r="K854" s="11" t="b">
        <f t="shared" si="3"/>
        <v>0</v>
      </c>
    </row>
    <row r="855" ht="22.5" customHeight="1">
      <c r="A855" s="12">
        <f t="shared" si="4"/>
        <v>2853</v>
      </c>
      <c r="B855" s="30" t="s">
        <v>9121</v>
      </c>
      <c r="C855" s="7" t="str">
        <f t="shared" si="6"/>
        <v>🔊</v>
      </c>
      <c r="D855" s="8" t="s">
        <v>9122</v>
      </c>
      <c r="E855" s="6" t="s">
        <v>99</v>
      </c>
      <c r="F855" s="12" t="str">
        <f>IFERROR(__xludf.DUMMYFUNCTION("GOOGLETRANSLATE(B855,""zh_cn"",""vi"")"),"nông")</f>
        <v>nông</v>
      </c>
      <c r="G855" s="20" t="s">
        <v>9123</v>
      </c>
      <c r="H855" s="6"/>
      <c r="I855" s="11" t="b">
        <f t="shared" si="2"/>
        <v>0</v>
      </c>
      <c r="J855" s="24"/>
      <c r="K855" s="11" t="b">
        <f t="shared" si="3"/>
        <v>0</v>
      </c>
    </row>
    <row r="856" ht="22.5" customHeight="1">
      <c r="A856" s="12">
        <f t="shared" si="4"/>
        <v>2854</v>
      </c>
      <c r="B856" s="30" t="s">
        <v>9124</v>
      </c>
      <c r="C856" s="7" t="str">
        <f t="shared" si="6"/>
        <v>🔊</v>
      </c>
      <c r="D856" s="8" t="s">
        <v>567</v>
      </c>
      <c r="E856" s="6" t="s">
        <v>13</v>
      </c>
      <c r="F856" s="12" t="str">
        <f>IFERROR(__xludf.DUMMYFUNCTION("GOOGLETRANSLATE(B856,""zh_cn"",""vi"")"),"Biển báo 1")</f>
        <v>Biển báo 1</v>
      </c>
      <c r="G856" s="20" t="s">
        <v>9125</v>
      </c>
      <c r="H856" s="6"/>
      <c r="I856" s="11" t="b">
        <f t="shared" si="2"/>
        <v>0</v>
      </c>
      <c r="J856" s="24"/>
      <c r="K856" s="11" t="b">
        <f t="shared" si="3"/>
        <v>0</v>
      </c>
    </row>
    <row r="857" ht="22.5" customHeight="1">
      <c r="A857" s="12">
        <f t="shared" si="4"/>
        <v>2855</v>
      </c>
      <c r="B857" s="30" t="s">
        <v>9126</v>
      </c>
      <c r="C857" s="7" t="str">
        <f t="shared" si="6"/>
        <v>🔊</v>
      </c>
      <c r="D857" s="8" t="s">
        <v>9127</v>
      </c>
      <c r="E857" s="6" t="s">
        <v>13</v>
      </c>
      <c r="F857" s="12" t="str">
        <f>IFERROR(__xludf.DUMMYFUNCTION("GOOGLETRANSLATE(B857,""zh_cn"",""vi"")"),"Dấu hiệu")</f>
        <v>Dấu hiệu</v>
      </c>
      <c r="G857" s="20" t="s">
        <v>9128</v>
      </c>
      <c r="H857" s="6"/>
      <c r="I857" s="11" t="b">
        <f t="shared" si="2"/>
        <v>0</v>
      </c>
      <c r="J857" s="24"/>
      <c r="K857" s="11" t="b">
        <f t="shared" si="3"/>
        <v>0</v>
      </c>
    </row>
    <row r="858" ht="22.5" customHeight="1">
      <c r="A858" s="12">
        <f t="shared" si="4"/>
        <v>2856</v>
      </c>
      <c r="B858" s="30" t="s">
        <v>9129</v>
      </c>
      <c r="C858" s="7" t="str">
        <f t="shared" si="6"/>
        <v>🔊</v>
      </c>
      <c r="D858" s="8" t="s">
        <v>5186</v>
      </c>
      <c r="E858" s="6" t="s">
        <v>27</v>
      </c>
      <c r="F858" s="12" t="str">
        <f>IFERROR(__xludf.DUMMYFUNCTION("GOOGLETRANSLATE(B858,""zh_cn"",""vi"")"),"tường")</f>
        <v>tường</v>
      </c>
      <c r="G858" s="20" t="s">
        <v>9130</v>
      </c>
      <c r="H858" s="6"/>
      <c r="I858" s="11" t="b">
        <f t="shared" si="2"/>
        <v>0</v>
      </c>
      <c r="J858" s="24"/>
      <c r="K858" s="11" t="b">
        <f t="shared" si="3"/>
        <v>0</v>
      </c>
    </row>
    <row r="859" ht="22.5" customHeight="1">
      <c r="A859" s="12">
        <f t="shared" si="4"/>
        <v>2857</v>
      </c>
      <c r="B859" s="30" t="s">
        <v>9131</v>
      </c>
      <c r="C859" s="7" t="str">
        <f t="shared" si="6"/>
        <v>🔊</v>
      </c>
      <c r="D859" s="8" t="s">
        <v>9132</v>
      </c>
      <c r="E859" s="6" t="s">
        <v>13</v>
      </c>
      <c r="F859" s="12" t="str">
        <f>IFERROR(__xludf.DUMMYFUNCTION("GOOGLETRANSLATE(B859,""zh_cn"",""vi"")"),"Rob")</f>
        <v>Rob</v>
      </c>
      <c r="G859" s="20" t="s">
        <v>9133</v>
      </c>
      <c r="H859" s="6"/>
      <c r="I859" s="11" t="b">
        <f t="shared" si="2"/>
        <v>0</v>
      </c>
      <c r="J859" s="24"/>
      <c r="K859" s="11" t="b">
        <f t="shared" si="3"/>
        <v>0</v>
      </c>
    </row>
    <row r="860" ht="22.5" customHeight="1">
      <c r="A860" s="12">
        <f t="shared" si="4"/>
        <v>2858</v>
      </c>
      <c r="B860" s="30" t="s">
        <v>9134</v>
      </c>
      <c r="C860" s="7" t="str">
        <f t="shared" si="6"/>
        <v>🔊</v>
      </c>
      <c r="D860" s="8" t="s">
        <v>9135</v>
      </c>
      <c r="E860" s="6" t="s">
        <v>99</v>
      </c>
      <c r="F860" s="12" t="str">
        <f>IFERROR(__xludf.DUMMYFUNCTION("GOOGLETRANSLATE(B860,""zh_cn"",""vi"")"),"mạnh mẽ")</f>
        <v>mạnh mẽ</v>
      </c>
      <c r="G860" s="20" t="s">
        <v>9136</v>
      </c>
      <c r="H860" s="6"/>
      <c r="I860" s="11" t="b">
        <f t="shared" si="2"/>
        <v>0</v>
      </c>
      <c r="J860" s="24"/>
      <c r="K860" s="11" t="b">
        <f t="shared" si="3"/>
        <v>0</v>
      </c>
    </row>
    <row r="861" ht="22.5" customHeight="1">
      <c r="A861" s="12">
        <f t="shared" si="4"/>
        <v>2859</v>
      </c>
      <c r="B861" s="30" t="s">
        <v>9137</v>
      </c>
      <c r="C861" s="7" t="str">
        <f t="shared" si="6"/>
        <v>🔊</v>
      </c>
      <c r="D861" s="8" t="s">
        <v>9138</v>
      </c>
      <c r="E861" s="6" t="s">
        <v>13</v>
      </c>
      <c r="F861" s="12" t="str">
        <f>IFERROR(__xludf.DUMMYFUNCTION("GOOGLETRANSLATE(B861,""zh_cn"",""vi"")"),"nhấn mạnh")</f>
        <v>nhấn mạnh</v>
      </c>
      <c r="G861" s="20" t="s">
        <v>9139</v>
      </c>
      <c r="H861" s="6"/>
      <c r="I861" s="11" t="b">
        <f t="shared" si="2"/>
        <v>0</v>
      </c>
      <c r="J861" s="24"/>
      <c r="K861" s="11" t="b">
        <f t="shared" si="3"/>
        <v>0</v>
      </c>
    </row>
    <row r="862" ht="22.5" customHeight="1">
      <c r="A862" s="12">
        <f t="shared" si="4"/>
        <v>2860</v>
      </c>
      <c r="B862" s="30" t="s">
        <v>9140</v>
      </c>
      <c r="C862" s="7" t="str">
        <f t="shared" si="6"/>
        <v>🔊</v>
      </c>
      <c r="D862" s="8" t="s">
        <v>9141</v>
      </c>
      <c r="E862" s="6" t="s">
        <v>27</v>
      </c>
      <c r="F862" s="12" t="str">
        <f>IFERROR(__xludf.DUMMYFUNCTION("GOOGLETRANSLATE(B862,""zh_cn"",""vi"")"),"sức mạnh")</f>
        <v>sức mạnh</v>
      </c>
      <c r="G862" s="20" t="s">
        <v>9142</v>
      </c>
      <c r="H862" s="6"/>
      <c r="I862" s="11" t="b">
        <f t="shared" si="2"/>
        <v>0</v>
      </c>
      <c r="J862" s="24"/>
      <c r="K862" s="11" t="b">
        <f t="shared" si="3"/>
        <v>0</v>
      </c>
    </row>
    <row r="863" ht="22.5" customHeight="1">
      <c r="A863" s="12">
        <f t="shared" si="4"/>
        <v>2861</v>
      </c>
      <c r="B863" s="30" t="s">
        <v>9143</v>
      </c>
      <c r="C863" s="7" t="str">
        <f t="shared" si="6"/>
        <v>🔊</v>
      </c>
      <c r="D863" s="8" t="s">
        <v>9144</v>
      </c>
      <c r="E863" s="6" t="s">
        <v>13</v>
      </c>
      <c r="F863" s="12" t="str">
        <f>IFERROR(__xludf.DUMMYFUNCTION("GOOGLETRANSLATE(B863,""zh_cn"",""vi"")"),"giải thoát")</f>
        <v>giải thoát</v>
      </c>
      <c r="G863" s="20" t="s">
        <v>9145</v>
      </c>
      <c r="H863" s="6"/>
      <c r="I863" s="11" t="b">
        <f t="shared" si="2"/>
        <v>0</v>
      </c>
      <c r="J863" s="24"/>
      <c r="K863" s="11" t="b">
        <f t="shared" si="3"/>
        <v>0</v>
      </c>
    </row>
    <row r="864" ht="22.5" customHeight="1">
      <c r="A864" s="12">
        <f t="shared" si="4"/>
        <v>2862</v>
      </c>
      <c r="B864" s="30" t="s">
        <v>9146</v>
      </c>
      <c r="C864" s="7" t="str">
        <f t="shared" si="6"/>
        <v>🔊</v>
      </c>
      <c r="D864" s="8" t="s">
        <v>9147</v>
      </c>
      <c r="E864" s="6" t="s">
        <v>99</v>
      </c>
      <c r="F864" s="12" t="str">
        <f>IFERROR(__xludf.DUMMYFUNCTION("GOOGLETRANSLATE(B864,""zh_cn"",""vi"")"),"mạnh")</f>
        <v>mạnh</v>
      </c>
      <c r="G864" s="20" t="s">
        <v>9148</v>
      </c>
      <c r="H864" s="6"/>
      <c r="I864" s="11" t="b">
        <f t="shared" si="2"/>
        <v>0</v>
      </c>
      <c r="J864" s="24"/>
      <c r="K864" s="11" t="b">
        <f t="shared" si="3"/>
        <v>0</v>
      </c>
    </row>
    <row r="865" ht="22.5" customHeight="1">
      <c r="A865" s="12">
        <f t="shared" si="4"/>
        <v>2863</v>
      </c>
      <c r="B865" s="30" t="s">
        <v>9149</v>
      </c>
      <c r="C865" s="7" t="str">
        <f t="shared" si="6"/>
        <v>🔊</v>
      </c>
      <c r="D865" s="8" t="s">
        <v>9150</v>
      </c>
      <c r="E865" s="6" t="s">
        <v>13</v>
      </c>
      <c r="F865" s="12" t="str">
        <f>IFERROR(__xludf.DUMMYFUNCTION("GOOGLETRANSLATE(B865,""zh_cn"",""vi"")"),"cứ tiếp tục đi")</f>
        <v>cứ tiếp tục đi</v>
      </c>
      <c r="G865" s="20" t="s">
        <v>9151</v>
      </c>
      <c r="H865" s="6"/>
      <c r="I865" s="11" t="b">
        <f t="shared" si="2"/>
        <v>0</v>
      </c>
      <c r="J865" s="24"/>
      <c r="K865" s="11" t="b">
        <f t="shared" si="3"/>
        <v>0</v>
      </c>
    </row>
    <row r="866" ht="22.5" customHeight="1">
      <c r="A866" s="12">
        <f t="shared" si="4"/>
        <v>2864</v>
      </c>
      <c r="B866" s="30" t="s">
        <v>9152</v>
      </c>
      <c r="C866" s="7" t="str">
        <f t="shared" si="6"/>
        <v>🔊</v>
      </c>
      <c r="D866" s="8" t="s">
        <v>9153</v>
      </c>
      <c r="E866" s="6" t="s">
        <v>13</v>
      </c>
      <c r="F866" s="12" t="str">
        <f>IFERROR(__xludf.DUMMYFUNCTION("GOOGLETRANSLATE(B866,""zh_cn"",""vi"")"),"Đến")</f>
        <v>Đến</v>
      </c>
      <c r="G866" s="20" t="s">
        <v>9154</v>
      </c>
      <c r="H866" s="6"/>
      <c r="I866" s="11" t="b">
        <f t="shared" si="2"/>
        <v>0</v>
      </c>
      <c r="J866" s="24"/>
      <c r="K866" s="11" t="b">
        <f t="shared" si="3"/>
        <v>0</v>
      </c>
    </row>
    <row r="867" ht="22.5" customHeight="1">
      <c r="A867" s="12">
        <f t="shared" si="4"/>
        <v>2865</v>
      </c>
      <c r="B867" s="30" t="s">
        <v>9155</v>
      </c>
      <c r="C867" s="7" t="str">
        <f t="shared" si="6"/>
        <v>🔊</v>
      </c>
      <c r="D867" s="8" t="s">
        <v>9156</v>
      </c>
      <c r="E867" s="6" t="s">
        <v>232</v>
      </c>
      <c r="F867" s="12" t="str">
        <f>IFERROR(__xludf.DUMMYFUNCTION("GOOGLETRANSLATE(B867,""zh_cn"",""vi"")"),"dấu hiệu")</f>
        <v>dấu hiệu</v>
      </c>
      <c r="G867" s="20" t="s">
        <v>9157</v>
      </c>
      <c r="H867" s="6"/>
      <c r="I867" s="11" t="b">
        <f t="shared" si="2"/>
        <v>0</v>
      </c>
      <c r="J867" s="24"/>
      <c r="K867" s="11" t="b">
        <f t="shared" si="3"/>
        <v>0</v>
      </c>
    </row>
    <row r="868" ht="22.5" customHeight="1">
      <c r="A868" s="12">
        <f t="shared" si="4"/>
        <v>2866</v>
      </c>
      <c r="B868" s="30" t="s">
        <v>9158</v>
      </c>
      <c r="C868" s="7" t="str">
        <f t="shared" si="6"/>
        <v>🔊</v>
      </c>
      <c r="D868" s="8" t="s">
        <v>9159</v>
      </c>
      <c r="E868" s="6" t="s">
        <v>27</v>
      </c>
      <c r="F868" s="12" t="str">
        <f>IFERROR(__xludf.DUMMYFUNCTION("GOOGLETRANSLATE(B868,""zh_cn"",""vi"")"),"tương lai")</f>
        <v>tương lai</v>
      </c>
      <c r="G868" s="20" t="s">
        <v>9160</v>
      </c>
      <c r="H868" s="6"/>
      <c r="I868" s="11" t="b">
        <f t="shared" si="2"/>
        <v>0</v>
      </c>
      <c r="J868" s="24"/>
      <c r="K868" s="11" t="b">
        <f t="shared" si="3"/>
        <v>0</v>
      </c>
    </row>
    <row r="869" ht="22.5" customHeight="1">
      <c r="A869" s="12">
        <f t="shared" si="4"/>
        <v>2867</v>
      </c>
      <c r="B869" s="30" t="s">
        <v>9161</v>
      </c>
      <c r="C869" s="7" t="str">
        <f t="shared" si="6"/>
        <v>🔊</v>
      </c>
      <c r="D869" s="8" t="s">
        <v>9162</v>
      </c>
      <c r="E869" s="6" t="s">
        <v>13</v>
      </c>
      <c r="F869" s="12" t="str">
        <f>IFERROR(__xludf.DUMMYFUNCTION("GOOGLETRANSLATE(B869,""zh_cn"",""vi"")"),"Đi đến")</f>
        <v>Đi đến</v>
      </c>
      <c r="G869" s="20" t="s">
        <v>9163</v>
      </c>
      <c r="H869" s="6"/>
      <c r="I869" s="11" t="b">
        <f t="shared" si="2"/>
        <v>0</v>
      </c>
      <c r="J869" s="24"/>
      <c r="K869" s="11" t="b">
        <f t="shared" si="3"/>
        <v>0</v>
      </c>
    </row>
    <row r="870" ht="22.5" customHeight="1">
      <c r="A870" s="12">
        <f t="shared" si="4"/>
        <v>2868</v>
      </c>
      <c r="B870" s="30" t="s">
        <v>9164</v>
      </c>
      <c r="C870" s="7" t="str">
        <f t="shared" si="6"/>
        <v>🔊</v>
      </c>
      <c r="D870" s="8" t="s">
        <v>9165</v>
      </c>
      <c r="E870" s="6" t="s">
        <v>232</v>
      </c>
      <c r="F870" s="12" t="str">
        <f>IFERROR(__xludf.DUMMYFUNCTION("GOOGLETRANSLATE(B870,""zh_cn"",""vi"")"),"chữ ký")</f>
        <v>chữ ký</v>
      </c>
      <c r="G870" s="20" t="s">
        <v>9166</v>
      </c>
      <c r="H870" s="6"/>
      <c r="I870" s="11" t="b">
        <f t="shared" si="2"/>
        <v>0</v>
      </c>
      <c r="J870" s="24"/>
      <c r="K870" s="11" t="b">
        <f t="shared" si="3"/>
        <v>0</v>
      </c>
    </row>
    <row r="871" ht="22.5" customHeight="1">
      <c r="A871" s="12">
        <f t="shared" si="4"/>
        <v>2869</v>
      </c>
      <c r="B871" s="30" t="s">
        <v>9167</v>
      </c>
      <c r="C871" s="7" t="str">
        <f t="shared" si="6"/>
        <v>🔊</v>
      </c>
      <c r="D871" s="8" t="s">
        <v>9168</v>
      </c>
      <c r="E871" s="6" t="s">
        <v>61</v>
      </c>
      <c r="F871" s="12" t="str">
        <f>IFERROR(__xludf.DUMMYFUNCTION("GOOGLETRANSLATE(B871,""zh_cn"",""vi"")"),"lặng lẽ")</f>
        <v>lặng lẽ</v>
      </c>
      <c r="G871" s="20" t="s">
        <v>9169</v>
      </c>
      <c r="H871" s="6"/>
      <c r="I871" s="11" t="b">
        <f t="shared" si="2"/>
        <v>0</v>
      </c>
      <c r="J871" s="24"/>
      <c r="K871" s="11" t="b">
        <f t="shared" si="3"/>
        <v>0</v>
      </c>
    </row>
    <row r="872" ht="22.5" customHeight="1">
      <c r="A872" s="12">
        <f t="shared" si="4"/>
        <v>2870</v>
      </c>
      <c r="B872" s="30" t="s">
        <v>9170</v>
      </c>
      <c r="C872" s="7" t="str">
        <f t="shared" si="6"/>
        <v>🔊</v>
      </c>
      <c r="D872" s="8" t="s">
        <v>9171</v>
      </c>
      <c r="E872" s="6" t="s">
        <v>13</v>
      </c>
      <c r="F872" s="12" t="str">
        <f>IFERROR(__xludf.DUMMYFUNCTION("GOOGLETRANSLATE(B872,""zh_cn"",""vi"")"),"trông chờ")</f>
        <v>trông chờ</v>
      </c>
      <c r="G872" s="20" t="s">
        <v>9172</v>
      </c>
      <c r="H872" s="6"/>
      <c r="I872" s="11" t="b">
        <f t="shared" si="2"/>
        <v>0</v>
      </c>
      <c r="J872" s="24"/>
      <c r="K872" s="11" t="b">
        <f t="shared" si="3"/>
        <v>0</v>
      </c>
    </row>
    <row r="873" ht="22.5" customHeight="1">
      <c r="A873" s="12">
        <f t="shared" si="4"/>
        <v>2871</v>
      </c>
      <c r="B873" s="30" t="s">
        <v>9173</v>
      </c>
      <c r="C873" s="7" t="str">
        <f t="shared" si="6"/>
        <v>🔊</v>
      </c>
      <c r="D873" s="8" t="s">
        <v>9174</v>
      </c>
      <c r="E873" s="6" t="s">
        <v>13</v>
      </c>
      <c r="F873" s="12" t="str">
        <f>IFERROR(__xludf.DUMMYFUNCTION("GOOGLETRANSLATE(B873,""zh_cn"",""vi"")"),"cắt")</f>
        <v>cắt</v>
      </c>
      <c r="G873" s="20" t="s">
        <v>9175</v>
      </c>
      <c r="H873" s="6"/>
      <c r="I873" s="11" t="b">
        <f t="shared" si="2"/>
        <v>0</v>
      </c>
      <c r="J873" s="24"/>
      <c r="K873" s="11" t="b">
        <f t="shared" si="3"/>
        <v>0</v>
      </c>
    </row>
    <row r="874" ht="22.5" customHeight="1">
      <c r="A874" s="12">
        <f t="shared" si="4"/>
        <v>2872</v>
      </c>
      <c r="B874" s="30" t="s">
        <v>9176</v>
      </c>
      <c r="C874" s="7" t="str">
        <f t="shared" si="6"/>
        <v>🔊</v>
      </c>
      <c r="D874" s="8" t="s">
        <v>9177</v>
      </c>
      <c r="E874" s="6" t="s">
        <v>27</v>
      </c>
      <c r="F874" s="12" t="str">
        <f>IFERROR(__xludf.DUMMYFUNCTION("GOOGLETRANSLATE(B874,""zh_cn"",""vi"")"),"Phép lạ")</f>
        <v>Phép lạ</v>
      </c>
      <c r="G874" s="20" t="s">
        <v>9178</v>
      </c>
      <c r="H874" s="6"/>
      <c r="I874" s="11" t="b">
        <f t="shared" si="2"/>
        <v>0</v>
      </c>
      <c r="J874" s="24"/>
      <c r="K874" s="11" t="b">
        <f t="shared" si="3"/>
        <v>0</v>
      </c>
    </row>
    <row r="875" ht="22.5" customHeight="1">
      <c r="A875" s="12">
        <f t="shared" si="4"/>
        <v>2873</v>
      </c>
      <c r="B875" s="30" t="s">
        <v>9179</v>
      </c>
      <c r="C875" s="7" t="str">
        <f t="shared" si="6"/>
        <v>🔊</v>
      </c>
      <c r="D875" s="8" t="s">
        <v>9180</v>
      </c>
      <c r="E875" s="6" t="s">
        <v>27</v>
      </c>
      <c r="F875" s="12" t="str">
        <f>IFERROR(__xludf.DUMMYFUNCTION("GOOGLETRANSLATE(B875,""zh_cn"",""vi"")"),"Giai đoạn")</f>
        <v>Giai đoạn</v>
      </c>
      <c r="G875" s="20" t="s">
        <v>9181</v>
      </c>
      <c r="H875" s="6"/>
      <c r="I875" s="11" t="b">
        <f t="shared" si="2"/>
        <v>0</v>
      </c>
      <c r="J875" s="24"/>
      <c r="K875" s="11" t="b">
        <f t="shared" si="3"/>
        <v>0</v>
      </c>
    </row>
    <row r="876" ht="22.5" customHeight="1">
      <c r="A876" s="12">
        <f t="shared" si="4"/>
        <v>2874</v>
      </c>
      <c r="B876" s="30" t="s">
        <v>9182</v>
      </c>
      <c r="C876" s="7" t="str">
        <f t="shared" si="6"/>
        <v>🔊</v>
      </c>
      <c r="D876" s="8" t="s">
        <v>9183</v>
      </c>
      <c r="E876" s="6" t="s">
        <v>416</v>
      </c>
      <c r="F876" s="12" t="str">
        <f>IFERROR(__xludf.DUMMYFUNCTION("GOOGLETRANSLATE(B876,""zh_cn"",""vi"")"),"liên quan đến")</f>
        <v>liên quan đến</v>
      </c>
      <c r="G876" s="20" t="s">
        <v>9184</v>
      </c>
      <c r="H876" s="6"/>
      <c r="I876" s="11" t="b">
        <f t="shared" si="2"/>
        <v>0</v>
      </c>
      <c r="J876" s="24"/>
      <c r="K876" s="11" t="b">
        <f t="shared" si="3"/>
        <v>0</v>
      </c>
    </row>
    <row r="877" ht="22.5" customHeight="1">
      <c r="A877" s="12">
        <f t="shared" si="4"/>
        <v>2875</v>
      </c>
      <c r="B877" s="30" t="s">
        <v>9185</v>
      </c>
      <c r="C877" s="7" t="str">
        <f t="shared" si="6"/>
        <v>🔊</v>
      </c>
      <c r="D877" s="8" t="s">
        <v>9186</v>
      </c>
      <c r="E877" s="6" t="s">
        <v>99</v>
      </c>
      <c r="F877" s="12" t="str">
        <f>IFERROR(__xludf.DUMMYFUNCTION("GOOGLETRANSLATE(B877,""zh_cn"",""vi"")"),"Thân mến")</f>
        <v>Thân mến</v>
      </c>
      <c r="G877" s="20" t="s">
        <v>9187</v>
      </c>
      <c r="H877" s="6"/>
      <c r="I877" s="11" t="b">
        <f t="shared" si="2"/>
        <v>0</v>
      </c>
      <c r="J877" s="24"/>
      <c r="K877" s="11" t="b">
        <f t="shared" si="3"/>
        <v>0</v>
      </c>
    </row>
    <row r="878" ht="22.5" customHeight="1">
      <c r="A878" s="12">
        <f t="shared" si="4"/>
        <v>2876</v>
      </c>
      <c r="B878" s="30" t="s">
        <v>9188</v>
      </c>
      <c r="C878" s="7" t="str">
        <f t="shared" si="6"/>
        <v>🔊</v>
      </c>
      <c r="D878" s="8" t="s">
        <v>9189</v>
      </c>
      <c r="E878" s="6" t="s">
        <v>99</v>
      </c>
      <c r="F878" s="12" t="str">
        <f>IFERROR(__xludf.DUMMYFUNCTION("GOOGLETRANSLATE(B878,""zh_cn"",""vi"")"),"siêng năng")</f>
        <v>siêng năng</v>
      </c>
      <c r="G878" s="20" t="s">
        <v>9190</v>
      </c>
      <c r="H878" s="6"/>
      <c r="I878" s="11" t="b">
        <f t="shared" si="2"/>
        <v>0</v>
      </c>
      <c r="J878" s="24"/>
      <c r="K878" s="11" t="b">
        <f t="shared" si="3"/>
        <v>0</v>
      </c>
    </row>
    <row r="879" ht="22.5" customHeight="1">
      <c r="A879" s="12">
        <f t="shared" si="4"/>
        <v>2877</v>
      </c>
      <c r="B879" s="30" t="s">
        <v>9191</v>
      </c>
      <c r="C879" s="7" t="str">
        <f t="shared" si="6"/>
        <v>🔊</v>
      </c>
      <c r="D879" s="8" t="s">
        <v>5233</v>
      </c>
      <c r="E879" s="6" t="s">
        <v>99</v>
      </c>
      <c r="F879" s="12" t="str">
        <f>IFERROR(__xludf.DUMMYFUNCTION("GOOGLETRANSLATE(B879,""zh_cn"",""vi"")"),"màu xanh lá")</f>
        <v>màu xanh lá</v>
      </c>
      <c r="G879" s="20" t="s">
        <v>9192</v>
      </c>
      <c r="H879" s="6"/>
      <c r="I879" s="11" t="b">
        <f t="shared" si="2"/>
        <v>0</v>
      </c>
      <c r="J879" s="24"/>
      <c r="K879" s="11" t="b">
        <f t="shared" si="3"/>
        <v>0</v>
      </c>
    </row>
    <row r="880" ht="22.5" customHeight="1">
      <c r="A880" s="12">
        <f t="shared" si="4"/>
        <v>2878</v>
      </c>
      <c r="B880" s="30" t="s">
        <v>9193</v>
      </c>
      <c r="C880" s="7" t="str">
        <f t="shared" si="6"/>
        <v>🔊</v>
      </c>
      <c r="D880" s="8" t="s">
        <v>9194</v>
      </c>
      <c r="E880" s="6" t="s">
        <v>27</v>
      </c>
      <c r="F880" s="12" t="str">
        <f>IFERROR(__xludf.DUMMYFUNCTION("GOOGLETRANSLATE(B880,""zh_cn"",""vi"")"),"cảm xúc")</f>
        <v>cảm xúc</v>
      </c>
      <c r="G880" s="20" t="s">
        <v>9195</v>
      </c>
      <c r="H880" s="6"/>
      <c r="I880" s="11" t="b">
        <f t="shared" si="2"/>
        <v>0</v>
      </c>
      <c r="J880" s="24"/>
      <c r="K880" s="11" t="b">
        <f t="shared" si="3"/>
        <v>0</v>
      </c>
    </row>
    <row r="881" ht="22.5" customHeight="1">
      <c r="A881" s="12">
        <f t="shared" si="4"/>
        <v>2879</v>
      </c>
      <c r="B881" s="30" t="s">
        <v>9196</v>
      </c>
      <c r="C881" s="7" t="str">
        <f t="shared" si="6"/>
        <v>🔊</v>
      </c>
      <c r="D881" s="8" t="s">
        <v>9197</v>
      </c>
      <c r="E881" s="6" t="s">
        <v>13</v>
      </c>
      <c r="F881" s="12" t="str">
        <f>IFERROR(__xludf.DUMMYFUNCTION("GOOGLETRANSLATE(B881,""zh_cn"",""vi"")"),"tư vấn")</f>
        <v>tư vấn</v>
      </c>
      <c r="G881" s="20" t="s">
        <v>9198</v>
      </c>
      <c r="H881" s="6"/>
      <c r="I881" s="11" t="b">
        <f t="shared" si="2"/>
        <v>0</v>
      </c>
      <c r="J881" s="24"/>
      <c r="K881" s="11" t="b">
        <f t="shared" si="3"/>
        <v>0</v>
      </c>
    </row>
    <row r="882" ht="22.5" customHeight="1">
      <c r="A882" s="12">
        <f t="shared" si="4"/>
        <v>2880</v>
      </c>
      <c r="B882" s="30" t="s">
        <v>9199</v>
      </c>
      <c r="C882" s="7" t="str">
        <f t="shared" si="6"/>
        <v>🔊</v>
      </c>
      <c r="D882" s="8" t="s">
        <v>9200</v>
      </c>
      <c r="E882" s="6" t="s">
        <v>27</v>
      </c>
      <c r="F882" s="12" t="str">
        <f>IFERROR(__xludf.DUMMYFUNCTION("GOOGLETRANSLATE(B882,""zh_cn"",""vi"")"),"bối cảnh")</f>
        <v>bối cảnh</v>
      </c>
      <c r="G882" s="20" t="s">
        <v>9201</v>
      </c>
      <c r="H882" s="6"/>
      <c r="I882" s="11" t="b">
        <f t="shared" si="2"/>
        <v>0</v>
      </c>
      <c r="J882" s="24"/>
      <c r="K882" s="11" t="b">
        <f t="shared" si="3"/>
        <v>0</v>
      </c>
    </row>
    <row r="883" ht="22.5" customHeight="1">
      <c r="A883" s="12">
        <f t="shared" si="4"/>
        <v>2881</v>
      </c>
      <c r="B883" s="30" t="s">
        <v>9202</v>
      </c>
      <c r="C883" s="7" t="str">
        <f t="shared" si="6"/>
        <v>🔊</v>
      </c>
      <c r="D883" s="8" t="s">
        <v>9203</v>
      </c>
      <c r="E883" s="6" t="s">
        <v>232</v>
      </c>
      <c r="F883" s="12" t="str">
        <f>IFERROR(__xludf.DUMMYFUNCTION("GOOGLETRANSLATE(B883,""zh_cn"",""vi"")"),"hỏi")</f>
        <v>hỏi</v>
      </c>
      <c r="G883" s="20" t="s">
        <v>9204</v>
      </c>
      <c r="H883" s="6"/>
      <c r="I883" s="11" t="b">
        <f t="shared" si="2"/>
        <v>0</v>
      </c>
      <c r="J883" s="24"/>
      <c r="K883" s="11" t="b">
        <f t="shared" si="3"/>
        <v>0</v>
      </c>
    </row>
    <row r="884" ht="22.5" customHeight="1">
      <c r="A884" s="12">
        <f t="shared" si="4"/>
        <v>2882</v>
      </c>
      <c r="B884" s="30" t="s">
        <v>9205</v>
      </c>
      <c r="C884" s="7" t="str">
        <f t="shared" si="6"/>
        <v>🔊</v>
      </c>
      <c r="D884" s="8" t="s">
        <v>9206</v>
      </c>
      <c r="E884" s="6" t="s">
        <v>27</v>
      </c>
      <c r="F884" s="12" t="str">
        <f>IFERROR(__xludf.DUMMYFUNCTION("GOOGLETRANSLATE(B884,""zh_cn"",""vi"")"),"tâm trạng")</f>
        <v>tâm trạng</v>
      </c>
      <c r="G884" s="20" t="s">
        <v>9207</v>
      </c>
      <c r="H884" s="6"/>
      <c r="I884" s="11" t="b">
        <f t="shared" si="2"/>
        <v>0</v>
      </c>
      <c r="J884" s="24"/>
      <c r="K884" s="11" t="b">
        <f t="shared" si="3"/>
        <v>0</v>
      </c>
    </row>
    <row r="885" ht="22.5" customHeight="1">
      <c r="A885" s="12">
        <f t="shared" si="4"/>
        <v>2883</v>
      </c>
      <c r="B885" s="30" t="s">
        <v>9208</v>
      </c>
      <c r="C885" s="7" t="str">
        <f t="shared" si="6"/>
        <v>🔊</v>
      </c>
      <c r="D885" s="8" t="s">
        <v>9209</v>
      </c>
      <c r="E885" s="6" t="s">
        <v>1308</v>
      </c>
      <c r="F885" s="12" t="str">
        <f>IFERROR(__xludf.DUMMYFUNCTION("GOOGLETRANSLATE(B885,""zh_cn"",""vi"")"),"một cách dễ dàng")</f>
        <v>một cách dễ dàng</v>
      </c>
      <c r="G885" s="20" t="s">
        <v>9210</v>
      </c>
      <c r="H885" s="6"/>
      <c r="I885" s="11" t="b">
        <f t="shared" si="2"/>
        <v>0</v>
      </c>
      <c r="J885" s="24"/>
      <c r="K885" s="11" t="b">
        <f t="shared" si="3"/>
        <v>0</v>
      </c>
    </row>
    <row r="886" ht="22.5" customHeight="1">
      <c r="A886" s="12">
        <f t="shared" si="4"/>
        <v>2884</v>
      </c>
      <c r="B886" s="30" t="s">
        <v>9211</v>
      </c>
      <c r="C886" s="7" t="str">
        <f t="shared" si="6"/>
        <v>🔊</v>
      </c>
      <c r="D886" s="8" t="s">
        <v>9212</v>
      </c>
      <c r="E886" s="6" t="s">
        <v>27</v>
      </c>
      <c r="F886" s="12" t="str">
        <f>IFERROR(__xludf.DUMMYFUNCTION("GOOGLETRANSLATE(B886,""zh_cn"",""vi"")"),"Nhẹ và nặng")</f>
        <v>Nhẹ và nặng</v>
      </c>
      <c r="G886" s="20" t="s">
        <v>9213</v>
      </c>
      <c r="H886" s="6"/>
      <c r="I886" s="11" t="b">
        <f t="shared" si="2"/>
        <v>0</v>
      </c>
      <c r="J886" s="24"/>
      <c r="K886" s="11" t="b">
        <f t="shared" si="3"/>
        <v>0</v>
      </c>
    </row>
    <row r="887" ht="22.5" customHeight="1">
      <c r="A887" s="12">
        <f t="shared" si="4"/>
        <v>2885</v>
      </c>
      <c r="B887" s="30" t="s">
        <v>9214</v>
      </c>
      <c r="C887" s="7" t="str">
        <f t="shared" si="6"/>
        <v>🔊</v>
      </c>
      <c r="D887" s="8" t="s">
        <v>9215</v>
      </c>
      <c r="E887" s="14"/>
      <c r="F887" s="12" t="str">
        <f>IFERROR(__xludf.DUMMYFUNCTION("GOOGLETRANSLATE(B887,""zh_cn"",""vi"")"),"Bạn bè và gia đình")</f>
        <v>Bạn bè và gia đình</v>
      </c>
      <c r="G887" s="20" t="s">
        <v>9216</v>
      </c>
      <c r="H887" s="6"/>
      <c r="I887" s="11" t="b">
        <f t="shared" si="2"/>
        <v>0</v>
      </c>
      <c r="J887" s="24"/>
      <c r="K887" s="11" t="b">
        <f t="shared" si="3"/>
        <v>0</v>
      </c>
    </row>
    <row r="888" ht="22.5" customHeight="1">
      <c r="A888" s="12">
        <f t="shared" si="4"/>
        <v>2886</v>
      </c>
      <c r="B888" s="30" t="s">
        <v>9217</v>
      </c>
      <c r="C888" s="7" t="str">
        <f t="shared" si="6"/>
        <v>🔊</v>
      </c>
      <c r="D888" s="8" t="s">
        <v>9218</v>
      </c>
      <c r="E888" s="6" t="s">
        <v>99</v>
      </c>
      <c r="F888" s="12" t="str">
        <f>IFERROR(__xludf.DUMMYFUNCTION("GOOGLETRANSLATE(B888,""zh_cn"",""vi"")"),"loại")</f>
        <v>loại</v>
      </c>
      <c r="G888" s="20" t="s">
        <v>9219</v>
      </c>
      <c r="H888" s="6"/>
      <c r="I888" s="11" t="b">
        <f t="shared" si="2"/>
        <v>0</v>
      </c>
      <c r="J888" s="24"/>
      <c r="K888" s="11" t="b">
        <f t="shared" si="3"/>
        <v>0</v>
      </c>
    </row>
    <row r="889" ht="22.5" customHeight="1">
      <c r="A889" s="12">
        <f t="shared" si="4"/>
        <v>2887</v>
      </c>
      <c r="B889" s="30" t="s">
        <v>9220</v>
      </c>
      <c r="C889" s="7" t="str">
        <f t="shared" si="6"/>
        <v>🔊</v>
      </c>
      <c r="D889" s="8" t="s">
        <v>9221</v>
      </c>
      <c r="E889" s="6" t="s">
        <v>27</v>
      </c>
      <c r="F889" s="12" t="str">
        <f>IFERROR(__xludf.DUMMYFUNCTION("GOOGLETRANSLATE(B889,""zh_cn"",""vi"")"),"Gia đình")</f>
        <v>Gia đình</v>
      </c>
      <c r="G889" s="20" t="s">
        <v>9222</v>
      </c>
      <c r="H889" s="6"/>
      <c r="I889" s="11" t="b">
        <f t="shared" si="2"/>
        <v>0</v>
      </c>
      <c r="J889" s="24"/>
      <c r="K889" s="11" t="b">
        <f t="shared" si="3"/>
        <v>0</v>
      </c>
    </row>
    <row r="890" ht="22.5" customHeight="1">
      <c r="A890" s="12">
        <f t="shared" si="4"/>
        <v>2888</v>
      </c>
      <c r="B890" s="30" t="s">
        <v>9223</v>
      </c>
      <c r="C890" s="7" t="str">
        <f t="shared" si="6"/>
        <v>🔊</v>
      </c>
      <c r="D890" s="8" t="s">
        <v>9224</v>
      </c>
      <c r="E890" s="6" t="s">
        <v>27</v>
      </c>
      <c r="F890" s="12" t="str">
        <f>IFERROR(__xludf.DUMMYFUNCTION("GOOGLETRANSLATE(B890,""zh_cn"",""vi"")"),"họ hàng")</f>
        <v>họ hàng</v>
      </c>
      <c r="G890" s="20" t="s">
        <v>9225</v>
      </c>
      <c r="H890" s="6"/>
      <c r="I890" s="11" t="b">
        <f t="shared" si="2"/>
        <v>0</v>
      </c>
      <c r="J890" s="24"/>
      <c r="K890" s="11" t="b">
        <f t="shared" si="3"/>
        <v>0</v>
      </c>
    </row>
    <row r="891" ht="22.5" customHeight="1">
      <c r="A891" s="12">
        <f t="shared" si="4"/>
        <v>2889</v>
      </c>
      <c r="B891" s="30" t="s">
        <v>9226</v>
      </c>
      <c r="C891" s="7" t="str">
        <f t="shared" si="6"/>
        <v>🔊</v>
      </c>
      <c r="D891" s="8" t="s">
        <v>9227</v>
      </c>
      <c r="E891" s="6" t="s">
        <v>61</v>
      </c>
      <c r="F891" s="12" t="str">
        <f>IFERROR(__xludf.DUMMYFUNCTION("GOOGLETRANSLATE(B891,""zh_cn"",""vi"")"),"cá nhân")</f>
        <v>cá nhân</v>
      </c>
      <c r="G891" s="20" t="s">
        <v>9228</v>
      </c>
      <c r="H891" s="6"/>
      <c r="I891" s="11" t="b">
        <f t="shared" si="2"/>
        <v>0</v>
      </c>
      <c r="J891" s="24"/>
      <c r="K891" s="11" t="b">
        <f t="shared" si="3"/>
        <v>0</v>
      </c>
    </row>
    <row r="892" ht="22.5" customHeight="1">
      <c r="A892" s="12">
        <f t="shared" si="4"/>
        <v>2890</v>
      </c>
      <c r="B892" s="30" t="s">
        <v>9229</v>
      </c>
      <c r="C892" s="7" t="str">
        <f t="shared" si="6"/>
        <v>🔊</v>
      </c>
      <c r="D892" s="8" t="s">
        <v>9230</v>
      </c>
      <c r="E892" s="6" t="s">
        <v>99</v>
      </c>
      <c r="F892" s="12" t="str">
        <f>IFERROR(__xludf.DUMMYFUNCTION("GOOGLETRANSLATE(B892,""zh_cn"",""vi"")"),"nghèo")</f>
        <v>nghèo</v>
      </c>
      <c r="G892" s="20" t="s">
        <v>9231</v>
      </c>
      <c r="H892" s="6"/>
      <c r="I892" s="11" t="b">
        <f t="shared" si="2"/>
        <v>0</v>
      </c>
      <c r="J892" s="24"/>
      <c r="K892" s="11" t="b">
        <f t="shared" si="3"/>
        <v>0</v>
      </c>
    </row>
    <row r="893" ht="22.5" customHeight="1">
      <c r="A893" s="12">
        <f t="shared" si="4"/>
        <v>2891</v>
      </c>
      <c r="B893" s="30" t="s">
        <v>9232</v>
      </c>
      <c r="C893" s="7" t="str">
        <f t="shared" si="6"/>
        <v>🔊</v>
      </c>
      <c r="D893" s="8" t="s">
        <v>9233</v>
      </c>
      <c r="E893" s="6" t="s">
        <v>27</v>
      </c>
      <c r="F893" s="12" t="str">
        <f>IFERROR(__xludf.DUMMYFUNCTION("GOOGLETRANSLATE(B893,""zh_cn"",""vi"")"),"bóng bay")</f>
        <v>bóng bay</v>
      </c>
      <c r="G893" s="20" t="s">
        <v>9234</v>
      </c>
      <c r="H893" s="6"/>
      <c r="I893" s="11" t="b">
        <f t="shared" si="2"/>
        <v>0</v>
      </c>
      <c r="J893" s="24"/>
      <c r="K893" s="11" t="b">
        <f t="shared" si="3"/>
        <v>0</v>
      </c>
    </row>
    <row r="894" ht="22.5" customHeight="1">
      <c r="A894" s="12">
        <f t="shared" si="4"/>
        <v>2892</v>
      </c>
      <c r="B894" s="30" t="s">
        <v>9235</v>
      </c>
      <c r="C894" s="7" t="str">
        <f t="shared" si="6"/>
        <v>🔊</v>
      </c>
      <c r="D894" s="8" t="s">
        <v>9236</v>
      </c>
      <c r="E894" s="6" t="s">
        <v>27</v>
      </c>
      <c r="F894" s="12" t="str">
        <f>IFERROR(__xludf.DUMMYFUNCTION("GOOGLETRANSLATE(B894,""zh_cn"",""vi"")"),"doanh nghiệp")</f>
        <v>doanh nghiệp</v>
      </c>
      <c r="G894" s="20" t="s">
        <v>9237</v>
      </c>
      <c r="H894" s="6"/>
      <c r="I894" s="11" t="b">
        <f t="shared" si="2"/>
        <v>0</v>
      </c>
      <c r="J894" s="24"/>
      <c r="K894" s="11" t="b">
        <f t="shared" si="3"/>
        <v>0</v>
      </c>
    </row>
    <row r="895" ht="22.5" customHeight="1">
      <c r="A895" s="12">
        <f t="shared" si="4"/>
        <v>2893</v>
      </c>
      <c r="B895" s="30" t="s">
        <v>9238</v>
      </c>
      <c r="C895" s="7" t="str">
        <f t="shared" si="6"/>
        <v>🔊</v>
      </c>
      <c r="D895" s="8" t="s">
        <v>9239</v>
      </c>
      <c r="E895" s="6" t="s">
        <v>27</v>
      </c>
      <c r="F895" s="12" t="str">
        <f>IFERROR(__xludf.DUMMYFUNCTION("GOOGLETRANSLATE(B895,""zh_cn"",""vi"")"),"xăng")</f>
        <v>xăng</v>
      </c>
      <c r="G895" s="20" t="s">
        <v>9240</v>
      </c>
      <c r="H895" s="6"/>
      <c r="I895" s="11" t="b">
        <f t="shared" si="2"/>
        <v>0</v>
      </c>
      <c r="J895" s="24"/>
      <c r="K895" s="11" t="b">
        <f t="shared" si="3"/>
        <v>0</v>
      </c>
    </row>
    <row r="896" ht="22.5" customHeight="1">
      <c r="A896" s="12">
        <f t="shared" si="4"/>
        <v>2894</v>
      </c>
      <c r="B896" s="30" t="s">
        <v>9241</v>
      </c>
      <c r="C896" s="7" t="str">
        <f t="shared" si="6"/>
        <v>🔊</v>
      </c>
      <c r="D896" s="8" t="s">
        <v>9242</v>
      </c>
      <c r="E896" s="6" t="s">
        <v>106</v>
      </c>
      <c r="F896" s="12" t="str">
        <f>IFERROR(__xludf.DUMMYFUNCTION("GOOGLETRANSLATE(B896,""zh_cn"",""vi"")"),"phần còn lại")</f>
        <v>phần còn lại</v>
      </c>
      <c r="G896" s="20" t="s">
        <v>9243</v>
      </c>
      <c r="H896" s="6"/>
      <c r="I896" s="11" t="b">
        <f t="shared" si="2"/>
        <v>0</v>
      </c>
      <c r="J896" s="24"/>
      <c r="K896" s="11" t="b">
        <f t="shared" si="3"/>
        <v>0</v>
      </c>
    </row>
    <row r="897" ht="22.5" customHeight="1">
      <c r="A897" s="12">
        <f t="shared" si="4"/>
        <v>2895</v>
      </c>
      <c r="B897" s="30" t="s">
        <v>9244</v>
      </c>
      <c r="C897" s="7" t="str">
        <f t="shared" si="6"/>
        <v>🔊</v>
      </c>
      <c r="D897" s="8" t="s">
        <v>5286</v>
      </c>
      <c r="E897" s="6" t="s">
        <v>9245</v>
      </c>
      <c r="F897" s="12" t="str">
        <f>IFERROR(__xludf.DUMMYFUNCTION("GOOGLETRANSLATE(B897,""zh_cn"",""vi"")"),"Phải")</f>
        <v>Phải</v>
      </c>
      <c r="G897" s="20" t="s">
        <v>9246</v>
      </c>
      <c r="H897" s="6"/>
      <c r="I897" s="11" t="b">
        <f t="shared" si="2"/>
        <v>0</v>
      </c>
      <c r="J897" s="24"/>
      <c r="K897" s="11" t="b">
        <f t="shared" si="3"/>
        <v>0</v>
      </c>
    </row>
    <row r="898" ht="22.5" customHeight="1">
      <c r="A898" s="12">
        <f t="shared" si="4"/>
        <v>2896</v>
      </c>
      <c r="B898" s="30" t="s">
        <v>9247</v>
      </c>
      <c r="C898" s="7" t="str">
        <f t="shared" si="6"/>
        <v>🔊</v>
      </c>
      <c r="D898" s="8" t="s">
        <v>9248</v>
      </c>
      <c r="E898" s="6" t="s">
        <v>13</v>
      </c>
      <c r="F898" s="12" t="str">
        <f>IFERROR(__xludf.DUMMYFUNCTION("GOOGLETRANSLATE(B898,""zh_cn"",""vi"")"),"khuyên nhủ")</f>
        <v>khuyên nhủ</v>
      </c>
      <c r="G898" s="20" t="s">
        <v>9249</v>
      </c>
      <c r="H898" s="6"/>
      <c r="I898" s="11" t="b">
        <f t="shared" si="2"/>
        <v>0</v>
      </c>
      <c r="J898" s="24"/>
      <c r="K898" s="11" t="b">
        <f t="shared" si="3"/>
        <v>0</v>
      </c>
    </row>
    <row r="899" ht="22.5" customHeight="1">
      <c r="A899" s="12">
        <f t="shared" si="4"/>
        <v>2897</v>
      </c>
      <c r="B899" s="30" t="s">
        <v>9250</v>
      </c>
      <c r="C899" s="7" t="str">
        <f t="shared" si="6"/>
        <v>🔊</v>
      </c>
      <c r="D899" s="8" t="s">
        <v>9251</v>
      </c>
      <c r="E899" s="6" t="s">
        <v>27</v>
      </c>
      <c r="F899" s="12" t="str">
        <f>IFERROR(__xludf.DUMMYFUNCTION("GOOGLETRANSLATE(B899,""zh_cn"",""vi"")"),"Phải")</f>
        <v>Phải</v>
      </c>
      <c r="G899" s="20" t="s">
        <v>9252</v>
      </c>
      <c r="H899" s="6"/>
      <c r="I899" s="11" t="b">
        <f t="shared" si="2"/>
        <v>0</v>
      </c>
      <c r="J899" s="24"/>
      <c r="K899" s="11" t="b">
        <f t="shared" si="3"/>
        <v>0</v>
      </c>
    </row>
    <row r="900" ht="22.5" customHeight="1">
      <c r="A900" s="12">
        <f t="shared" si="4"/>
        <v>2898</v>
      </c>
      <c r="B900" s="30" t="s">
        <v>9253</v>
      </c>
      <c r="C900" s="7" t="str">
        <f t="shared" si="6"/>
        <v>🔊</v>
      </c>
      <c r="D900" s="8" t="s">
        <v>9251</v>
      </c>
      <c r="E900" s="6" t="s">
        <v>3089</v>
      </c>
      <c r="F900" s="12" t="str">
        <f>IFERROR(__xludf.DUMMYFUNCTION("GOOGLETRANSLATE(B900,""zh_cn"",""vi"")"),"Hết sức")</f>
        <v>Hết sức</v>
      </c>
      <c r="G900" s="20" t="s">
        <v>9254</v>
      </c>
      <c r="H900" s="6"/>
      <c r="I900" s="11" t="b">
        <f t="shared" si="2"/>
        <v>0</v>
      </c>
      <c r="J900" s="24"/>
      <c r="K900" s="11" t="b">
        <f t="shared" si="3"/>
        <v>0</v>
      </c>
    </row>
    <row r="901" ht="22.5" customHeight="1">
      <c r="A901" s="12">
        <f t="shared" si="4"/>
        <v>2899</v>
      </c>
      <c r="B901" s="30" t="s">
        <v>9255</v>
      </c>
      <c r="C901" s="7" t="str">
        <f t="shared" si="6"/>
        <v>🔊</v>
      </c>
      <c r="D901" s="8" t="s">
        <v>9256</v>
      </c>
      <c r="E901" s="6" t="s">
        <v>99</v>
      </c>
      <c r="F901" s="12" t="str">
        <f>IFERROR(__xludf.DUMMYFUNCTION("GOOGLETRANSLATE(B901,""zh_cn"",""vi"")"),"toàn diện")</f>
        <v>toàn diện</v>
      </c>
      <c r="G901" s="20" t="s">
        <v>9257</v>
      </c>
      <c r="H901" s="6"/>
      <c r="I901" s="11" t="b">
        <f t="shared" si="2"/>
        <v>0</v>
      </c>
      <c r="J901" s="24"/>
      <c r="K901" s="11" t="b">
        <f t="shared" si="3"/>
        <v>0</v>
      </c>
    </row>
    <row r="902" ht="22.5" customHeight="1">
      <c r="A902" s="12">
        <f t="shared" si="4"/>
        <v>2900</v>
      </c>
      <c r="B902" s="30" t="s">
        <v>9258</v>
      </c>
      <c r="C902" s="7" t="str">
        <f t="shared" si="6"/>
        <v>🔊</v>
      </c>
      <c r="D902" s="8" t="s">
        <v>9259</v>
      </c>
      <c r="E902" s="6" t="s">
        <v>27</v>
      </c>
      <c r="F902" s="12" t="str">
        <f>IFERROR(__xludf.DUMMYFUNCTION("GOOGLETRANSLATE(B902,""zh_cn"",""vi"")"),"Tất cả")</f>
        <v>Tất cả</v>
      </c>
      <c r="G902" s="20" t="s">
        <v>9260</v>
      </c>
      <c r="H902" s="6"/>
      <c r="I902" s="11" t="b">
        <f t="shared" si="2"/>
        <v>0</v>
      </c>
      <c r="J902" s="24"/>
      <c r="K902" s="11" t="b">
        <f t="shared" si="3"/>
        <v>0</v>
      </c>
    </row>
    <row r="903" ht="22.5" customHeight="1">
      <c r="A903" s="12">
        <f t="shared" si="4"/>
        <v>2901</v>
      </c>
      <c r="B903" s="30" t="s">
        <v>9261</v>
      </c>
      <c r="C903" s="7" t="str">
        <f t="shared" si="6"/>
        <v>🔊</v>
      </c>
      <c r="D903" s="8" t="s">
        <v>9262</v>
      </c>
      <c r="E903" s="6" t="s">
        <v>99</v>
      </c>
      <c r="F903" s="12" t="str">
        <f>IFERROR(__xludf.DUMMYFUNCTION("GOOGLETRANSLATE(B903,""zh_cn"",""vi"")"),"hoàn toàn mới")</f>
        <v>hoàn toàn mới</v>
      </c>
      <c r="G903" s="20" t="s">
        <v>9263</v>
      </c>
      <c r="H903" s="6"/>
      <c r="I903" s="11" t="b">
        <f t="shared" si="2"/>
        <v>0</v>
      </c>
      <c r="J903" s="24"/>
      <c r="K903" s="11" t="b">
        <f t="shared" si="3"/>
        <v>0</v>
      </c>
    </row>
    <row r="904" ht="22.5" customHeight="1">
      <c r="A904" s="12">
        <f t="shared" si="4"/>
        <v>2902</v>
      </c>
      <c r="B904" s="30" t="s">
        <v>9264</v>
      </c>
      <c r="C904" s="7" t="str">
        <f t="shared" si="6"/>
        <v>🔊</v>
      </c>
      <c r="D904" s="8" t="s">
        <v>9265</v>
      </c>
      <c r="E904" s="6" t="s">
        <v>13</v>
      </c>
      <c r="F904" s="12" t="str">
        <f>IFERROR(__xludf.DUMMYFUNCTION("GOOGLETRANSLATE(B904,""zh_cn"",""vi"")"),"đảm bảo")</f>
        <v>đảm bảo</v>
      </c>
      <c r="G904" s="20" t="s">
        <v>9266</v>
      </c>
      <c r="H904" s="6"/>
      <c r="I904" s="11" t="b">
        <f t="shared" si="2"/>
        <v>0</v>
      </c>
      <c r="J904" s="24"/>
      <c r="K904" s="11" t="b">
        <f t="shared" si="3"/>
        <v>0</v>
      </c>
    </row>
    <row r="905" ht="22.5" customHeight="1">
      <c r="A905" s="12">
        <f t="shared" si="4"/>
        <v>2903</v>
      </c>
      <c r="B905" s="30" t="s">
        <v>9267</v>
      </c>
      <c r="C905" s="7" t="str">
        <f t="shared" si="6"/>
        <v>🔊</v>
      </c>
      <c r="D905" s="8" t="s">
        <v>9268</v>
      </c>
      <c r="E905" s="6" t="s">
        <v>416</v>
      </c>
      <c r="F905" s="12" t="str">
        <f>IFERROR(__xludf.DUMMYFUNCTION("GOOGLETRANSLATE(B905,""zh_cn"",""vi"")"),"Chắc chắn")</f>
        <v>Chắc chắn</v>
      </c>
      <c r="G905" s="20" t="s">
        <v>9269</v>
      </c>
      <c r="H905" s="6"/>
      <c r="I905" s="11" t="b">
        <f t="shared" si="2"/>
        <v>0</v>
      </c>
      <c r="J905" s="24"/>
      <c r="K905" s="11" t="b">
        <f t="shared" si="3"/>
        <v>0</v>
      </c>
    </row>
    <row r="906" ht="22.5" customHeight="1">
      <c r="A906" s="12">
        <f t="shared" si="4"/>
        <v>2904</v>
      </c>
      <c r="B906" s="30" t="s">
        <v>9270</v>
      </c>
      <c r="C906" s="7" t="str">
        <f t="shared" si="6"/>
        <v>🔊</v>
      </c>
      <c r="D906" s="8" t="s">
        <v>9271</v>
      </c>
      <c r="E906" s="6" t="s">
        <v>13</v>
      </c>
      <c r="F906" s="12" t="str">
        <f>IFERROR(__xludf.DUMMYFUNCTION("GOOGLETRANSLATE(B906,""zh_cn"",""vi"")"),"thiếu")</f>
        <v>thiếu</v>
      </c>
      <c r="G906" s="20" t="s">
        <v>9272</v>
      </c>
      <c r="H906" s="6"/>
      <c r="I906" s="11" t="b">
        <f t="shared" si="2"/>
        <v>0</v>
      </c>
      <c r="J906" s="24"/>
      <c r="K906" s="11" t="b">
        <f t="shared" si="3"/>
        <v>0</v>
      </c>
    </row>
    <row r="907" ht="22.5" customHeight="1">
      <c r="A907" s="12">
        <f t="shared" si="4"/>
        <v>2905</v>
      </c>
      <c r="B907" s="30" t="s">
        <v>9273</v>
      </c>
      <c r="C907" s="7" t="str">
        <f t="shared" si="6"/>
        <v>🔊</v>
      </c>
      <c r="D907" s="8" t="s">
        <v>9274</v>
      </c>
      <c r="E907" s="6" t="s">
        <v>13</v>
      </c>
      <c r="F907" s="12" t="str">
        <f>IFERROR(__xludf.DUMMYFUNCTION("GOOGLETRANSLATE(B907,""zh_cn"",""vi"")"),"xác nhận")</f>
        <v>xác nhận</v>
      </c>
      <c r="G907" s="20" t="s">
        <v>9275</v>
      </c>
      <c r="H907" s="6"/>
      <c r="I907" s="11" t="b">
        <f t="shared" si="2"/>
        <v>0</v>
      </c>
      <c r="J907" s="24"/>
      <c r="K907" s="11" t="b">
        <f t="shared" si="3"/>
        <v>0</v>
      </c>
    </row>
    <row r="908" ht="22.5" customHeight="1">
      <c r="A908" s="12">
        <f t="shared" si="4"/>
        <v>2906</v>
      </c>
      <c r="B908" s="30" t="s">
        <v>9276</v>
      </c>
      <c r="C908" s="7" t="str">
        <f t="shared" si="6"/>
        <v>🔊</v>
      </c>
      <c r="D908" s="8" t="s">
        <v>9277</v>
      </c>
      <c r="E908" s="6" t="s">
        <v>9278</v>
      </c>
      <c r="F908" s="12" t="str">
        <f>IFERROR(__xludf.DUMMYFUNCTION("GOOGLETRANSLATE(B908,""zh_cn"",""vi"")"),"nhóm")</f>
        <v>nhóm</v>
      </c>
      <c r="G908" s="20" t="s">
        <v>9279</v>
      </c>
      <c r="H908" s="6"/>
      <c r="I908" s="11" t="b">
        <f t="shared" si="2"/>
        <v>0</v>
      </c>
      <c r="J908" s="24"/>
      <c r="K908" s="11" t="b">
        <f t="shared" si="3"/>
        <v>0</v>
      </c>
    </row>
    <row r="909" ht="22.5" customHeight="1">
      <c r="A909" s="12">
        <f t="shared" si="4"/>
        <v>2907</v>
      </c>
      <c r="B909" s="30" t="s">
        <v>9280</v>
      </c>
      <c r="C909" s="7" t="str">
        <f t="shared" si="6"/>
        <v>🔊</v>
      </c>
      <c r="D909" s="8" t="s">
        <v>9281</v>
      </c>
      <c r="E909" s="6" t="s">
        <v>27</v>
      </c>
      <c r="F909" s="12" t="str">
        <f>IFERROR(__xludf.DUMMYFUNCTION("GOOGLETRANSLATE(B909,""zh_cn"",""vi"")"),"nhóm")</f>
        <v>nhóm</v>
      </c>
      <c r="G909" s="20" t="s">
        <v>9282</v>
      </c>
      <c r="H909" s="6"/>
      <c r="I909" s="11" t="b">
        <f t="shared" si="2"/>
        <v>0</v>
      </c>
      <c r="J909" s="24"/>
      <c r="K909" s="11" t="b">
        <f t="shared" si="3"/>
        <v>0</v>
      </c>
    </row>
    <row r="910" ht="22.5" customHeight="1">
      <c r="A910" s="12">
        <f t="shared" si="4"/>
        <v>2908</v>
      </c>
      <c r="B910" s="30" t="s">
        <v>9283</v>
      </c>
      <c r="C910" s="7" t="str">
        <f t="shared" si="6"/>
        <v>🔊</v>
      </c>
      <c r="D910" s="8" t="s">
        <v>9284</v>
      </c>
      <c r="E910" s="6" t="s">
        <v>13</v>
      </c>
      <c r="F910" s="12" t="str">
        <f>IFERROR(__xludf.DUMMYFUNCTION("GOOGLETRANSLATE(B910,""zh_cn"",""vi"")"),"Đã qua đời")</f>
        <v>Đã qua đời</v>
      </c>
      <c r="G910" s="20" t="s">
        <v>9285</v>
      </c>
      <c r="H910" s="6"/>
      <c r="I910" s="11" t="b">
        <f t="shared" si="2"/>
        <v>0</v>
      </c>
      <c r="J910" s="24"/>
      <c r="K910" s="11" t="b">
        <f t="shared" si="3"/>
        <v>0</v>
      </c>
    </row>
    <row r="911" ht="22.5" customHeight="1">
      <c r="A911" s="12">
        <f t="shared" si="4"/>
        <v>2909</v>
      </c>
      <c r="B911" s="30" t="s">
        <v>9286</v>
      </c>
      <c r="C911" s="7" t="str">
        <f t="shared" si="6"/>
        <v>🔊</v>
      </c>
      <c r="D911" s="8" t="s">
        <v>9287</v>
      </c>
      <c r="E911" s="6" t="s">
        <v>27</v>
      </c>
      <c r="F911" s="12" t="str">
        <f>IFERROR(__xludf.DUMMYFUNCTION("GOOGLETRANSLATE(B911,""zh_cn"",""vi"")"),"xu hướng")</f>
        <v>xu hướng</v>
      </c>
      <c r="G911" s="20" t="s">
        <v>9288</v>
      </c>
      <c r="H911" s="6"/>
      <c r="I911" s="11" t="b">
        <f t="shared" si="2"/>
        <v>0</v>
      </c>
      <c r="J911" s="24"/>
      <c r="K911" s="11" t="b">
        <f t="shared" si="3"/>
        <v>0</v>
      </c>
    </row>
    <row r="912" ht="22.5" customHeight="1">
      <c r="A912" s="12">
        <f t="shared" si="4"/>
        <v>2910</v>
      </c>
      <c r="B912" s="30" t="s">
        <v>9289</v>
      </c>
      <c r="C912" s="7" t="str">
        <f t="shared" si="6"/>
        <v>🔊</v>
      </c>
      <c r="D912" s="8" t="s">
        <v>9290</v>
      </c>
      <c r="E912" s="6" t="s">
        <v>27</v>
      </c>
      <c r="F912" s="12" t="str">
        <f>IFERROR(__xludf.DUMMYFUNCTION("GOOGLETRANSLATE(B912,""zh_cn"",""vi"")"),"khu vực")</f>
        <v>khu vực</v>
      </c>
      <c r="G912" s="20" t="s">
        <v>9291</v>
      </c>
      <c r="H912" s="6"/>
      <c r="I912" s="11" t="b">
        <f t="shared" si="2"/>
        <v>0</v>
      </c>
      <c r="J912" s="24"/>
      <c r="K912" s="11" t="b">
        <f t="shared" si="3"/>
        <v>0</v>
      </c>
    </row>
    <row r="913" ht="22.5" customHeight="1">
      <c r="A913" s="12">
        <f t="shared" si="4"/>
        <v>2911</v>
      </c>
      <c r="B913" s="30" t="s">
        <v>9292</v>
      </c>
      <c r="C913" s="7" t="str">
        <f t="shared" si="6"/>
        <v>🔊</v>
      </c>
      <c r="D913" s="8" t="s">
        <v>9293</v>
      </c>
      <c r="E913" s="6" t="s">
        <v>13</v>
      </c>
      <c r="F913" s="12" t="str">
        <f>IFERROR(__xludf.DUMMYFUNCTION("GOOGLETRANSLATE(B913,""zh_cn"",""vi"")"),"sự cháy")</f>
        <v>sự cháy</v>
      </c>
      <c r="G913" s="20" t="s">
        <v>9294</v>
      </c>
      <c r="H913" s="6"/>
      <c r="I913" s="11" t="b">
        <f t="shared" si="2"/>
        <v>0</v>
      </c>
      <c r="J913" s="24"/>
      <c r="K913" s="11" t="b">
        <f t="shared" si="3"/>
        <v>0</v>
      </c>
    </row>
    <row r="914" ht="22.5" customHeight="1">
      <c r="A914" s="12">
        <f t="shared" si="4"/>
        <v>2912</v>
      </c>
      <c r="B914" s="30" t="s">
        <v>9295</v>
      </c>
      <c r="C914" s="7" t="str">
        <f t="shared" si="6"/>
        <v>🔊</v>
      </c>
      <c r="D914" s="8" t="s">
        <v>9296</v>
      </c>
      <c r="E914" s="6" t="s">
        <v>13</v>
      </c>
      <c r="F914" s="12" t="str">
        <f>IFERROR(__xludf.DUMMYFUNCTION("GOOGLETRANSLATE(B914,""zh_cn"",""vi"")"),"Xung quanh")</f>
        <v>Xung quanh</v>
      </c>
      <c r="G914" s="20" t="s">
        <v>9297</v>
      </c>
      <c r="H914" s="6"/>
      <c r="I914" s="11" t="b">
        <f t="shared" si="2"/>
        <v>0</v>
      </c>
      <c r="J914" s="24"/>
      <c r="K914" s="11" t="b">
        <f t="shared" si="3"/>
        <v>0</v>
      </c>
    </row>
    <row r="915" ht="22.5" customHeight="1">
      <c r="A915" s="12">
        <f t="shared" si="4"/>
        <v>2913</v>
      </c>
      <c r="B915" s="30" t="s">
        <v>9298</v>
      </c>
      <c r="C915" s="7" t="str">
        <f t="shared" si="6"/>
        <v>🔊</v>
      </c>
      <c r="D915" s="8" t="s">
        <v>9299</v>
      </c>
      <c r="E915" s="6" t="s">
        <v>13</v>
      </c>
      <c r="F915" s="12" t="str">
        <f>IFERROR(__xludf.DUMMYFUNCTION("GOOGLETRANSLATE(B915,""zh_cn"",""vi"")"),"Niềm đam mê")</f>
        <v>Niềm đam mê</v>
      </c>
      <c r="G915" s="20" t="s">
        <v>9300</v>
      </c>
      <c r="H915" s="6"/>
      <c r="I915" s="11" t="b">
        <f t="shared" si="2"/>
        <v>0</v>
      </c>
      <c r="J915" s="24"/>
      <c r="K915" s="11" t="b">
        <f t="shared" si="3"/>
        <v>0</v>
      </c>
    </row>
    <row r="916" ht="22.5" customHeight="1">
      <c r="A916" s="12">
        <f t="shared" si="4"/>
        <v>2914</v>
      </c>
      <c r="B916" s="30" t="s">
        <v>9301</v>
      </c>
      <c r="C916" s="7" t="str">
        <f t="shared" si="6"/>
        <v>🔊</v>
      </c>
      <c r="D916" s="8" t="s">
        <v>9302</v>
      </c>
      <c r="E916" s="6" t="s">
        <v>27</v>
      </c>
      <c r="F916" s="12" t="str">
        <f>IFERROR(__xludf.DUMMYFUNCTION("GOOGLETRANSLATE(B916,""zh_cn"",""vi"")"),"Lượng calo")</f>
        <v>Lượng calo</v>
      </c>
      <c r="G916" s="20" t="s">
        <v>9303</v>
      </c>
      <c r="H916" s="6"/>
      <c r="I916" s="11" t="b">
        <f t="shared" si="2"/>
        <v>0</v>
      </c>
      <c r="J916" s="24"/>
      <c r="K916" s="11" t="b">
        <f t="shared" si="3"/>
        <v>0</v>
      </c>
    </row>
    <row r="917" ht="22.5" customHeight="1">
      <c r="A917" s="12">
        <f t="shared" si="4"/>
        <v>2915</v>
      </c>
      <c r="B917" s="30" t="s">
        <v>9304</v>
      </c>
      <c r="C917" s="7" t="str">
        <f t="shared" si="6"/>
        <v>🔊</v>
      </c>
      <c r="D917" s="8" t="s">
        <v>9305</v>
      </c>
      <c r="E917" s="6" t="s">
        <v>99</v>
      </c>
      <c r="F917" s="12" t="str">
        <f>IFERROR(__xludf.DUMMYFUNCTION("GOOGLETRANSLATE(B917,""zh_cn"",""vi"")"),"ấm")</f>
        <v>ấm</v>
      </c>
      <c r="G917" s="20" t="s">
        <v>9306</v>
      </c>
      <c r="H917" s="6"/>
      <c r="I917" s="11" t="b">
        <f t="shared" si="2"/>
        <v>0</v>
      </c>
      <c r="J917" s="24"/>
      <c r="K917" s="11" t="b">
        <f t="shared" si="3"/>
        <v>0</v>
      </c>
    </row>
    <row r="918" ht="22.5" customHeight="1">
      <c r="A918" s="12">
        <f t="shared" si="4"/>
        <v>2916</v>
      </c>
      <c r="B918" s="30" t="s">
        <v>9307</v>
      </c>
      <c r="C918" s="7" t="str">
        <f t="shared" si="6"/>
        <v>🔊</v>
      </c>
      <c r="D918" s="8" t="s">
        <v>9308</v>
      </c>
      <c r="E918" s="6" t="s">
        <v>13</v>
      </c>
      <c r="F918" s="12" t="str">
        <f>IFERROR(__xludf.DUMMYFUNCTION("GOOGLETRANSLATE(B918,""zh_cn"",""vi"")"),"nhận ra")</f>
        <v>nhận ra</v>
      </c>
      <c r="G918" s="20" t="s">
        <v>9309</v>
      </c>
      <c r="H918" s="6"/>
      <c r="I918" s="11" t="b">
        <f t="shared" si="2"/>
        <v>0</v>
      </c>
      <c r="J918" s="24"/>
      <c r="K918" s="11" t="b">
        <f t="shared" si="3"/>
        <v>0</v>
      </c>
    </row>
    <row r="919" ht="22.5" customHeight="1">
      <c r="A919" s="12">
        <f t="shared" si="4"/>
        <v>2917</v>
      </c>
      <c r="B919" s="30" t="s">
        <v>9310</v>
      </c>
      <c r="C919" s="7" t="str">
        <f t="shared" si="6"/>
        <v>🔊</v>
      </c>
      <c r="D919" s="8" t="s">
        <v>9311</v>
      </c>
      <c r="E919" s="6" t="s">
        <v>13</v>
      </c>
      <c r="F919" s="12" t="str">
        <f>IFERROR(__xludf.DUMMYFUNCTION("GOOGLETRANSLATE(B919,""zh_cn"",""vi"")"),"Tha thứ")</f>
        <v>Tha thứ</v>
      </c>
      <c r="G919" s="20" t="s">
        <v>9312</v>
      </c>
      <c r="H919" s="6"/>
      <c r="I919" s="11" t="b">
        <f t="shared" si="2"/>
        <v>0</v>
      </c>
      <c r="J919" s="24"/>
      <c r="K919" s="11" t="b">
        <f t="shared" si="3"/>
        <v>0</v>
      </c>
    </row>
    <row r="920" ht="22.5" customHeight="1">
      <c r="A920" s="12">
        <f t="shared" si="4"/>
        <v>2918</v>
      </c>
      <c r="B920" s="30" t="s">
        <v>9313</v>
      </c>
      <c r="C920" s="7" t="str">
        <f t="shared" si="6"/>
        <v>🔊</v>
      </c>
      <c r="D920" s="8" t="s">
        <v>9314</v>
      </c>
      <c r="E920" s="6" t="s">
        <v>27</v>
      </c>
      <c r="F920" s="12" t="str">
        <f>IFERROR(__xludf.DUMMYFUNCTION("GOOGLETRANSLATE(B920,""zh_cn"",""vi"")"),"Tài năng")</f>
        <v>Tài năng</v>
      </c>
      <c r="G920" s="20" t="s">
        <v>9315</v>
      </c>
      <c r="H920" s="6"/>
      <c r="I920" s="11" t="b">
        <f t="shared" si="2"/>
        <v>0</v>
      </c>
      <c r="J920" s="24"/>
      <c r="K920" s="11" t="b">
        <f t="shared" si="3"/>
        <v>0</v>
      </c>
    </row>
    <row r="921" ht="22.5" customHeight="1">
      <c r="A921" s="12">
        <f t="shared" si="4"/>
        <v>2919</v>
      </c>
      <c r="B921" s="30" t="s">
        <v>9316</v>
      </c>
      <c r="C921" s="7" t="str">
        <f t="shared" si="6"/>
        <v>🔊</v>
      </c>
      <c r="D921" s="8" t="s">
        <v>9317</v>
      </c>
      <c r="E921" s="6" t="s">
        <v>1164</v>
      </c>
      <c r="F921" s="12" t="str">
        <f>IFERROR(__xludf.DUMMYFUNCTION("GOOGLETRANSLATE(B921,""zh_cn"",""vi"")"),"nhân tạo")</f>
        <v>nhân tạo</v>
      </c>
      <c r="G921" s="20" t="s">
        <v>9318</v>
      </c>
      <c r="H921" s="6"/>
      <c r="I921" s="11" t="b">
        <f t="shared" si="2"/>
        <v>0</v>
      </c>
      <c r="J921" s="24"/>
      <c r="K921" s="11" t="b">
        <f t="shared" si="3"/>
        <v>0</v>
      </c>
    </row>
    <row r="922" ht="22.5" customHeight="1">
      <c r="A922" s="12">
        <f t="shared" si="4"/>
        <v>2920</v>
      </c>
      <c r="B922" s="30" t="s">
        <v>9319</v>
      </c>
      <c r="C922" s="7" t="str">
        <f t="shared" si="6"/>
        <v>🔊</v>
      </c>
      <c r="D922" s="8" t="s">
        <v>9320</v>
      </c>
      <c r="E922" s="6" t="s">
        <v>99</v>
      </c>
      <c r="F922" s="12" t="str">
        <f>IFERROR(__xludf.DUMMYFUNCTION("GOOGLETRANSLATE(B922,""zh_cn"",""vi"")"),"mối quan hệ giữa các cá nhân")</f>
        <v>mối quan hệ giữa các cá nhân</v>
      </c>
      <c r="G922" s="20" t="s">
        <v>9321</v>
      </c>
      <c r="H922" s="6"/>
      <c r="I922" s="11" t="b">
        <f t="shared" si="2"/>
        <v>0</v>
      </c>
      <c r="J922" s="24"/>
      <c r="K922" s="11" t="b">
        <f t="shared" si="3"/>
        <v>0</v>
      </c>
    </row>
    <row r="923" ht="22.5" customHeight="1">
      <c r="A923" s="12">
        <f t="shared" si="4"/>
        <v>2921</v>
      </c>
      <c r="B923" s="30" t="s">
        <v>9322</v>
      </c>
      <c r="C923" s="7" t="str">
        <f t="shared" si="6"/>
        <v>🔊</v>
      </c>
      <c r="D923" s="8" t="s">
        <v>9323</v>
      </c>
      <c r="E923" s="6" t="s">
        <v>27</v>
      </c>
      <c r="F923" s="12" t="str">
        <f>IFERROR(__xludf.DUMMYFUNCTION("GOOGLETRANSLATE(B923,""zh_cn"",""vi"")"),"dân số")</f>
        <v>dân số</v>
      </c>
      <c r="G923" s="20" t="s">
        <v>9324</v>
      </c>
      <c r="H923" s="6"/>
      <c r="I923" s="11" t="b">
        <f t="shared" si="2"/>
        <v>0</v>
      </c>
      <c r="J923" s="24"/>
      <c r="K923" s="11" t="b">
        <f t="shared" si="3"/>
        <v>0</v>
      </c>
    </row>
    <row r="924" ht="22.5" customHeight="1">
      <c r="A924" s="12">
        <f t="shared" si="4"/>
        <v>2922</v>
      </c>
      <c r="B924" s="30" t="s">
        <v>9325</v>
      </c>
      <c r="C924" s="7" t="str">
        <f t="shared" si="6"/>
        <v>🔊</v>
      </c>
      <c r="D924" s="8" t="s">
        <v>9326</v>
      </c>
      <c r="E924" s="6" t="s">
        <v>27</v>
      </c>
      <c r="F924" s="12" t="str">
        <f>IFERROR(__xludf.DUMMYFUNCTION("GOOGLETRANSLATE(B924,""zh_cn"",""vi"")"),"Con người")</f>
        <v>Con người</v>
      </c>
      <c r="G924" s="20" t="s">
        <v>9327</v>
      </c>
      <c r="H924" s="6"/>
      <c r="I924" s="11" t="b">
        <f t="shared" si="2"/>
        <v>0</v>
      </c>
      <c r="J924" s="24"/>
      <c r="K924" s="11" t="b">
        <f t="shared" si="3"/>
        <v>0</v>
      </c>
    </row>
    <row r="925" ht="22.5" customHeight="1">
      <c r="A925" s="12">
        <f t="shared" si="4"/>
        <v>2923</v>
      </c>
      <c r="B925" s="30" t="s">
        <v>9328</v>
      </c>
      <c r="C925" s="7" t="str">
        <f t="shared" si="6"/>
        <v>🔊</v>
      </c>
      <c r="D925" s="8" t="s">
        <v>9329</v>
      </c>
      <c r="E925" s="6" t="s">
        <v>27</v>
      </c>
      <c r="F925" s="12" t="str">
        <f>IFERROR(__xludf.DUMMYFUNCTION("GOOGLETRANSLATE(B925,""zh_cn"",""vi"")"),"Nhân sự")</f>
        <v>Nhân sự</v>
      </c>
      <c r="G925" s="20" t="s">
        <v>9330</v>
      </c>
      <c r="H925" s="6"/>
      <c r="I925" s="11" t="b">
        <f t="shared" si="2"/>
        <v>0</v>
      </c>
      <c r="J925" s="24"/>
      <c r="K925" s="11" t="b">
        <f t="shared" si="3"/>
        <v>0</v>
      </c>
    </row>
    <row r="926" ht="22.5" customHeight="1">
      <c r="A926" s="12">
        <f t="shared" si="4"/>
        <v>2924</v>
      </c>
      <c r="B926" s="30" t="s">
        <v>9331</v>
      </c>
      <c r="C926" s="7" t="str">
        <f t="shared" si="6"/>
        <v>🔊</v>
      </c>
      <c r="D926" s="8" t="s">
        <v>9332</v>
      </c>
      <c r="E926" s="6" t="s">
        <v>27</v>
      </c>
      <c r="F926" s="12" t="str">
        <f>IFERROR(__xludf.DUMMYFUNCTION("GOOGLETRANSLATE(B926,""zh_cn"",""vi"")"),"mọi người")</f>
        <v>mọi người</v>
      </c>
      <c r="G926" s="20" t="s">
        <v>9333</v>
      </c>
      <c r="H926" s="6"/>
      <c r="I926" s="11" t="b">
        <f t="shared" si="2"/>
        <v>0</v>
      </c>
      <c r="J926" s="24"/>
      <c r="K926" s="11" t="b">
        <f t="shared" si="3"/>
        <v>0</v>
      </c>
    </row>
    <row r="927" ht="22.5" customHeight="1">
      <c r="A927" s="12">
        <f t="shared" si="4"/>
        <v>2925</v>
      </c>
      <c r="B927" s="30" t="s">
        <v>9334</v>
      </c>
      <c r="C927" s="7" t="str">
        <f t="shared" si="6"/>
        <v>🔊</v>
      </c>
      <c r="D927" s="8" t="s">
        <v>9335</v>
      </c>
      <c r="E927" s="6" t="s">
        <v>27</v>
      </c>
      <c r="F927" s="12" t="str">
        <f>IFERROR(__xludf.DUMMYFUNCTION("GOOGLETRANSLATE(B927,""zh_cn"",""vi"")"),"Nhân dân tệ")</f>
        <v>Nhân dân tệ</v>
      </c>
      <c r="G927" s="20" t="s">
        <v>9336</v>
      </c>
      <c r="H927" s="6"/>
      <c r="I927" s="11" t="b">
        <f t="shared" si="2"/>
        <v>0</v>
      </c>
      <c r="J927" s="24"/>
      <c r="K927" s="11" t="b">
        <f t="shared" si="3"/>
        <v>0</v>
      </c>
    </row>
    <row r="928" ht="22.5" customHeight="1">
      <c r="A928" s="12">
        <f t="shared" si="4"/>
        <v>2926</v>
      </c>
      <c r="B928" s="30" t="s">
        <v>9337</v>
      </c>
      <c r="C928" s="7" t="str">
        <f t="shared" si="6"/>
        <v>🔊</v>
      </c>
      <c r="D928" s="8" t="s">
        <v>9338</v>
      </c>
      <c r="E928" s="6" t="s">
        <v>27</v>
      </c>
      <c r="F928" s="12" t="str">
        <f>IFERROR(__xludf.DUMMYFUNCTION("GOOGLETRANSLATE(B928,""zh_cn"",""vi"")"),"đám đông")</f>
        <v>đám đông</v>
      </c>
      <c r="G928" s="20" t="s">
        <v>9339</v>
      </c>
      <c r="H928" s="6"/>
      <c r="I928" s="11" t="b">
        <f t="shared" si="2"/>
        <v>0</v>
      </c>
      <c r="J928" s="24"/>
      <c r="K928" s="11" t="b">
        <f t="shared" si="3"/>
        <v>0</v>
      </c>
    </row>
    <row r="929" ht="22.5" customHeight="1">
      <c r="A929" s="12">
        <f t="shared" si="4"/>
        <v>2927</v>
      </c>
      <c r="B929" s="30" t="s">
        <v>9340</v>
      </c>
      <c r="C929" s="7" t="str">
        <f t="shared" si="6"/>
        <v>🔊</v>
      </c>
      <c r="D929" s="8" t="s">
        <v>9341</v>
      </c>
      <c r="E929" s="6" t="s">
        <v>27</v>
      </c>
      <c r="F929" s="12" t="str">
        <f>IFERROR(__xludf.DUMMYFUNCTION("GOOGLETRANSLATE(B929,""zh_cn"",""vi"")"),"cơ thể con người")</f>
        <v>cơ thể con người</v>
      </c>
      <c r="G929" s="20" t="s">
        <v>9342</v>
      </c>
      <c r="H929" s="6"/>
      <c r="I929" s="11" t="b">
        <f t="shared" si="2"/>
        <v>0</v>
      </c>
      <c r="J929" s="24"/>
      <c r="K929" s="11" t="b">
        <f t="shared" si="3"/>
        <v>0</v>
      </c>
    </row>
    <row r="930" ht="22.5" customHeight="1">
      <c r="A930" s="12">
        <f t="shared" si="4"/>
        <v>2928</v>
      </c>
      <c r="B930" s="30" t="s">
        <v>9343</v>
      </c>
      <c r="C930" s="7" t="str">
        <f t="shared" si="6"/>
        <v>🔊</v>
      </c>
      <c r="D930" s="8" t="s">
        <v>9344</v>
      </c>
      <c r="E930" s="6" t="s">
        <v>27</v>
      </c>
      <c r="F930" s="12" t="str">
        <f>IFERROR(__xludf.DUMMYFUNCTION("GOOGLETRANSLATE(B930,""zh_cn"",""vi"")"),"nhân vật")</f>
        <v>nhân vật</v>
      </c>
      <c r="G930" s="20" t="s">
        <v>9345</v>
      </c>
      <c r="H930" s="6"/>
      <c r="I930" s="11" t="b">
        <f t="shared" si="2"/>
        <v>0</v>
      </c>
      <c r="J930" s="24"/>
      <c r="K930" s="11" t="b">
        <f t="shared" si="3"/>
        <v>0</v>
      </c>
    </row>
    <row r="931" ht="22.5" customHeight="1">
      <c r="A931" s="12">
        <f t="shared" si="4"/>
        <v>2929</v>
      </c>
      <c r="B931" s="30" t="s">
        <v>9346</v>
      </c>
      <c r="C931" s="7" t="str">
        <f t="shared" si="6"/>
        <v>🔊</v>
      </c>
      <c r="D931" s="8" t="s">
        <v>9347</v>
      </c>
      <c r="E931" s="6" t="s">
        <v>99</v>
      </c>
      <c r="F931" s="12" t="str">
        <f>IFERROR(__xludf.DUMMYFUNCTION("GOOGLETRANSLATE(B931,""zh_cn"",""vi"")"),"nhiệt tình")</f>
        <v>nhiệt tình</v>
      </c>
      <c r="G931" s="20" t="s">
        <v>9348</v>
      </c>
      <c r="H931" s="6"/>
      <c r="I931" s="11" t="b">
        <f t="shared" si="2"/>
        <v>0</v>
      </c>
      <c r="J931" s="24"/>
      <c r="K931" s="11" t="b">
        <f t="shared" si="3"/>
        <v>0</v>
      </c>
    </row>
    <row r="932" ht="22.5" customHeight="1">
      <c r="A932" s="12">
        <f t="shared" si="4"/>
        <v>2930</v>
      </c>
      <c r="B932" s="30" t="s">
        <v>9349</v>
      </c>
      <c r="C932" s="7" t="str">
        <f t="shared" si="6"/>
        <v>🔊</v>
      </c>
      <c r="D932" s="8" t="s">
        <v>9350</v>
      </c>
      <c r="E932" s="6" t="s">
        <v>27</v>
      </c>
      <c r="F932" s="12" t="str">
        <f>IFERROR(__xludf.DUMMYFUNCTION("GOOGLETRANSLATE(B932,""zh_cn"",""vi"")"),"lịch")</f>
        <v>lịch</v>
      </c>
      <c r="G932" s="20" t="s">
        <v>9351</v>
      </c>
      <c r="H932" s="6"/>
      <c r="I932" s="11" t="b">
        <f t="shared" si="2"/>
        <v>0</v>
      </c>
      <c r="J932" s="24"/>
      <c r="K932" s="11" t="b">
        <f t="shared" si="3"/>
        <v>0</v>
      </c>
    </row>
    <row r="933" ht="22.5" customHeight="1">
      <c r="A933" s="12">
        <f t="shared" si="4"/>
        <v>2931</v>
      </c>
      <c r="B933" s="30" t="s">
        <v>9352</v>
      </c>
      <c r="C933" s="7" t="str">
        <f t="shared" si="6"/>
        <v>🔊</v>
      </c>
      <c r="D933" s="8" t="s">
        <v>9353</v>
      </c>
      <c r="E933" s="6" t="s">
        <v>27</v>
      </c>
      <c r="F933" s="12" t="str">
        <f>IFERROR(__xludf.DUMMYFUNCTION("GOOGLETRANSLATE(B933,""zh_cn"",""vi"")"),"Nhu yếu phẩm hàng ngày")</f>
        <v>Nhu yếu phẩm hàng ngày</v>
      </c>
      <c r="G933" s="20" t="s">
        <v>9354</v>
      </c>
      <c r="H933" s="6"/>
      <c r="I933" s="11" t="b">
        <f t="shared" si="2"/>
        <v>0</v>
      </c>
      <c r="J933" s="24"/>
      <c r="K933" s="11" t="b">
        <f t="shared" si="3"/>
        <v>0</v>
      </c>
    </row>
    <row r="934" ht="22.5" customHeight="1">
      <c r="A934" s="12">
        <f t="shared" si="4"/>
        <v>2932</v>
      </c>
      <c r="B934" s="30" t="s">
        <v>9355</v>
      </c>
      <c r="C934" s="7" t="str">
        <f t="shared" si="6"/>
        <v>🔊</v>
      </c>
      <c r="D934" s="8" t="s">
        <v>9356</v>
      </c>
      <c r="E934" s="6" t="s">
        <v>6324</v>
      </c>
      <c r="F934" s="12" t="str">
        <f>IFERROR(__xludf.DUMMYFUNCTION("GOOGLETRANSLATE(B934,""zh_cn"",""vi"")"),"giống")</f>
        <v>giống</v>
      </c>
      <c r="G934" s="20" t="s">
        <v>9357</v>
      </c>
      <c r="H934" s="6"/>
      <c r="I934" s="11" t="b">
        <f t="shared" si="2"/>
        <v>0</v>
      </c>
      <c r="J934" s="24"/>
      <c r="K934" s="11" t="b">
        <f t="shared" si="3"/>
        <v>0</v>
      </c>
    </row>
    <row r="935" ht="22.5" customHeight="1">
      <c r="A935" s="12">
        <f t="shared" si="4"/>
        <v>2933</v>
      </c>
      <c r="B935" s="30" t="s">
        <v>9358</v>
      </c>
      <c r="C935" s="7" t="str">
        <f t="shared" si="6"/>
        <v>🔊</v>
      </c>
      <c r="D935" s="8" t="s">
        <v>9359</v>
      </c>
      <c r="E935" s="6" t="s">
        <v>99</v>
      </c>
      <c r="F935" s="12" t="str">
        <f>IFERROR(__xludf.DUMMYFUNCTION("GOOGLETRANSLATE(B935,""zh_cn"",""vi"")"),"mềm mại")</f>
        <v>mềm mại</v>
      </c>
      <c r="G935" s="20" t="s">
        <v>9360</v>
      </c>
      <c r="H935" s="6"/>
      <c r="I935" s="11" t="b">
        <f t="shared" si="2"/>
        <v>0</v>
      </c>
      <c r="J935" s="24"/>
      <c r="K935" s="11" t="b">
        <f t="shared" si="3"/>
        <v>0</v>
      </c>
    </row>
    <row r="936" ht="22.5" customHeight="1">
      <c r="A936" s="12">
        <f t="shared" si="4"/>
        <v>2934</v>
      </c>
      <c r="B936" s="30" t="s">
        <v>9361</v>
      </c>
      <c r="C936" s="7" t="str">
        <f t="shared" si="6"/>
        <v>🔊</v>
      </c>
      <c r="D936" s="8" t="s">
        <v>9362</v>
      </c>
      <c r="E936" s="6" t="s">
        <v>27</v>
      </c>
      <c r="F936" s="12" t="str">
        <f>IFERROR(__xludf.DUMMYFUNCTION("GOOGLETRANSLATE(B936,""zh_cn"",""vi"")"),"phần mềm")</f>
        <v>phần mềm</v>
      </c>
      <c r="G936" s="20" t="s">
        <v>9363</v>
      </c>
      <c r="H936" s="6"/>
      <c r="I936" s="11" t="b">
        <f t="shared" si="2"/>
        <v>0</v>
      </c>
      <c r="J936" s="24"/>
      <c r="K936" s="11" t="b">
        <f t="shared" si="3"/>
        <v>0</v>
      </c>
    </row>
    <row r="937" ht="22.5" customHeight="1">
      <c r="A937" s="12">
        <f t="shared" si="4"/>
        <v>2935</v>
      </c>
      <c r="B937" s="30" t="s">
        <v>9364</v>
      </c>
      <c r="C937" s="7" t="str">
        <f t="shared" si="6"/>
        <v>🔊</v>
      </c>
      <c r="D937" s="8" t="s">
        <v>9365</v>
      </c>
      <c r="E937" s="6" t="s">
        <v>106</v>
      </c>
      <c r="F937" s="12" t="str">
        <f>IFERROR(__xludf.DUMMYFUNCTION("GOOGLETRANSLATE(B937,""zh_cn"",""vi"")"),"theo cách này")</f>
        <v>theo cách này</v>
      </c>
      <c r="G937" s="20" t="s">
        <v>9366</v>
      </c>
      <c r="H937" s="6"/>
      <c r="I937" s="11" t="b">
        <f t="shared" si="2"/>
        <v>0</v>
      </c>
      <c r="J937" s="24"/>
      <c r="K937" s="11" t="b">
        <f t="shared" si="3"/>
        <v>0</v>
      </c>
    </row>
    <row r="938" ht="22.5" customHeight="1">
      <c r="A938" s="12">
        <f t="shared" si="4"/>
        <v>2936</v>
      </c>
      <c r="B938" s="30" t="s">
        <v>9367</v>
      </c>
      <c r="C938" s="7" t="str">
        <f t="shared" si="6"/>
        <v>🔊</v>
      </c>
      <c r="D938" s="8" t="s">
        <v>9368</v>
      </c>
      <c r="E938" s="6" t="s">
        <v>106</v>
      </c>
      <c r="F938" s="12" t="str">
        <f>IFERROR(__xludf.DUMMYFUNCTION("GOOGLETRANSLATE(B938,""zh_cn"",""vi"")"),"Làm sao")</f>
        <v>Làm sao</v>
      </c>
      <c r="G938" s="20" t="s">
        <v>9369</v>
      </c>
      <c r="H938" s="6"/>
      <c r="I938" s="11" t="b">
        <f t="shared" si="2"/>
        <v>0</v>
      </c>
      <c r="J938" s="24"/>
      <c r="K938" s="11" t="b">
        <f t="shared" si="3"/>
        <v>0</v>
      </c>
    </row>
    <row r="939" ht="22.5" customHeight="1">
      <c r="A939" s="12">
        <f t="shared" si="4"/>
        <v>2937</v>
      </c>
      <c r="B939" s="30" t="s">
        <v>9370</v>
      </c>
      <c r="C939" s="7" t="str">
        <f t="shared" si="6"/>
        <v>🔊</v>
      </c>
      <c r="D939" s="8" t="s">
        <v>9371</v>
      </c>
      <c r="E939" s="6" t="s">
        <v>27</v>
      </c>
      <c r="F939" s="12" t="str">
        <f>IFERROR(__xludf.DUMMYFUNCTION("GOOGLETRANSLATE(B939,""zh_cn"",""vi"")"),"Hiện nay")</f>
        <v>Hiện nay</v>
      </c>
      <c r="G939" s="20" t="s">
        <v>9372</v>
      </c>
      <c r="H939" s="6"/>
      <c r="I939" s="11" t="b">
        <f t="shared" si="2"/>
        <v>0</v>
      </c>
      <c r="J939" s="24"/>
      <c r="K939" s="11" t="b">
        <f t="shared" si="3"/>
        <v>0</v>
      </c>
    </row>
    <row r="940" ht="22.5" customHeight="1">
      <c r="A940" s="12">
        <f t="shared" si="4"/>
        <v>2938</v>
      </c>
      <c r="B940" s="30" t="s">
        <v>9373</v>
      </c>
      <c r="C940" s="7" t="str">
        <f t="shared" si="6"/>
        <v>🔊</v>
      </c>
      <c r="D940" s="8" t="s">
        <v>9374</v>
      </c>
      <c r="E940" s="6" t="s">
        <v>99</v>
      </c>
      <c r="F940" s="12" t="str">
        <f>IFERROR(__xludf.DUMMYFUNCTION("GOOGLETRANSLATE(B940,""zh_cn"",""vi"")"),"yếu đuối")</f>
        <v>yếu đuối</v>
      </c>
      <c r="G940" s="20" t="s">
        <v>9375</v>
      </c>
      <c r="H940" s="6"/>
      <c r="I940" s="11" t="b">
        <f t="shared" si="2"/>
        <v>0</v>
      </c>
      <c r="J940" s="24"/>
      <c r="K940" s="11" t="b">
        <f t="shared" si="3"/>
        <v>0</v>
      </c>
    </row>
    <row r="941" ht="22.5" customHeight="1">
      <c r="A941" s="12">
        <f t="shared" si="4"/>
        <v>2939</v>
      </c>
      <c r="B941" s="30" t="s">
        <v>9376</v>
      </c>
      <c r="C941" s="7" t="str">
        <f t="shared" si="6"/>
        <v>🔊</v>
      </c>
      <c r="D941" s="8" t="s">
        <v>9377</v>
      </c>
      <c r="E941" s="6" t="s">
        <v>13</v>
      </c>
      <c r="F941" s="12" t="str">
        <f>IFERROR(__xludf.DUMMYFUNCTION("GOOGLETRANSLATE(B941,""zh_cn"",""vi"")"),"BẰNG")</f>
        <v>BẰNG</v>
      </c>
      <c r="G941" s="20" t="s">
        <v>9378</v>
      </c>
      <c r="H941" s="6"/>
      <c r="I941" s="11" t="b">
        <f t="shared" si="2"/>
        <v>0</v>
      </c>
      <c r="J941" s="24"/>
      <c r="K941" s="11" t="b">
        <f t="shared" si="3"/>
        <v>0</v>
      </c>
    </row>
    <row r="942" ht="22.5" customHeight="1">
      <c r="A942" s="12">
        <f t="shared" si="4"/>
        <v>2940</v>
      </c>
      <c r="B942" s="30" t="s">
        <v>9379</v>
      </c>
      <c r="C942" s="7" t="str">
        <f t="shared" si="6"/>
        <v>🔊</v>
      </c>
      <c r="D942" s="8" t="s">
        <v>9380</v>
      </c>
      <c r="E942" s="6" t="s">
        <v>13</v>
      </c>
      <c r="F942" s="12" t="str">
        <f>IFERROR(__xludf.DUMMYFUNCTION("GOOGLETRANSLATE(B942,""zh_cn"",""vi"")"),"như sau")</f>
        <v>như sau</v>
      </c>
      <c r="G942" s="20" t="s">
        <v>9381</v>
      </c>
      <c r="H942" s="6"/>
      <c r="I942" s="11" t="b">
        <f t="shared" si="2"/>
        <v>0</v>
      </c>
      <c r="J942" s="24"/>
      <c r="K942" s="11" t="b">
        <f t="shared" si="3"/>
        <v>0</v>
      </c>
    </row>
    <row r="943" ht="22.5" customHeight="1">
      <c r="A943" s="12">
        <f t="shared" si="4"/>
        <v>2941</v>
      </c>
      <c r="B943" s="30" t="s">
        <v>9382</v>
      </c>
      <c r="C943" s="7" t="str">
        <f t="shared" si="6"/>
        <v>🔊</v>
      </c>
      <c r="D943" s="8" t="s">
        <v>9383</v>
      </c>
      <c r="E943" s="6" t="s">
        <v>13</v>
      </c>
      <c r="F943" s="12" t="str">
        <f>IFERROR(__xludf.DUMMYFUNCTION("GOOGLETRANSLATE(B943,""zh_cn"",""vi"")"),"rắc")</f>
        <v>rắc</v>
      </c>
      <c r="G943" s="20" t="s">
        <v>9384</v>
      </c>
      <c r="H943" s="6"/>
      <c r="I943" s="11" t="b">
        <f t="shared" si="2"/>
        <v>0</v>
      </c>
      <c r="J943" s="24"/>
      <c r="K943" s="11" t="b">
        <f t="shared" si="3"/>
        <v>0</v>
      </c>
    </row>
    <row r="944" ht="22.5" customHeight="1">
      <c r="A944" s="12">
        <f t="shared" si="4"/>
        <v>2942</v>
      </c>
      <c r="B944" s="32" t="s">
        <v>3549</v>
      </c>
      <c r="C944" s="7" t="str">
        <f t="shared" si="6"/>
        <v>🔊</v>
      </c>
      <c r="D944" s="8" t="s">
        <v>9385</v>
      </c>
      <c r="E944" s="6" t="s">
        <v>27</v>
      </c>
      <c r="F944" s="12" t="str">
        <f>IFERROR(__xludf.DUMMYFUNCTION("GOOGLETRANSLATE(B944,""zh_cn"",""vi"")"),"cánh đồng")</f>
        <v>cánh đồng</v>
      </c>
      <c r="G944" s="20" t="s">
        <v>9386</v>
      </c>
      <c r="H944" s="6"/>
      <c r="I944" s="11" t="b">
        <f t="shared" si="2"/>
        <v>0</v>
      </c>
      <c r="J944" s="24"/>
      <c r="K944" s="11" t="b">
        <f t="shared" si="3"/>
        <v>0</v>
      </c>
    </row>
    <row r="945" ht="22.5" customHeight="1">
      <c r="A945" s="12">
        <f t="shared" si="4"/>
        <v>2943</v>
      </c>
      <c r="B945" s="30" t="s">
        <v>9387</v>
      </c>
      <c r="C945" s="7" t="str">
        <f t="shared" si="6"/>
        <v>🔊</v>
      </c>
      <c r="D945" s="8" t="s">
        <v>9388</v>
      </c>
      <c r="E945" s="6" t="s">
        <v>27</v>
      </c>
      <c r="F945" s="12" t="str">
        <f>IFERROR(__xludf.DUMMYFUNCTION("GOOGLETRANSLATE(B945,""zh_cn"",""vi"")"),"màu sắc")</f>
        <v>màu sắc</v>
      </c>
      <c r="G945" s="20" t="s">
        <v>9389</v>
      </c>
      <c r="H945" s="6"/>
      <c r="I945" s="11" t="b">
        <f t="shared" si="2"/>
        <v>0</v>
      </c>
      <c r="J945" s="24"/>
      <c r="K945" s="11" t="b">
        <f t="shared" si="3"/>
        <v>0</v>
      </c>
    </row>
    <row r="946" ht="22.5" customHeight="1">
      <c r="A946" s="12">
        <f t="shared" si="4"/>
        <v>2944</v>
      </c>
      <c r="B946" s="30" t="s">
        <v>9390</v>
      </c>
      <c r="C946" s="7" t="str">
        <f t="shared" si="6"/>
        <v>🔊</v>
      </c>
      <c r="D946" s="8" t="s">
        <v>9391</v>
      </c>
      <c r="E946" s="6" t="s">
        <v>99</v>
      </c>
      <c r="F946" s="12" t="str">
        <f>IFERROR(__xludf.DUMMYFUNCTION("GOOGLETRANSLATE(B946,""zh_cn"",""vi"")"),"ngốc nghếch")</f>
        <v>ngốc nghếch</v>
      </c>
      <c r="G946" s="20" t="s">
        <v>9392</v>
      </c>
      <c r="H946" s="6"/>
      <c r="I946" s="11" t="b">
        <f t="shared" si="2"/>
        <v>0</v>
      </c>
      <c r="J946" s="24"/>
      <c r="K946" s="11" t="b">
        <f t="shared" si="3"/>
        <v>0</v>
      </c>
    </row>
    <row r="947" ht="22.5" customHeight="1">
      <c r="A947" s="12">
        <f t="shared" si="4"/>
        <v>2945</v>
      </c>
      <c r="B947" s="30" t="s">
        <v>9393</v>
      </c>
      <c r="C947" s="7" t="str">
        <f t="shared" si="6"/>
        <v>🔊</v>
      </c>
      <c r="D947" s="8" t="s">
        <v>9394</v>
      </c>
      <c r="E947" s="6" t="s">
        <v>13</v>
      </c>
      <c r="F947" s="12" t="str">
        <f>IFERROR(__xludf.DUMMYFUNCTION("GOOGLETRANSLATE(B947,""zh_cn"",""vi"")"),"mặt trời")</f>
        <v>mặt trời</v>
      </c>
      <c r="G947" s="20" t="s">
        <v>9395</v>
      </c>
      <c r="H947" s="6"/>
      <c r="I947" s="11" t="b">
        <f t="shared" si="2"/>
        <v>0</v>
      </c>
      <c r="J947" s="24"/>
      <c r="K947" s="11" t="b">
        <f t="shared" si="3"/>
        <v>0</v>
      </c>
    </row>
    <row r="948" ht="22.5" customHeight="1">
      <c r="A948" s="12">
        <f t="shared" si="4"/>
        <v>2946</v>
      </c>
      <c r="B948" s="30" t="s">
        <v>9396</v>
      </c>
      <c r="C948" s="7" t="str">
        <f t="shared" si="6"/>
        <v>🔊</v>
      </c>
      <c r="D948" s="8" t="s">
        <v>9397</v>
      </c>
      <c r="E948" s="6" t="s">
        <v>27</v>
      </c>
      <c r="F948" s="12" t="str">
        <f>IFERROR(__xludf.DUMMYFUNCTION("GOOGLETRANSLATE(B948,""zh_cn"",""vi"")"),"sa mạc")</f>
        <v>sa mạc</v>
      </c>
      <c r="G948" s="20" t="s">
        <v>9398</v>
      </c>
      <c r="H948" s="6"/>
      <c r="I948" s="11" t="b">
        <f t="shared" si="2"/>
        <v>0</v>
      </c>
      <c r="J948" s="24"/>
      <c r="K948" s="11" t="b">
        <f t="shared" si="3"/>
        <v>0</v>
      </c>
    </row>
    <row r="949" ht="22.5" customHeight="1">
      <c r="A949" s="12">
        <f t="shared" si="4"/>
        <v>2947</v>
      </c>
      <c r="B949" s="30" t="s">
        <v>9399</v>
      </c>
      <c r="C949" s="7" t="str">
        <f t="shared" si="6"/>
        <v>🔊</v>
      </c>
      <c r="D949" s="8" t="s">
        <v>2763</v>
      </c>
      <c r="E949" s="6" t="s">
        <v>13</v>
      </c>
      <c r="F949" s="12" t="str">
        <f>IFERROR(__xludf.DUMMYFUNCTION("GOOGLETRANSLATE(B949,""zh_cn"",""vi"")"),"xóa bỏ")</f>
        <v>xóa bỏ</v>
      </c>
      <c r="G949" s="20" t="s">
        <v>9400</v>
      </c>
      <c r="H949" s="6"/>
      <c r="I949" s="11" t="b">
        <f t="shared" si="2"/>
        <v>0</v>
      </c>
      <c r="J949" s="24"/>
      <c r="K949" s="11" t="b">
        <f t="shared" si="3"/>
        <v>0</v>
      </c>
    </row>
    <row r="950" ht="22.5" customHeight="1">
      <c r="A950" s="12">
        <f t="shared" si="4"/>
        <v>2948</v>
      </c>
      <c r="B950" s="30" t="s">
        <v>9401</v>
      </c>
      <c r="C950" s="7" t="str">
        <f t="shared" si="6"/>
        <v>🔊</v>
      </c>
      <c r="D950" s="8" t="s">
        <v>2763</v>
      </c>
      <c r="E950" s="6" t="s">
        <v>13</v>
      </c>
      <c r="F950" s="12" t="str">
        <f>IFERROR(__xludf.DUMMYFUNCTION("GOOGLETRANSLATE(B950,""zh_cn"",""vi"")"),"cái quạt")</f>
        <v>cái quạt</v>
      </c>
      <c r="G950" s="20" t="s">
        <v>9402</v>
      </c>
      <c r="H950" s="6"/>
      <c r="I950" s="11" t="b">
        <f t="shared" si="2"/>
        <v>0</v>
      </c>
      <c r="J950" s="24"/>
      <c r="K950" s="11" t="b">
        <f t="shared" si="3"/>
        <v>0</v>
      </c>
    </row>
    <row r="951" ht="22.5" customHeight="1">
      <c r="A951" s="12">
        <f t="shared" si="4"/>
        <v>2949</v>
      </c>
      <c r="B951" s="30" t="s">
        <v>9403</v>
      </c>
      <c r="C951" s="7" t="str">
        <f t="shared" si="6"/>
        <v>🔊</v>
      </c>
      <c r="D951" s="8" t="s">
        <v>9404</v>
      </c>
      <c r="E951" s="6" t="s">
        <v>13</v>
      </c>
      <c r="F951" s="12" t="str">
        <f>IFERROR(__xludf.DUMMYFUNCTION("GOOGLETRANSLATE(B951,""zh_cn"",""vi"")"),"Có tay nghề")</f>
        <v>Có tay nghề</v>
      </c>
      <c r="G951" s="20" t="s">
        <v>9405</v>
      </c>
      <c r="H951" s="6"/>
      <c r="I951" s="11" t="b">
        <f t="shared" si="2"/>
        <v>0</v>
      </c>
      <c r="J951" s="24"/>
      <c r="K951" s="11" t="b">
        <f t="shared" si="3"/>
        <v>0</v>
      </c>
    </row>
    <row r="952" ht="22.5" customHeight="1">
      <c r="A952" s="12">
        <f t="shared" si="4"/>
        <v>2950</v>
      </c>
      <c r="B952" s="30" t="s">
        <v>9406</v>
      </c>
      <c r="C952" s="7" t="str">
        <f t="shared" si="6"/>
        <v>🔊</v>
      </c>
      <c r="D952" s="8" t="s">
        <v>9407</v>
      </c>
      <c r="E952" s="6" t="s">
        <v>13</v>
      </c>
      <c r="F952" s="12" t="str">
        <f>IFERROR(__xludf.DUMMYFUNCTION("GOOGLETRANSLATE(B952,""zh_cn"",""vi"")"),"xóa bỏ")</f>
        <v>xóa bỏ</v>
      </c>
      <c r="G952" s="20" t="s">
        <v>9408</v>
      </c>
      <c r="H952" s="6"/>
      <c r="I952" s="11" t="b">
        <f t="shared" si="2"/>
        <v>0</v>
      </c>
      <c r="J952" s="24"/>
      <c r="K952" s="11" t="b">
        <f t="shared" si="3"/>
        <v>0</v>
      </c>
    </row>
    <row r="953" ht="22.5" customHeight="1">
      <c r="A953" s="12">
        <f t="shared" si="4"/>
        <v>2951</v>
      </c>
      <c r="B953" s="30" t="s">
        <v>9409</v>
      </c>
      <c r="C953" s="7" t="str">
        <f t="shared" si="6"/>
        <v>🔊</v>
      </c>
      <c r="D953" s="8" t="s">
        <v>9410</v>
      </c>
      <c r="E953" s="6" t="s">
        <v>13</v>
      </c>
      <c r="F953" s="12" t="str">
        <f>IFERROR(__xludf.DUMMYFUNCTION("GOOGLETRANSLATE(B953,""zh_cn"",""vi"")"),"phần thưởng")</f>
        <v>phần thưởng</v>
      </c>
      <c r="G953" s="20" t="s">
        <v>9411</v>
      </c>
      <c r="H953" s="6"/>
      <c r="I953" s="11" t="b">
        <f t="shared" si="2"/>
        <v>0</v>
      </c>
      <c r="J953" s="24"/>
      <c r="K953" s="11" t="b">
        <f t="shared" si="3"/>
        <v>0</v>
      </c>
    </row>
    <row r="954" ht="22.5" customHeight="1">
      <c r="A954" s="12">
        <f t="shared" si="4"/>
        <v>2952</v>
      </c>
      <c r="B954" s="30" t="s">
        <v>9412</v>
      </c>
      <c r="C954" s="7" t="str">
        <f t="shared" si="6"/>
        <v>🔊</v>
      </c>
      <c r="D954" s="8" t="s">
        <v>9413</v>
      </c>
      <c r="E954" s="6" t="s">
        <v>57</v>
      </c>
      <c r="F954" s="12" t="str">
        <f>IFERROR(__xludf.DUMMYFUNCTION("GOOGLETRANSLATE(B954,""zh_cn"",""vi"")"),"đau")</f>
        <v>đau</v>
      </c>
      <c r="G954" s="20" t="s">
        <v>9414</v>
      </c>
      <c r="H954" s="6"/>
      <c r="I954" s="11" t="b">
        <f t="shared" si="2"/>
        <v>0</v>
      </c>
      <c r="J954" s="24"/>
      <c r="K954" s="11" t="b">
        <f t="shared" si="3"/>
        <v>0</v>
      </c>
    </row>
    <row r="955" ht="22.5" customHeight="1">
      <c r="A955" s="12">
        <f t="shared" si="4"/>
        <v>2953</v>
      </c>
      <c r="B955" s="30" t="s">
        <v>9415</v>
      </c>
      <c r="C955" s="7" t="str">
        <f t="shared" si="6"/>
        <v>🔊</v>
      </c>
      <c r="D955" s="8" t="s">
        <v>9416</v>
      </c>
      <c r="E955" s="6" t="s">
        <v>13</v>
      </c>
      <c r="F955" s="12" t="str">
        <f>IFERROR(__xludf.DUMMYFUNCTION("GOOGLETRANSLATE(B955,""zh_cn"",""vi"")"),"Tải lên")</f>
        <v>Tải lên</v>
      </c>
      <c r="G955" s="20" t="s">
        <v>9417</v>
      </c>
      <c r="H955" s="6"/>
      <c r="I955" s="11" t="b">
        <f t="shared" si="2"/>
        <v>0</v>
      </c>
      <c r="J955" s="24"/>
      <c r="K955" s="11" t="b">
        <f t="shared" si="3"/>
        <v>0</v>
      </c>
    </row>
    <row r="956" ht="22.5" customHeight="1">
      <c r="A956" s="12">
        <f t="shared" si="4"/>
        <v>2954</v>
      </c>
      <c r="B956" s="30" t="s">
        <v>9418</v>
      </c>
      <c r="C956" s="7" t="str">
        <f t="shared" si="6"/>
        <v>🔊</v>
      </c>
      <c r="D956" s="8" t="s">
        <v>9419</v>
      </c>
      <c r="E956" s="6" t="s">
        <v>13</v>
      </c>
      <c r="F956" s="12" t="str">
        <f>IFERROR(__xludf.DUMMYFUNCTION("GOOGLETRANSLATE(B956,""zh_cn"",""vi"")"),"làm hại")</f>
        <v>làm hại</v>
      </c>
      <c r="G956" s="20" t="s">
        <v>9420</v>
      </c>
      <c r="H956" s="6"/>
      <c r="I956" s="11" t="b">
        <f t="shared" si="2"/>
        <v>0</v>
      </c>
      <c r="J956" s="24"/>
      <c r="K956" s="11" t="b">
        <f t="shared" si="3"/>
        <v>0</v>
      </c>
    </row>
    <row r="957" ht="22.5" customHeight="1">
      <c r="A957" s="12">
        <f t="shared" si="4"/>
        <v>2955</v>
      </c>
      <c r="B957" s="30" t="s">
        <v>9421</v>
      </c>
      <c r="C957" s="7" t="str">
        <f t="shared" si="6"/>
        <v>🔊</v>
      </c>
      <c r="D957" s="8" t="s">
        <v>9422</v>
      </c>
      <c r="E957" s="6" t="s">
        <v>27</v>
      </c>
      <c r="F957" s="12" t="str">
        <f>IFERROR(__xludf.DUMMYFUNCTION("GOOGLETRANSLATE(B957,""zh_cn"",""vi"")"),"Thương nhân")</f>
        <v>Thương nhân</v>
      </c>
      <c r="G957" s="20" t="s">
        <v>9423</v>
      </c>
      <c r="H957" s="6"/>
      <c r="I957" s="11" t="b">
        <f t="shared" si="2"/>
        <v>0</v>
      </c>
      <c r="J957" s="24"/>
      <c r="K957" s="11" t="b">
        <f t="shared" si="3"/>
        <v>0</v>
      </c>
    </row>
    <row r="958" ht="22.5" customHeight="1">
      <c r="A958" s="12">
        <f t="shared" si="4"/>
        <v>2956</v>
      </c>
      <c r="B958" s="30" t="s">
        <v>9424</v>
      </c>
      <c r="C958" s="7" t="str">
        <f t="shared" si="6"/>
        <v>🔊</v>
      </c>
      <c r="D958" s="8" t="s">
        <v>9425</v>
      </c>
      <c r="E958" s="6" t="s">
        <v>27</v>
      </c>
      <c r="F958" s="12" t="str">
        <f>IFERROR(__xludf.DUMMYFUNCTION("GOOGLETRANSLATE(B958,""zh_cn"",""vi"")"),"thương nhân")</f>
        <v>thương nhân</v>
      </c>
      <c r="G958" s="20" t="s">
        <v>9426</v>
      </c>
      <c r="H958" s="6"/>
      <c r="I958" s="11" t="b">
        <f t="shared" si="2"/>
        <v>0</v>
      </c>
      <c r="J958" s="24"/>
      <c r="K958" s="11" t="b">
        <f t="shared" si="3"/>
        <v>0</v>
      </c>
    </row>
    <row r="959" ht="22.5" customHeight="1">
      <c r="A959" s="12">
        <f t="shared" si="4"/>
        <v>2957</v>
      </c>
      <c r="B959" s="30" t="s">
        <v>9427</v>
      </c>
      <c r="C959" s="7" t="str">
        <f t="shared" si="6"/>
        <v>🔊</v>
      </c>
      <c r="D959" s="8" t="s">
        <v>9428</v>
      </c>
      <c r="E959" s="6" t="s">
        <v>13</v>
      </c>
      <c r="F959" s="12" t="str">
        <f>IFERROR(__xludf.DUMMYFUNCTION("GOOGLETRANSLATE(B959,""zh_cn"",""vi"")"),"tăng lên")</f>
        <v>tăng lên</v>
      </c>
      <c r="G959" s="20" t="s">
        <v>9429</v>
      </c>
      <c r="H959" s="6"/>
      <c r="I959" s="11" t="b">
        <f t="shared" si="2"/>
        <v>0</v>
      </c>
      <c r="J959" s="24"/>
      <c r="K959" s="11" t="b">
        <f t="shared" si="3"/>
        <v>0</v>
      </c>
    </row>
    <row r="960" ht="22.5" customHeight="1">
      <c r="A960" s="12">
        <f t="shared" si="4"/>
        <v>2958</v>
      </c>
      <c r="B960" s="30" t="s">
        <v>9430</v>
      </c>
      <c r="C960" s="7" t="str">
        <f t="shared" si="6"/>
        <v>🔊</v>
      </c>
      <c r="D960" s="8" t="s">
        <v>9431</v>
      </c>
      <c r="E960" s="6" t="s">
        <v>27</v>
      </c>
      <c r="F960" s="12" t="str">
        <f>IFERROR(__xludf.DUMMYFUNCTION("GOOGLETRANSLATE(B960,""zh_cn"",""vi"")"),"Việc kinh doanh")</f>
        <v>Việc kinh doanh</v>
      </c>
      <c r="G960" s="20" t="s">
        <v>9432</v>
      </c>
      <c r="H960" s="6"/>
      <c r="I960" s="11" t="b">
        <f t="shared" si="2"/>
        <v>0</v>
      </c>
      <c r="J960" s="24"/>
      <c r="K960" s="11" t="b">
        <f t="shared" si="3"/>
        <v>0</v>
      </c>
    </row>
    <row r="961" ht="22.5" customHeight="1">
      <c r="A961" s="12">
        <f t="shared" si="4"/>
        <v>2959</v>
      </c>
      <c r="B961" s="30" t="s">
        <v>9433</v>
      </c>
      <c r="C961" s="7" t="str">
        <f t="shared" si="6"/>
        <v>🔊</v>
      </c>
      <c r="D961" s="8" t="s">
        <v>9434</v>
      </c>
      <c r="E961" s="6" t="s">
        <v>27</v>
      </c>
      <c r="F961" s="12" t="str">
        <f>IFERROR(__xludf.DUMMYFUNCTION("GOOGLETRANSLATE(B961,""zh_cn"",""vi"")"),"lên xuống")</f>
        <v>lên xuống</v>
      </c>
      <c r="G961" s="20" t="s">
        <v>9435</v>
      </c>
      <c r="H961" s="6"/>
      <c r="I961" s="11" t="b">
        <f t="shared" si="2"/>
        <v>0</v>
      </c>
      <c r="J961" s="24"/>
      <c r="K961" s="11" t="b">
        <f t="shared" si="3"/>
        <v>0</v>
      </c>
    </row>
    <row r="962" ht="22.5" customHeight="1">
      <c r="A962" s="12">
        <f t="shared" si="4"/>
        <v>2960</v>
      </c>
      <c r="B962" s="30" t="s">
        <v>9436</v>
      </c>
      <c r="C962" s="7" t="str">
        <f t="shared" si="6"/>
        <v>🔊</v>
      </c>
      <c r="D962" s="8" t="s">
        <v>9437</v>
      </c>
      <c r="E962" s="6" t="s">
        <v>27</v>
      </c>
      <c r="F962" s="12" t="str">
        <f>IFERROR(__xludf.DUMMYFUNCTION("GOOGLETRANSLATE(B962,""zh_cn"",""vi"")"),"Việc kinh doanh")</f>
        <v>Việc kinh doanh</v>
      </c>
      <c r="G962" s="20" t="s">
        <v>9438</v>
      </c>
      <c r="H962" s="6"/>
      <c r="I962" s="11" t="b">
        <f t="shared" si="2"/>
        <v>0</v>
      </c>
      <c r="J962" s="24"/>
      <c r="K962" s="11" t="b">
        <f t="shared" si="3"/>
        <v>0</v>
      </c>
    </row>
    <row r="963" ht="22.5" customHeight="1">
      <c r="A963" s="12">
        <f t="shared" si="4"/>
        <v>2961</v>
      </c>
      <c r="B963" s="30" t="s">
        <v>9439</v>
      </c>
      <c r="C963" s="7" t="str">
        <f t="shared" si="6"/>
        <v>🔊</v>
      </c>
      <c r="D963" s="8" t="s">
        <v>9440</v>
      </c>
      <c r="E963" s="6" t="s">
        <v>13</v>
      </c>
      <c r="F963" s="12" t="str">
        <f>IFERROR(__xludf.DUMMYFUNCTION("GOOGLETRANSLATE(B963,""zh_cn"",""vi"")"),"tăng lên")</f>
        <v>tăng lên</v>
      </c>
      <c r="G963" s="20" t="s">
        <v>9441</v>
      </c>
      <c r="H963" s="6"/>
      <c r="I963" s="11" t="b">
        <f t="shared" si="2"/>
        <v>0</v>
      </c>
      <c r="J963" s="24"/>
      <c r="K963" s="11" t="b">
        <f t="shared" si="3"/>
        <v>0</v>
      </c>
    </row>
    <row r="964" ht="22.5" customHeight="1">
      <c r="A964" s="12">
        <f t="shared" si="4"/>
        <v>2962</v>
      </c>
      <c r="B964" s="30" t="s">
        <v>9442</v>
      </c>
      <c r="C964" s="7" t="str">
        <f t="shared" si="6"/>
        <v>🔊</v>
      </c>
      <c r="D964" s="8" t="s">
        <v>9443</v>
      </c>
      <c r="E964" s="6" t="s">
        <v>99</v>
      </c>
      <c r="F964" s="12" t="str">
        <f>IFERROR(__xludf.DUMMYFUNCTION("GOOGLETRANSLATE(B964,""zh_cn"",""vi"")"),"Loại")</f>
        <v>Loại</v>
      </c>
      <c r="G964" s="20" t="s">
        <v>9444</v>
      </c>
      <c r="H964" s="6"/>
      <c r="I964" s="11" t="b">
        <f t="shared" si="2"/>
        <v>0</v>
      </c>
      <c r="J964" s="24"/>
      <c r="K964" s="11" t="b">
        <f t="shared" si="3"/>
        <v>0</v>
      </c>
    </row>
    <row r="965" ht="22.5" customHeight="1">
      <c r="A965" s="12">
        <f t="shared" si="4"/>
        <v>2963</v>
      </c>
      <c r="B965" s="30" t="s">
        <v>9445</v>
      </c>
      <c r="C965" s="7" t="str">
        <f t="shared" si="6"/>
        <v>🔊</v>
      </c>
      <c r="D965" s="8" t="s">
        <v>9446</v>
      </c>
      <c r="E965" s="6" t="s">
        <v>27</v>
      </c>
      <c r="F965" s="12" t="str">
        <f>IFERROR(__xludf.DUMMYFUNCTION("GOOGLETRANSLATE(B965,""zh_cn"",""vi"")"),"khu vực miền núi")</f>
        <v>khu vực miền núi</v>
      </c>
      <c r="G965" s="20" t="s">
        <v>9447</v>
      </c>
      <c r="H965" s="6"/>
      <c r="I965" s="11" t="b">
        <f t="shared" si="2"/>
        <v>0</v>
      </c>
      <c r="J965" s="24"/>
      <c r="K965" s="11" t="b">
        <f t="shared" si="3"/>
        <v>0</v>
      </c>
    </row>
    <row r="966" ht="22.5" customHeight="1">
      <c r="A966" s="12">
        <f t="shared" si="4"/>
        <v>2964</v>
      </c>
      <c r="B966" s="30" t="s">
        <v>9448</v>
      </c>
      <c r="C966" s="7" t="str">
        <f t="shared" si="6"/>
        <v>🔊</v>
      </c>
      <c r="D966" s="8" t="s">
        <v>9449</v>
      </c>
      <c r="E966" s="6" t="s">
        <v>13</v>
      </c>
      <c r="F966" s="12" t="str">
        <f>IFERROR(__xludf.DUMMYFUNCTION("GOOGLETRANSLATE(B966,""zh_cn"",""vi"")"),"Giỏi về")</f>
        <v>Giỏi về</v>
      </c>
      <c r="G966" s="20" t="s">
        <v>9450</v>
      </c>
      <c r="H966" s="6"/>
      <c r="I966" s="11" t="b">
        <f t="shared" si="2"/>
        <v>0</v>
      </c>
      <c r="J966" s="24"/>
      <c r="K966" s="11" t="b">
        <f t="shared" si="3"/>
        <v>0</v>
      </c>
    </row>
    <row r="967" ht="22.5" customHeight="1">
      <c r="A967" s="12">
        <f t="shared" si="4"/>
        <v>2965</v>
      </c>
      <c r="B967" s="30" t="s">
        <v>9451</v>
      </c>
      <c r="C967" s="7" t="str">
        <f t="shared" si="6"/>
        <v>🔊</v>
      </c>
      <c r="D967" s="8" t="s">
        <v>9452</v>
      </c>
      <c r="E967" s="6" t="s">
        <v>27</v>
      </c>
      <c r="F967" s="12" t="str">
        <f>IFERROR(__xludf.DUMMYFUNCTION("GOOGLETRANSLATE(B967,""zh_cn"",""vi"")"),"cái quạt")</f>
        <v>cái quạt</v>
      </c>
      <c r="G967" s="20" t="s">
        <v>9453</v>
      </c>
      <c r="H967" s="6"/>
      <c r="I967" s="11" t="b">
        <f t="shared" si="2"/>
        <v>0</v>
      </c>
      <c r="J967" s="24"/>
      <c r="K967" s="11" t="b">
        <f t="shared" si="3"/>
        <v>0</v>
      </c>
    </row>
    <row r="968" ht="22.5" customHeight="1">
      <c r="A968" s="12">
        <f t="shared" si="4"/>
        <v>2966</v>
      </c>
      <c r="B968" s="30" t="s">
        <v>9454</v>
      </c>
      <c r="C968" s="7" t="str">
        <f t="shared" si="6"/>
        <v>🔊</v>
      </c>
      <c r="D968" s="8" t="s">
        <v>5414</v>
      </c>
      <c r="E968" s="6" t="s">
        <v>232</v>
      </c>
      <c r="F968" s="12" t="str">
        <f>IFERROR(__xludf.DUMMYFUNCTION("GOOGLETRANSLATE(B968,""zh_cn"",""vi"")"),"cháy")</f>
        <v>cháy</v>
      </c>
      <c r="G968" s="20" t="s">
        <v>9455</v>
      </c>
      <c r="H968" s="6"/>
      <c r="I968" s="11" t="b">
        <f t="shared" si="2"/>
        <v>0</v>
      </c>
      <c r="J968" s="24"/>
      <c r="K968" s="11" t="b">
        <f t="shared" si="3"/>
        <v>0</v>
      </c>
    </row>
    <row r="969" ht="22.5" customHeight="1">
      <c r="A969" s="12">
        <f t="shared" si="4"/>
        <v>2967</v>
      </c>
      <c r="B969" s="30" t="s">
        <v>9456</v>
      </c>
      <c r="C969" s="7" t="str">
        <f t="shared" si="6"/>
        <v>🔊</v>
      </c>
      <c r="D969" s="8" t="s">
        <v>9457</v>
      </c>
      <c r="E969" s="6" t="s">
        <v>27</v>
      </c>
      <c r="F969" s="12" t="str">
        <f>IFERROR(__xludf.DUMMYFUNCTION("GOOGLETRANSLATE(B969,""zh_cn"",""vi"")"),"nướng thịt")</f>
        <v>nướng thịt</v>
      </c>
      <c r="G969" s="20" t="s">
        <v>9458</v>
      </c>
      <c r="H969" s="6"/>
      <c r="I969" s="11" t="b">
        <f t="shared" si="2"/>
        <v>0</v>
      </c>
      <c r="J969" s="24"/>
      <c r="K969" s="11" t="b">
        <f t="shared" si="3"/>
        <v>0</v>
      </c>
    </row>
    <row r="970" ht="22.5" customHeight="1">
      <c r="A970" s="12">
        <f t="shared" si="4"/>
        <v>2968</v>
      </c>
      <c r="B970" s="30" t="s">
        <v>9459</v>
      </c>
      <c r="C970" s="7" t="str">
        <f t="shared" si="6"/>
        <v>🔊</v>
      </c>
      <c r="D970" s="8" t="s">
        <v>9460</v>
      </c>
      <c r="E970" s="6" t="s">
        <v>27</v>
      </c>
      <c r="F970" s="12" t="str">
        <f>IFERROR(__xludf.DUMMYFUNCTION("GOOGLETRANSLATE(B970,""zh_cn"",""vi"")"),"cát")</f>
        <v>cát</v>
      </c>
      <c r="G970" s="20" t="s">
        <v>9461</v>
      </c>
      <c r="H970" s="6"/>
      <c r="I970" s="11" t="b">
        <f t="shared" si="2"/>
        <v>0</v>
      </c>
      <c r="J970" s="24"/>
      <c r="K970" s="11" t="b">
        <f t="shared" si="3"/>
        <v>0</v>
      </c>
    </row>
    <row r="971" ht="22.5" customHeight="1">
      <c r="A971" s="12">
        <f t="shared" si="4"/>
        <v>2969</v>
      </c>
      <c r="B971" s="30" t="s">
        <v>9462</v>
      </c>
      <c r="C971" s="7" t="str">
        <f t="shared" si="6"/>
        <v>🔊</v>
      </c>
      <c r="D971" s="8" t="s">
        <v>9463</v>
      </c>
      <c r="E971" s="6" t="s">
        <v>27</v>
      </c>
      <c r="F971" s="12" t="str">
        <f>IFERROR(__xludf.DUMMYFUNCTION("GOOGLETRANSLATE(B971,""zh_cn"",""vi"")"),"rắn")</f>
        <v>rắn</v>
      </c>
      <c r="G971" s="20" t="s">
        <v>9464</v>
      </c>
      <c r="H971" s="6"/>
      <c r="I971" s="11" t="b">
        <f t="shared" si="2"/>
        <v>0</v>
      </c>
      <c r="J971" s="24"/>
      <c r="K971" s="11" t="b">
        <f t="shared" si="3"/>
        <v>0</v>
      </c>
    </row>
    <row r="972" ht="22.5" customHeight="1">
      <c r="A972" s="12">
        <f t="shared" si="4"/>
        <v>2970</v>
      </c>
      <c r="B972" s="30" t="s">
        <v>9465</v>
      </c>
      <c r="C972" s="7" t="str">
        <f t="shared" si="6"/>
        <v>🔊</v>
      </c>
      <c r="D972" s="8" t="s">
        <v>9466</v>
      </c>
      <c r="E972" s="6" t="s">
        <v>27</v>
      </c>
      <c r="F972" s="12" t="str">
        <f>IFERROR(__xludf.DUMMYFUNCTION("GOOGLETRANSLATE(B972,""zh_cn"",""vi"")"),"thiết bị")</f>
        <v>thiết bị</v>
      </c>
      <c r="G972" s="20" t="s">
        <v>9467</v>
      </c>
      <c r="H972" s="6"/>
      <c r="I972" s="11" t="b">
        <f t="shared" si="2"/>
        <v>0</v>
      </c>
      <c r="J972" s="24"/>
      <c r="K972" s="11" t="b">
        <f t="shared" si="3"/>
        <v>0</v>
      </c>
    </row>
    <row r="973" ht="22.5" customHeight="1">
      <c r="A973" s="12">
        <f t="shared" si="4"/>
        <v>2971</v>
      </c>
      <c r="B973" s="30" t="s">
        <v>9468</v>
      </c>
      <c r="C973" s="7" t="str">
        <f t="shared" si="6"/>
        <v>🔊</v>
      </c>
      <c r="D973" s="8" t="s">
        <v>9469</v>
      </c>
      <c r="E973" s="6" t="s">
        <v>13</v>
      </c>
      <c r="F973" s="12" t="str">
        <f>IFERROR(__xludf.DUMMYFUNCTION("GOOGLETRANSLATE(B973,""zh_cn"",""vi"")"),"Miễn cưỡng")</f>
        <v>Miễn cưỡng</v>
      </c>
      <c r="G973" s="20" t="s">
        <v>9470</v>
      </c>
      <c r="H973" s="6"/>
      <c r="I973" s="11" t="b">
        <f t="shared" si="2"/>
        <v>0</v>
      </c>
      <c r="J973" s="24"/>
      <c r="K973" s="11" t="b">
        <f t="shared" si="3"/>
        <v>0</v>
      </c>
    </row>
    <row r="974" ht="22.5" customHeight="1">
      <c r="A974" s="12">
        <f t="shared" si="4"/>
        <v>2972</v>
      </c>
      <c r="B974" s="30" t="s">
        <v>9471</v>
      </c>
      <c r="C974" s="7" t="str">
        <f t="shared" si="6"/>
        <v>🔊</v>
      </c>
      <c r="D974" s="8" t="s">
        <v>9472</v>
      </c>
      <c r="E974" s="6" t="s">
        <v>13</v>
      </c>
      <c r="F974" s="12" t="str">
        <f>IFERROR(__xludf.DUMMYFUNCTION("GOOGLETRANSLATE(B974,""zh_cn"",""vi"")"),"Sẵn sàng cho")</f>
        <v>Sẵn sàng cho</v>
      </c>
      <c r="G974" s="20" t="s">
        <v>9473</v>
      </c>
      <c r="H974" s="6"/>
      <c r="I974" s="11" t="b">
        <f t="shared" si="2"/>
        <v>0</v>
      </c>
      <c r="J974" s="24"/>
      <c r="K974" s="11" t="b">
        <f t="shared" si="3"/>
        <v>0</v>
      </c>
    </row>
    <row r="975" ht="22.5" customHeight="1">
      <c r="A975" s="12">
        <f t="shared" si="4"/>
        <v>2973</v>
      </c>
      <c r="B975" s="30" t="s">
        <v>9474</v>
      </c>
      <c r="C975" s="7" t="str">
        <f t="shared" si="6"/>
        <v>🔊</v>
      </c>
      <c r="D975" s="8" t="s">
        <v>9475</v>
      </c>
      <c r="E975" s="6" t="s">
        <v>232</v>
      </c>
      <c r="F975" s="12" t="str">
        <f>IFERROR(__xludf.DUMMYFUNCTION("GOOGLETRANSLATE(B975,""zh_cn"",""vi"")"),"thiết kế")</f>
        <v>thiết kế</v>
      </c>
      <c r="G975" s="20" t="s">
        <v>9476</v>
      </c>
      <c r="H975" s="6"/>
      <c r="I975" s="11" t="b">
        <f t="shared" si="2"/>
        <v>0</v>
      </c>
      <c r="J975" s="24"/>
      <c r="K975" s="11" t="b">
        <f t="shared" si="3"/>
        <v>0</v>
      </c>
    </row>
    <row r="976" ht="22.5" customHeight="1">
      <c r="A976" s="12">
        <f t="shared" si="4"/>
        <v>2974</v>
      </c>
      <c r="B976" s="30" t="s">
        <v>9477</v>
      </c>
      <c r="C976" s="7" t="str">
        <f t="shared" si="6"/>
        <v>🔊</v>
      </c>
      <c r="D976" s="8" t="s">
        <v>9478</v>
      </c>
      <c r="E976" s="6" t="s">
        <v>13</v>
      </c>
      <c r="F976" s="12" t="str">
        <f>IFERROR(__xludf.DUMMYFUNCTION("GOOGLETRANSLATE(B976,""zh_cn"",""vi"")"),"cài đặt")</f>
        <v>cài đặt</v>
      </c>
      <c r="G976" s="20" t="s">
        <v>9479</v>
      </c>
      <c r="H976" s="6"/>
      <c r="I976" s="11" t="b">
        <f t="shared" si="2"/>
        <v>0</v>
      </c>
      <c r="J976" s="24"/>
      <c r="K976" s="11" t="b">
        <f t="shared" si="3"/>
        <v>0</v>
      </c>
    </row>
    <row r="977" ht="22.5" customHeight="1">
      <c r="A977" s="12">
        <f t="shared" si="4"/>
        <v>2975</v>
      </c>
      <c r="B977" s="30" t="s">
        <v>9480</v>
      </c>
      <c r="C977" s="7" t="str">
        <f t="shared" si="6"/>
        <v>🔊</v>
      </c>
      <c r="D977" s="8" t="s">
        <v>5437</v>
      </c>
      <c r="E977" s="6" t="s">
        <v>13</v>
      </c>
      <c r="F977" s="12" t="str">
        <f>IFERROR(__xludf.DUMMYFUNCTION("GOOGLETRANSLATE(B977,""zh_cn"",""vi"")"),"kéo dài")</f>
        <v>kéo dài</v>
      </c>
      <c r="G977" s="20" t="s">
        <v>9481</v>
      </c>
      <c r="H977" s="6"/>
      <c r="I977" s="11" t="b">
        <f t="shared" si="2"/>
        <v>0</v>
      </c>
      <c r="J977" s="24"/>
      <c r="K977" s="11" t="b">
        <f t="shared" si="3"/>
        <v>0</v>
      </c>
    </row>
    <row r="978" ht="22.5" customHeight="1">
      <c r="A978" s="12">
        <f t="shared" si="4"/>
        <v>2976</v>
      </c>
      <c r="B978" s="30" t="s">
        <v>9482</v>
      </c>
      <c r="C978" s="7" t="str">
        <f t="shared" si="6"/>
        <v>🔊</v>
      </c>
      <c r="D978" s="8" t="s">
        <v>9483</v>
      </c>
      <c r="E978" s="6" t="s">
        <v>27</v>
      </c>
      <c r="F978" s="12" t="str">
        <f>IFERROR(__xludf.DUMMYFUNCTION("GOOGLETRANSLATE(B978,""zh_cn"",""vi"")"),"nhân vật")</f>
        <v>nhân vật</v>
      </c>
      <c r="G978" s="20" t="s">
        <v>9484</v>
      </c>
      <c r="H978" s="6"/>
      <c r="I978" s="11" t="b">
        <f t="shared" si="2"/>
        <v>0</v>
      </c>
      <c r="J978" s="24"/>
      <c r="K978" s="11" t="b">
        <f t="shared" si="3"/>
        <v>0</v>
      </c>
    </row>
    <row r="979" ht="22.5" customHeight="1">
      <c r="A979" s="12">
        <f t="shared" si="4"/>
        <v>2977</v>
      </c>
      <c r="B979" s="30" t="s">
        <v>9485</v>
      </c>
      <c r="C979" s="7" t="str">
        <f t="shared" si="6"/>
        <v>🔊</v>
      </c>
      <c r="D979" s="8" t="s">
        <v>9486</v>
      </c>
      <c r="E979" s="6" t="s">
        <v>3430</v>
      </c>
      <c r="F979" s="12" t="str">
        <f>IFERROR(__xludf.DUMMYFUNCTION("GOOGLETRANSLATE(B979,""zh_cn"",""vi"")"),"độ sâu")</f>
        <v>độ sâu</v>
      </c>
      <c r="G979" s="20" t="s">
        <v>9487</v>
      </c>
      <c r="H979" s="6"/>
      <c r="I979" s="11" t="b">
        <f t="shared" si="2"/>
        <v>0</v>
      </c>
      <c r="J979" s="24"/>
      <c r="K979" s="11" t="b">
        <f t="shared" si="3"/>
        <v>0</v>
      </c>
    </row>
    <row r="980" ht="22.5" customHeight="1">
      <c r="A980" s="12">
        <f t="shared" si="4"/>
        <v>2978</v>
      </c>
      <c r="B980" s="30" t="s">
        <v>9488</v>
      </c>
      <c r="C980" s="7" t="str">
        <f t="shared" si="6"/>
        <v>🔊</v>
      </c>
      <c r="D980" s="8" t="s">
        <v>9489</v>
      </c>
      <c r="E980" s="6" t="s">
        <v>27</v>
      </c>
      <c r="F980" s="12" t="str">
        <f>IFERROR(__xludf.DUMMYFUNCTION("GOOGLETRANSLATE(B980,""zh_cn"",""vi"")"),"danh tính")</f>
        <v>danh tính</v>
      </c>
      <c r="G980" s="20" t="s">
        <v>9490</v>
      </c>
      <c r="H980" s="6"/>
      <c r="I980" s="11" t="b">
        <f t="shared" si="2"/>
        <v>0</v>
      </c>
      <c r="J980" s="24"/>
      <c r="K980" s="11" t="b">
        <f t="shared" si="3"/>
        <v>0</v>
      </c>
    </row>
    <row r="981" ht="22.5" customHeight="1">
      <c r="A981" s="12">
        <f t="shared" si="4"/>
        <v>2979</v>
      </c>
      <c r="B981" s="30" t="s">
        <v>9491</v>
      </c>
      <c r="C981" s="7" t="str">
        <f t="shared" si="6"/>
        <v>🔊</v>
      </c>
      <c r="D981" s="8" t="s">
        <v>5445</v>
      </c>
      <c r="E981" s="6" t="s">
        <v>13</v>
      </c>
      <c r="F981" s="12" t="str">
        <f>IFERROR(__xludf.DUMMYFUNCTION("GOOGLETRANSLATE(B981,""zh_cn"",""vi"")"),"Chiến thắng")</f>
        <v>Chiến thắng</v>
      </c>
      <c r="G981" s="20" t="s">
        <v>9492</v>
      </c>
      <c r="H981" s="6"/>
      <c r="I981" s="11" t="b">
        <f t="shared" si="2"/>
        <v>0</v>
      </c>
      <c r="J981" s="24"/>
      <c r="K981" s="11" t="b">
        <f t="shared" si="3"/>
        <v>0</v>
      </c>
    </row>
    <row r="982" ht="22.5" customHeight="1">
      <c r="A982" s="12">
        <f t="shared" si="4"/>
        <v>2980</v>
      </c>
      <c r="B982" s="30" t="s">
        <v>9493</v>
      </c>
      <c r="C982" s="7" t="str">
        <f t="shared" si="6"/>
        <v>🔊</v>
      </c>
      <c r="D982" s="8" t="s">
        <v>5448</v>
      </c>
      <c r="E982" s="6" t="s">
        <v>13</v>
      </c>
      <c r="F982" s="12" t="str">
        <f>IFERROR(__xludf.DUMMYFUNCTION("GOOGLETRANSLATE(B982,""zh_cn"",""vi"")"),"Tỉnh 2")</f>
        <v>Tỉnh 2</v>
      </c>
      <c r="G982" s="20" t="s">
        <v>9494</v>
      </c>
      <c r="H982" s="6"/>
      <c r="I982" s="11" t="b">
        <f t="shared" si="2"/>
        <v>0</v>
      </c>
      <c r="J982" s="24"/>
      <c r="K982" s="11" t="b">
        <f t="shared" si="3"/>
        <v>0</v>
      </c>
    </row>
    <row r="983" ht="22.5" customHeight="1">
      <c r="A983" s="12">
        <f t="shared" si="4"/>
        <v>2981</v>
      </c>
      <c r="B983" s="30" t="s">
        <v>9495</v>
      </c>
      <c r="C983" s="7" t="str">
        <f t="shared" si="6"/>
        <v>🔊</v>
      </c>
      <c r="D983" s="8" t="s">
        <v>2776</v>
      </c>
      <c r="E983" s="6" t="s">
        <v>13</v>
      </c>
      <c r="F983" s="12" t="str">
        <f>IFERROR(__xludf.DUMMYFUNCTION("GOOGLETRANSLATE(B983,""zh_cn"",""vi"")"),"Lên 1")</f>
        <v>Lên 1</v>
      </c>
      <c r="G983" s="20" t="s">
        <v>9496</v>
      </c>
      <c r="H983" s="6"/>
      <c r="I983" s="11" t="b">
        <f t="shared" si="2"/>
        <v>0</v>
      </c>
      <c r="J983" s="24"/>
      <c r="K983" s="11" t="b">
        <f t="shared" si="3"/>
        <v>0</v>
      </c>
    </row>
    <row r="984" ht="22.5" customHeight="1">
      <c r="A984" s="12">
        <f t="shared" si="4"/>
        <v>2982</v>
      </c>
      <c r="B984" s="30" t="s">
        <v>9497</v>
      </c>
      <c r="C984" s="7" t="str">
        <f t="shared" si="6"/>
        <v>🔊</v>
      </c>
      <c r="D984" s="8" t="s">
        <v>9498</v>
      </c>
      <c r="E984" s="6" t="s">
        <v>13</v>
      </c>
      <c r="F984" s="12" t="str">
        <f>IFERROR(__xludf.DUMMYFUNCTION("GOOGLETRANSLATE(B984,""zh_cn"",""vi"")"),"Sản xuất")</f>
        <v>Sản xuất</v>
      </c>
      <c r="G984" s="20" t="s">
        <v>9499</v>
      </c>
      <c r="H984" s="6"/>
      <c r="I984" s="11" t="b">
        <f t="shared" si="2"/>
        <v>0</v>
      </c>
      <c r="J984" s="24"/>
      <c r="K984" s="11" t="b">
        <f t="shared" si="3"/>
        <v>0</v>
      </c>
    </row>
    <row r="985" ht="22.5" customHeight="1">
      <c r="A985" s="12">
        <f t="shared" si="4"/>
        <v>2983</v>
      </c>
      <c r="B985" s="30" t="s">
        <v>9500</v>
      </c>
      <c r="C985" s="7" t="str">
        <f t="shared" si="6"/>
        <v>🔊</v>
      </c>
      <c r="D985" s="8" t="s">
        <v>9501</v>
      </c>
      <c r="E985" s="6" t="s">
        <v>13</v>
      </c>
      <c r="F985" s="12" t="str">
        <f>IFERROR(__xludf.DUMMYFUNCTION("GOOGLETRANSLATE(B985,""zh_cn"",""vi"")"),"Tồn tại")</f>
        <v>Tồn tại</v>
      </c>
      <c r="G985" s="20" t="s">
        <v>9502</v>
      </c>
      <c r="H985" s="6"/>
      <c r="I985" s="11" t="b">
        <f t="shared" si="2"/>
        <v>0</v>
      </c>
      <c r="J985" s="24"/>
      <c r="K985" s="11" t="b">
        <f t="shared" si="3"/>
        <v>0</v>
      </c>
    </row>
    <row r="986" ht="22.5" customHeight="1">
      <c r="A986" s="12">
        <f t="shared" si="4"/>
        <v>2984</v>
      </c>
      <c r="B986" s="30" t="s">
        <v>9503</v>
      </c>
      <c r="C986" s="7" t="str">
        <f t="shared" si="6"/>
        <v>🔊</v>
      </c>
      <c r="D986" s="8" t="s">
        <v>9504</v>
      </c>
      <c r="E986" s="6" t="s">
        <v>99</v>
      </c>
      <c r="F986" s="12" t="str">
        <f>IFERROR(__xludf.DUMMYFUNCTION("GOOGLETRANSLATE(B986,""zh_cn"",""vi"")"),"sống động")</f>
        <v>sống động</v>
      </c>
      <c r="G986" s="20" t="s">
        <v>9505</v>
      </c>
      <c r="H986" s="6"/>
      <c r="I986" s="11" t="b">
        <f t="shared" si="2"/>
        <v>0</v>
      </c>
      <c r="J986" s="24"/>
      <c r="K986" s="11" t="b">
        <f t="shared" si="3"/>
        <v>0</v>
      </c>
    </row>
    <row r="987" ht="22.5" customHeight="1">
      <c r="A987" s="12">
        <f t="shared" si="4"/>
        <v>2985</v>
      </c>
      <c r="B987" s="30" t="s">
        <v>9506</v>
      </c>
      <c r="C987" s="7" t="str">
        <f t="shared" si="6"/>
        <v>🔊</v>
      </c>
      <c r="D987" s="8" t="s">
        <v>9507</v>
      </c>
      <c r="E987" s="6" t="s">
        <v>27</v>
      </c>
      <c r="F987" s="12" t="str">
        <f>IFERROR(__xludf.DUMMYFUNCTION("GOOGLETRANSLATE(B987,""zh_cn"",""vi"")"),"tỉnh")</f>
        <v>tỉnh</v>
      </c>
      <c r="G987" s="20" t="s">
        <v>9508</v>
      </c>
      <c r="H987" s="6"/>
      <c r="I987" s="11" t="b">
        <f t="shared" si="2"/>
        <v>0</v>
      </c>
      <c r="J987" s="24"/>
      <c r="K987" s="11" t="b">
        <f t="shared" si="3"/>
        <v>0</v>
      </c>
    </row>
    <row r="988" ht="22.5" customHeight="1">
      <c r="A988" s="12">
        <f t="shared" si="4"/>
        <v>2986</v>
      </c>
      <c r="B988" s="30" t="s">
        <v>9509</v>
      </c>
      <c r="C988" s="7" t="str">
        <f t="shared" si="6"/>
        <v>🔊</v>
      </c>
      <c r="D988" s="8" t="s">
        <v>9510</v>
      </c>
      <c r="E988" s="6" t="s">
        <v>27</v>
      </c>
      <c r="F988" s="12" t="str">
        <f>IFERROR(__xludf.DUMMYFUNCTION("GOOGLETRANSLATE(B988,""zh_cn"",""vi"")"),"thủ phủ tỉnh")</f>
        <v>thủ phủ tỉnh</v>
      </c>
      <c r="G988" s="20" t="s">
        <v>9511</v>
      </c>
      <c r="H988" s="6"/>
      <c r="I988" s="11" t="b">
        <f t="shared" si="2"/>
        <v>0</v>
      </c>
      <c r="J988" s="24"/>
      <c r="K988" s="11" t="b">
        <f t="shared" si="3"/>
        <v>0</v>
      </c>
    </row>
    <row r="989" ht="22.5" customHeight="1">
      <c r="A989" s="12">
        <f t="shared" si="4"/>
        <v>2987</v>
      </c>
      <c r="B989" s="30" t="s">
        <v>9512</v>
      </c>
      <c r="C989" s="7" t="str">
        <f t="shared" si="6"/>
        <v>🔊</v>
      </c>
      <c r="D989" s="8" t="s">
        <v>9513</v>
      </c>
      <c r="E989" s="6" t="s">
        <v>13</v>
      </c>
      <c r="F989" s="12" t="str">
        <f>IFERROR(__xludf.DUMMYFUNCTION("GOOGLETRANSLATE(B989,""zh_cn"",""vi"")"),"nâng cấp")</f>
        <v>nâng cấp</v>
      </c>
      <c r="G989" s="20" t="s">
        <v>9514</v>
      </c>
      <c r="H989" s="6"/>
      <c r="I989" s="11" t="b">
        <f t="shared" si="2"/>
        <v>0</v>
      </c>
      <c r="J989" s="24"/>
      <c r="K989" s="11" t="b">
        <f t="shared" si="3"/>
        <v>0</v>
      </c>
    </row>
    <row r="990" ht="22.5" customHeight="1">
      <c r="A990" s="12">
        <f t="shared" si="4"/>
        <v>2988</v>
      </c>
      <c r="B990" s="30" t="s">
        <v>9515</v>
      </c>
      <c r="C990" s="7" t="str">
        <f t="shared" si="6"/>
        <v>🔊</v>
      </c>
      <c r="D990" s="8" t="s">
        <v>9516</v>
      </c>
      <c r="E990" s="6" t="s">
        <v>13</v>
      </c>
      <c r="F990" s="12" t="str">
        <f>IFERROR(__xludf.DUMMYFUNCTION("GOOGLETRANSLATE(B990,""zh_cn"",""vi"")"),"chiến thắng")</f>
        <v>chiến thắng</v>
      </c>
      <c r="G990" s="20" t="s">
        <v>9517</v>
      </c>
      <c r="H990" s="6"/>
      <c r="I990" s="11" t="b">
        <f t="shared" si="2"/>
        <v>0</v>
      </c>
      <c r="J990" s="24"/>
      <c r="K990" s="11" t="b">
        <f t="shared" si="3"/>
        <v>0</v>
      </c>
    </row>
    <row r="991" ht="22.5" customHeight="1">
      <c r="A991" s="12">
        <f t="shared" si="4"/>
        <v>2989</v>
      </c>
      <c r="B991" s="30" t="s">
        <v>9518</v>
      </c>
      <c r="C991" s="7" t="str">
        <f t="shared" si="6"/>
        <v>🔊</v>
      </c>
      <c r="D991" s="8" t="s">
        <v>9519</v>
      </c>
      <c r="E991" s="6" t="s">
        <v>13</v>
      </c>
      <c r="F991" s="12" t="str">
        <f>IFERROR(__xludf.DUMMYFUNCTION("GOOGLETRANSLATE(B991,""zh_cn"",""vi"")"),"sưởi ấm")</f>
        <v>sưởi ấm</v>
      </c>
      <c r="G991" s="20" t="s">
        <v>9520</v>
      </c>
      <c r="H991" s="6"/>
      <c r="I991" s="11" t="b">
        <f t="shared" si="2"/>
        <v>0</v>
      </c>
      <c r="J991" s="24"/>
      <c r="K991" s="11" t="b">
        <f t="shared" si="3"/>
        <v>0</v>
      </c>
    </row>
    <row r="992" ht="22.5" customHeight="1">
      <c r="A992" s="12">
        <f t="shared" si="4"/>
        <v>2990</v>
      </c>
      <c r="B992" s="30" t="s">
        <v>9521</v>
      </c>
      <c r="C992" s="7" t="str">
        <f t="shared" si="6"/>
        <v>🔊</v>
      </c>
      <c r="D992" s="8" t="s">
        <v>9522</v>
      </c>
      <c r="E992" s="6" t="s">
        <v>27</v>
      </c>
      <c r="F992" s="12" t="str">
        <f>IFERROR(__xludf.DUMMYFUNCTION("GOOGLETRANSLATE(B992,""zh_cn"",""vi"")"),"sinh vật học")</f>
        <v>sinh vật học</v>
      </c>
      <c r="G992" s="20" t="s">
        <v>9523</v>
      </c>
      <c r="H992" s="6"/>
      <c r="I992" s="11" t="b">
        <f t="shared" si="2"/>
        <v>0</v>
      </c>
      <c r="J992" s="24"/>
      <c r="K992" s="11" t="b">
        <f t="shared" si="3"/>
        <v>0</v>
      </c>
    </row>
    <row r="993" ht="22.5" customHeight="1">
      <c r="A993" s="12">
        <f t="shared" si="4"/>
        <v>2991</v>
      </c>
      <c r="B993" s="30" t="s">
        <v>9524</v>
      </c>
      <c r="C993" s="7" t="str">
        <f t="shared" si="6"/>
        <v>🔊</v>
      </c>
      <c r="D993" s="8" t="s">
        <v>9525</v>
      </c>
      <c r="E993" s="6" t="s">
        <v>27</v>
      </c>
      <c r="F993" s="12" t="str">
        <f>IFERROR(__xludf.DUMMYFUNCTION("GOOGLETRANSLATE(B993,""zh_cn"",""vi"")"),"12 con giáp Trung Quốc")</f>
        <v>12 con giáp Trung Quốc</v>
      </c>
      <c r="G993" s="20" t="s">
        <v>9526</v>
      </c>
      <c r="H993" s="6"/>
      <c r="I993" s="11" t="b">
        <f t="shared" si="2"/>
        <v>0</v>
      </c>
      <c r="J993" s="24"/>
      <c r="K993" s="11" t="b">
        <f t="shared" si="3"/>
        <v>0</v>
      </c>
    </row>
    <row r="994" ht="22.5" customHeight="1">
      <c r="A994" s="12">
        <f t="shared" si="4"/>
        <v>2992</v>
      </c>
      <c r="B994" s="30" t="s">
        <v>9527</v>
      </c>
      <c r="C994" s="7" t="str">
        <f t="shared" si="6"/>
        <v>🔊</v>
      </c>
      <c r="D994" s="8" t="s">
        <v>9528</v>
      </c>
      <c r="E994" s="6" t="s">
        <v>13</v>
      </c>
      <c r="F994" s="12" t="str">
        <f>IFERROR(__xludf.DUMMYFUNCTION("GOOGLETRANSLATE(B994,""zh_cn"",""vi"")"),"sự phát triển")</f>
        <v>sự phát triển</v>
      </c>
      <c r="G994" s="20" t="s">
        <v>9529</v>
      </c>
      <c r="H994" s="6"/>
      <c r="I994" s="11" t="b">
        <f t="shared" si="2"/>
        <v>0</v>
      </c>
      <c r="J994" s="24"/>
      <c r="K994" s="11" t="b">
        <f t="shared" si="3"/>
        <v>0</v>
      </c>
    </row>
    <row r="995" ht="22.5" customHeight="1">
      <c r="A995" s="12">
        <f t="shared" si="4"/>
        <v>2993</v>
      </c>
      <c r="B995" s="30" t="s">
        <v>9530</v>
      </c>
      <c r="C995" s="7" t="str">
        <f t="shared" si="6"/>
        <v>🔊</v>
      </c>
      <c r="D995" s="8" t="s">
        <v>9531</v>
      </c>
      <c r="E995" s="6" t="s">
        <v>99</v>
      </c>
      <c r="F995" s="12" t="str">
        <f>IFERROR(__xludf.DUMMYFUNCTION("GOOGLETRANSLATE(B995,""zh_cn"",""vi"")"),"sâu")</f>
        <v>sâu</v>
      </c>
      <c r="G995" s="20" t="s">
        <v>9532</v>
      </c>
      <c r="H995" s="6"/>
      <c r="I995" s="11" t="b">
        <f t="shared" si="2"/>
        <v>0</v>
      </c>
      <c r="J995" s="24"/>
      <c r="K995" s="11" t="b">
        <f t="shared" si="3"/>
        <v>0</v>
      </c>
    </row>
    <row r="996" ht="22.5" customHeight="1">
      <c r="A996" s="12">
        <f t="shared" si="4"/>
        <v>2994</v>
      </c>
      <c r="B996" s="30" t="s">
        <v>9533</v>
      </c>
      <c r="C996" s="7" t="str">
        <f t="shared" si="6"/>
        <v>🔊</v>
      </c>
      <c r="D996" s="8" t="s">
        <v>9534</v>
      </c>
      <c r="E996" s="6" t="s">
        <v>27</v>
      </c>
      <c r="F996" s="12" t="str">
        <f>IFERROR(__xludf.DUMMYFUNCTION("GOOGLETRANSLATE(B996,""zh_cn"",""vi"")"),"thần thoại")</f>
        <v>thần thoại</v>
      </c>
      <c r="G996" s="20" t="s">
        <v>9535</v>
      </c>
      <c r="H996" s="6"/>
      <c r="I996" s="11" t="b">
        <f t="shared" si="2"/>
        <v>0</v>
      </c>
      <c r="J996" s="24"/>
      <c r="K996" s="11" t="b">
        <f t="shared" si="3"/>
        <v>0</v>
      </c>
    </row>
    <row r="997" ht="22.5" customHeight="1">
      <c r="A997" s="12">
        <f t="shared" si="4"/>
        <v>2995</v>
      </c>
      <c r="B997" s="30" t="s">
        <v>9536</v>
      </c>
      <c r="C997" s="7" t="str">
        <f t="shared" si="6"/>
        <v>🔊</v>
      </c>
      <c r="D997" s="8" t="s">
        <v>9537</v>
      </c>
      <c r="E997" s="6" t="s">
        <v>99</v>
      </c>
      <c r="F997" s="12" t="str">
        <f>IFERROR(__xludf.DUMMYFUNCTION("GOOGLETRANSLATE(B997,""zh_cn"",""vi"")"),"sâu")</f>
        <v>sâu</v>
      </c>
      <c r="G997" s="20" t="s">
        <v>9538</v>
      </c>
      <c r="H997" s="6"/>
      <c r="I997" s="11" t="b">
        <f t="shared" si="2"/>
        <v>0</v>
      </c>
      <c r="J997" s="24"/>
      <c r="K997" s="11" t="b">
        <f t="shared" si="3"/>
        <v>0</v>
      </c>
    </row>
    <row r="998" ht="22.5" customHeight="1">
      <c r="A998" s="12">
        <f t="shared" si="4"/>
        <v>2996</v>
      </c>
      <c r="B998" s="30" t="s">
        <v>9539</v>
      </c>
      <c r="C998" s="7" t="str">
        <f t="shared" si="6"/>
        <v>🔊</v>
      </c>
      <c r="D998" s="8" t="s">
        <v>9540</v>
      </c>
      <c r="E998" s="6" t="s">
        <v>99</v>
      </c>
      <c r="F998" s="12" t="str">
        <f>IFERROR(__xludf.DUMMYFUNCTION("GOOGLETRANSLATE(B998,""zh_cn"",""vi"")"),"bí ẩn")</f>
        <v>bí ẩn</v>
      </c>
      <c r="G998" s="20" t="s">
        <v>9541</v>
      </c>
      <c r="H998" s="6"/>
      <c r="I998" s="11" t="b">
        <f t="shared" si="2"/>
        <v>0</v>
      </c>
      <c r="J998" s="24"/>
      <c r="K998" s="11" t="b">
        <f t="shared" si="3"/>
        <v>0</v>
      </c>
    </row>
    <row r="999" ht="22.5" customHeight="1">
      <c r="A999" s="12">
        <f t="shared" si="4"/>
        <v>2997</v>
      </c>
      <c r="B999" s="30" t="s">
        <v>9542</v>
      </c>
      <c r="C999" s="7" t="str">
        <f t="shared" si="6"/>
        <v>🔊</v>
      </c>
      <c r="D999" s="8" t="s">
        <v>9543</v>
      </c>
      <c r="E999" s="6" t="s">
        <v>368</v>
      </c>
      <c r="F999" s="12" t="str">
        <f>IFERROR(__xludf.DUMMYFUNCTION("GOOGLETRANSLATE(B999,""zh_cn"",""vi"")"),"Chi tiết")</f>
        <v>Chi tiết</v>
      </c>
      <c r="G999" s="20" t="s">
        <v>9544</v>
      </c>
      <c r="H999" s="6"/>
      <c r="I999" s="11" t="b">
        <f t="shared" si="2"/>
        <v>0</v>
      </c>
      <c r="J999" s="24"/>
      <c r="K999" s="11" t="b">
        <f t="shared" si="3"/>
        <v>0</v>
      </c>
    </row>
    <row r="1000" ht="22.5" customHeight="1">
      <c r="A1000" s="12">
        <f t="shared" si="4"/>
        <v>2998</v>
      </c>
      <c r="B1000" s="30" t="s">
        <v>9545</v>
      </c>
      <c r="C1000" s="7" t="str">
        <f t="shared" si="6"/>
        <v>🔊</v>
      </c>
      <c r="D1000" s="8" t="s">
        <v>9546</v>
      </c>
      <c r="E1000" s="6" t="s">
        <v>99</v>
      </c>
      <c r="F1000" s="12" t="str">
        <f>IFERROR(__xludf.DUMMYFUNCTION("GOOGLETRANSLATE(B1000,""zh_cn"",""vi"")"),"Sâu")</f>
        <v>Sâu</v>
      </c>
      <c r="G1000" s="20" t="s">
        <v>9547</v>
      </c>
      <c r="H1000" s="6"/>
      <c r="I1000" s="11" t="b">
        <f t="shared" si="2"/>
        <v>0</v>
      </c>
      <c r="J1000" s="24"/>
      <c r="K1000" s="11" t="b">
        <f t="shared" si="3"/>
        <v>0</v>
      </c>
    </row>
    <row r="1001" ht="22.5" customHeight="1">
      <c r="A1001" s="12">
        <f t="shared" si="4"/>
        <v>2999</v>
      </c>
      <c r="B1001" s="30" t="s">
        <v>9548</v>
      </c>
      <c r="C1001" s="7" t="str">
        <f t="shared" si="6"/>
        <v>🔊</v>
      </c>
      <c r="D1001" s="8" t="s">
        <v>9549</v>
      </c>
      <c r="E1001" s="6" t="s">
        <v>27</v>
      </c>
      <c r="F1001" s="12" t="str">
        <f>IFERROR(__xludf.DUMMYFUNCTION("GOOGLETRANSLATE(B1001,""zh_cn"",""vi"")"),"Cộng đồng")</f>
        <v>Cộng đồng</v>
      </c>
      <c r="G1001" s="20" t="s">
        <v>9550</v>
      </c>
      <c r="H1001" s="6"/>
      <c r="I1001" s="11" t="b">
        <f t="shared" si="2"/>
        <v>0</v>
      </c>
      <c r="J1001" s="24"/>
      <c r="K1001" s="11" t="b">
        <f t="shared" si="3"/>
        <v>0</v>
      </c>
    </row>
    <row r="1002" ht="22.5" customHeight="1">
      <c r="A1002" s="12">
        <f t="shared" si="4"/>
        <v>3000</v>
      </c>
      <c r="B1002" s="30" t="s">
        <v>9551</v>
      </c>
      <c r="C1002" s="7" t="str">
        <f t="shared" si="6"/>
        <v>🔊</v>
      </c>
      <c r="D1002" s="8" t="s">
        <v>9552</v>
      </c>
      <c r="E1002" s="6" t="s">
        <v>27</v>
      </c>
      <c r="F1002" s="12" t="str">
        <f>IFERROR(__xludf.DUMMYFUNCTION("GOOGLETRANSLATE(B1002,""zh_cn"",""vi"")"),"cơ sở")</f>
        <v>cơ sở</v>
      </c>
      <c r="G1002" s="20" t="s">
        <v>9553</v>
      </c>
      <c r="H1002" s="6"/>
      <c r="I1002" s="11" t="b">
        <f t="shared" si="2"/>
        <v>0</v>
      </c>
      <c r="J1002" s="24"/>
      <c r="K1002" s="11" t="b">
        <f t="shared" si="3"/>
        <v>0</v>
      </c>
    </row>
    <row r="1003" ht="22.5" customHeight="1">
      <c r="A1003" s="12">
        <f t="shared" si="4"/>
        <v>3001</v>
      </c>
      <c r="B1003" s="30" t="s">
        <v>9554</v>
      </c>
      <c r="C1003" s="7" t="str">
        <f t="shared" si="6"/>
        <v>🔊</v>
      </c>
      <c r="D1003" s="8" t="s">
        <v>9555</v>
      </c>
      <c r="E1003" s="6" t="s">
        <v>13</v>
      </c>
      <c r="F1003" s="12" t="str">
        <f>IFERROR(__xludf.DUMMYFUNCTION("GOOGLETRANSLATE(B1003,""zh_cn"",""vi"")"),"nhiếp ảnh")</f>
        <v>nhiếp ảnh</v>
      </c>
      <c r="G1003" s="20" t="s">
        <v>9556</v>
      </c>
      <c r="H1003" s="6"/>
      <c r="I1003" s="11" t="b">
        <f t="shared" si="2"/>
        <v>0</v>
      </c>
      <c r="J1003" s="24"/>
      <c r="K1003" s="11" t="b">
        <f t="shared" si="3"/>
        <v>0</v>
      </c>
    </row>
    <row r="1004" ht="22.5" customHeight="1">
      <c r="A1004" s="12">
        <f t="shared" si="4"/>
        <v>3002</v>
      </c>
      <c r="B1004" s="30" t="s">
        <v>9557</v>
      </c>
      <c r="C1004" s="7" t="str">
        <f t="shared" si="6"/>
        <v>🔊</v>
      </c>
      <c r="D1004" s="8" t="s">
        <v>9558</v>
      </c>
      <c r="E1004" s="6" t="s">
        <v>13</v>
      </c>
      <c r="F1004" s="12" t="str">
        <f>IFERROR(__xludf.DUMMYFUNCTION("GOOGLETRANSLATE(B1004,""zh_cn"",""vi"")"),"cài đặt")</f>
        <v>cài đặt</v>
      </c>
      <c r="G1004" s="20" t="s">
        <v>9559</v>
      </c>
      <c r="H1004" s="6"/>
      <c r="I1004" s="11" t="b">
        <f t="shared" si="2"/>
        <v>0</v>
      </c>
      <c r="J1004" s="24"/>
      <c r="K1004" s="11" t="b">
        <f t="shared" si="3"/>
        <v>0</v>
      </c>
    </row>
    <row r="1005" ht="22.5" customHeight="1">
      <c r="A1005" s="12">
        <f t="shared" si="4"/>
        <v>3003</v>
      </c>
      <c r="B1005" s="30" t="s">
        <v>9560</v>
      </c>
      <c r="C1005" s="7" t="str">
        <f t="shared" si="6"/>
        <v>🔊</v>
      </c>
      <c r="D1005" s="8" t="s">
        <v>641</v>
      </c>
      <c r="E1005" s="6" t="s">
        <v>437</v>
      </c>
      <c r="F1005" s="12" t="str">
        <f>IFERROR(__xludf.DUMMYFUNCTION("GOOGLETRANSLATE(B1005,""zh_cn"",""vi"")"),"Cách thức")</f>
        <v>Cách thức</v>
      </c>
      <c r="G1005" s="20" t="s">
        <v>9561</v>
      </c>
      <c r="H1005" s="6"/>
      <c r="I1005" s="11" t="b">
        <f t="shared" si="2"/>
        <v>0</v>
      </c>
      <c r="J1005" s="24"/>
      <c r="K1005" s="11" t="b">
        <f t="shared" si="3"/>
        <v>0</v>
      </c>
    </row>
    <row r="1006" ht="22.5" customHeight="1">
      <c r="A1006" s="12">
        <f t="shared" si="4"/>
        <v>3004</v>
      </c>
      <c r="B1006" s="30" t="s">
        <v>9562</v>
      </c>
      <c r="C1006" s="7" t="str">
        <f t="shared" si="6"/>
        <v>🔊</v>
      </c>
      <c r="D1006" s="8" t="s">
        <v>9563</v>
      </c>
      <c r="E1006" s="6" t="s">
        <v>27</v>
      </c>
      <c r="F1006" s="12" t="str">
        <f>IFERROR(__xludf.DUMMYFUNCTION("GOOGLETRANSLATE(B1006,""zh_cn"",""vi"")"),"thơ")</f>
        <v>thơ</v>
      </c>
      <c r="G1006" s="20" t="s">
        <v>9564</v>
      </c>
      <c r="H1006" s="6"/>
      <c r="I1006" s="11" t="b">
        <f t="shared" si="2"/>
        <v>0</v>
      </c>
      <c r="J1006" s="24"/>
      <c r="K1006" s="11" t="b">
        <f t="shared" si="3"/>
        <v>0</v>
      </c>
    </row>
    <row r="1007" ht="22.5" customHeight="1">
      <c r="A1007" s="12">
        <f t="shared" si="4"/>
        <v>3005</v>
      </c>
      <c r="B1007" s="30" t="s">
        <v>9565</v>
      </c>
      <c r="C1007" s="7" t="str">
        <f t="shared" si="6"/>
        <v>🔊</v>
      </c>
      <c r="D1007" s="8" t="s">
        <v>9563</v>
      </c>
      <c r="E1007" s="6" t="s">
        <v>99</v>
      </c>
      <c r="F1007" s="12" t="str">
        <f>IFERROR(__xludf.DUMMYFUNCTION("GOOGLETRANSLATE(B1007,""zh_cn"",""vi"")"),"ướt")</f>
        <v>ướt</v>
      </c>
      <c r="G1007" s="20" t="s">
        <v>9566</v>
      </c>
      <c r="H1007" s="6"/>
      <c r="I1007" s="11" t="b">
        <f t="shared" si="2"/>
        <v>0</v>
      </c>
      <c r="J1007" s="24"/>
      <c r="K1007" s="11" t="b">
        <f t="shared" si="3"/>
        <v>0</v>
      </c>
    </row>
    <row r="1008" ht="22.5" customHeight="1">
      <c r="A1008" s="12">
        <f t="shared" si="4"/>
        <v>3006</v>
      </c>
      <c r="B1008" s="30" t="s">
        <v>9567</v>
      </c>
      <c r="C1008" s="7" t="str">
        <f t="shared" si="6"/>
        <v>🔊</v>
      </c>
      <c r="D1008" s="8" t="s">
        <v>9568</v>
      </c>
      <c r="E1008" s="6" t="s">
        <v>27</v>
      </c>
      <c r="F1008" s="12" t="str">
        <f>IFERROR(__xludf.DUMMYFUNCTION("GOOGLETRANSLATE(B1008,""zh_cn"",""vi"")"),"say máy bay")</f>
        <v>say máy bay</v>
      </c>
      <c r="G1008" s="20" t="s">
        <v>9569</v>
      </c>
      <c r="H1008" s="6"/>
      <c r="I1008" s="11" t="b">
        <f t="shared" si="2"/>
        <v>0</v>
      </c>
      <c r="J1008" s="24"/>
      <c r="K1008" s="11" t="b">
        <f t="shared" si="3"/>
        <v>0</v>
      </c>
    </row>
    <row r="1009" ht="22.5" customHeight="1">
      <c r="A1009" s="12">
        <f t="shared" si="4"/>
        <v>3007</v>
      </c>
      <c r="B1009" s="30" t="s">
        <v>9570</v>
      </c>
      <c r="C1009" s="7" t="str">
        <f t="shared" si="6"/>
        <v>🔊</v>
      </c>
      <c r="D1009" s="8" t="s">
        <v>9571</v>
      </c>
      <c r="E1009" s="6" t="s">
        <v>61</v>
      </c>
      <c r="F1009" s="12" t="str">
        <f>IFERROR(__xludf.DUMMYFUNCTION("GOOGLETRANSLATE(B1009,""zh_cn"",""vi"")"),"thường")</f>
        <v>thường</v>
      </c>
      <c r="G1009" s="20" t="s">
        <v>9572</v>
      </c>
      <c r="H1009" s="6"/>
      <c r="I1009" s="11" t="b">
        <f t="shared" si="2"/>
        <v>0</v>
      </c>
      <c r="J1009" s="24"/>
      <c r="K1009" s="11" t="b">
        <f t="shared" si="3"/>
        <v>0</v>
      </c>
    </row>
    <row r="1010" ht="22.5" customHeight="1">
      <c r="A1010" s="12">
        <f t="shared" si="4"/>
        <v>3008</v>
      </c>
      <c r="B1010" s="30" t="s">
        <v>9573</v>
      </c>
      <c r="C1010" s="7" t="str">
        <f t="shared" si="6"/>
        <v>🔊</v>
      </c>
      <c r="D1010" s="8" t="s">
        <v>9574</v>
      </c>
      <c r="E1010" s="6" t="s">
        <v>27</v>
      </c>
      <c r="F1010" s="12" t="str">
        <f>IFERROR(__xludf.DUMMYFUNCTION("GOOGLETRANSLATE(B1010,""zh_cn"",""vi"")"),"kỷ nguyên")</f>
        <v>kỷ nguyên</v>
      </c>
      <c r="G1010" s="20" t="s">
        <v>9575</v>
      </c>
      <c r="H1010" s="6"/>
      <c r="I1010" s="11" t="b">
        <f t="shared" si="2"/>
        <v>0</v>
      </c>
      <c r="J1010" s="24"/>
      <c r="K1010" s="11" t="b">
        <f t="shared" si="3"/>
        <v>0</v>
      </c>
    </row>
    <row r="1011" ht="22.5" customHeight="1">
      <c r="A1011" s="12">
        <f t="shared" si="4"/>
        <v>3009</v>
      </c>
      <c r="B1011" s="30" t="s">
        <v>9576</v>
      </c>
      <c r="C1011" s="7" t="str">
        <f t="shared" si="6"/>
        <v>🔊</v>
      </c>
      <c r="D1011" s="8" t="s">
        <v>9577</v>
      </c>
      <c r="E1011" s="6" t="s">
        <v>99</v>
      </c>
      <c r="F1011" s="12" t="str">
        <f>IFERROR(__xludf.DUMMYFUNCTION("GOOGLETRANSLATE(B1011,""zh_cn"",""vi"")"),"phù hợp")</f>
        <v>phù hợp</v>
      </c>
      <c r="G1011" s="20" t="s">
        <v>9578</v>
      </c>
      <c r="H1011" s="6"/>
      <c r="I1011" s="11" t="b">
        <f t="shared" si="2"/>
        <v>0</v>
      </c>
      <c r="J1011" s="24"/>
      <c r="K1011" s="11" t="b">
        <f t="shared" si="3"/>
        <v>0</v>
      </c>
    </row>
    <row r="1012" ht="22.5" customHeight="1">
      <c r="A1012" s="12">
        <f t="shared" si="4"/>
        <v>3010</v>
      </c>
      <c r="B1012" s="30" t="s">
        <v>9579</v>
      </c>
      <c r="C1012" s="7" t="str">
        <f t="shared" si="6"/>
        <v>🔊</v>
      </c>
      <c r="D1012" s="8" t="s">
        <v>9580</v>
      </c>
      <c r="E1012" s="6" t="s">
        <v>18</v>
      </c>
      <c r="F1012" s="12" t="str">
        <f>IFERROR(__xludf.DUMMYFUNCTION("GOOGLETRANSLATE(B1012,""zh_cn"",""vi"")"),"Giống")</f>
        <v>Giống</v>
      </c>
      <c r="G1012" s="20" t="s">
        <v>9581</v>
      </c>
      <c r="H1012" s="6"/>
      <c r="I1012" s="11" t="b">
        <f t="shared" si="2"/>
        <v>0</v>
      </c>
      <c r="J1012" s="24"/>
      <c r="K1012" s="11" t="b">
        <f t="shared" si="3"/>
        <v>0</v>
      </c>
    </row>
    <row r="1013" ht="22.5" customHeight="1">
      <c r="A1013" s="12">
        <f t="shared" si="4"/>
        <v>3011</v>
      </c>
      <c r="B1013" s="30" t="s">
        <v>9582</v>
      </c>
      <c r="C1013" s="7" t="str">
        <f t="shared" si="6"/>
        <v>🔊</v>
      </c>
      <c r="D1013" s="8" t="s">
        <v>9583</v>
      </c>
      <c r="E1013" s="6" t="s">
        <v>13</v>
      </c>
      <c r="F1013" s="12" t="str">
        <f>IFERROR(__xludf.DUMMYFUNCTION("GOOGLETRANSLATE(B1013,""zh_cn"",""vi"")"),"Làm")</f>
        <v>Làm</v>
      </c>
      <c r="G1013" s="20" t="s">
        <v>9584</v>
      </c>
      <c r="H1013" s="6"/>
      <c r="I1013" s="11" t="b">
        <f t="shared" si="2"/>
        <v>0</v>
      </c>
      <c r="J1013" s="24"/>
      <c r="K1013" s="11" t="b">
        <f t="shared" si="3"/>
        <v>0</v>
      </c>
    </row>
    <row r="1014" ht="22.5" customHeight="1">
      <c r="A1014" s="12">
        <f t="shared" si="4"/>
        <v>3012</v>
      </c>
      <c r="B1014" s="30" t="s">
        <v>9585</v>
      </c>
      <c r="C1014" s="7" t="str">
        <f t="shared" si="6"/>
        <v>🔊</v>
      </c>
      <c r="D1014" s="8" t="s">
        <v>9586</v>
      </c>
      <c r="E1014" s="6" t="s">
        <v>27</v>
      </c>
      <c r="F1014" s="12" t="str">
        <f>IFERROR(__xludf.DUMMYFUNCTION("GOOGLETRANSLATE(B1014,""zh_cn"",""vi"")"),"TAI NẠN")</f>
        <v>TAI NẠN</v>
      </c>
      <c r="G1014" s="20" t="s">
        <v>9587</v>
      </c>
      <c r="H1014" s="6"/>
      <c r="I1014" s="11" t="b">
        <f t="shared" si="2"/>
        <v>0</v>
      </c>
      <c r="J1014" s="24"/>
      <c r="K1014" s="11" t="b">
        <f t="shared" si="3"/>
        <v>0</v>
      </c>
    </row>
    <row r="1015" ht="22.5" customHeight="1">
      <c r="A1015" s="12">
        <f t="shared" si="4"/>
        <v>3013</v>
      </c>
      <c r="B1015" s="30" t="s">
        <v>9588</v>
      </c>
      <c r="C1015" s="7" t="str">
        <f t="shared" si="6"/>
        <v>🔊</v>
      </c>
      <c r="D1015" s="8" t="s">
        <v>9589</v>
      </c>
      <c r="E1015" s="6" t="s">
        <v>13</v>
      </c>
      <c r="F1015" s="12" t="str">
        <f>IFERROR(__xludf.DUMMYFUNCTION("GOOGLETRANSLATE(B1015,""zh_cn"",""vi"")"),"luyện tập")</f>
        <v>luyện tập</v>
      </c>
      <c r="G1015" s="20" t="s">
        <v>9590</v>
      </c>
      <c r="H1015" s="6"/>
      <c r="I1015" s="11" t="b">
        <f t="shared" si="2"/>
        <v>0</v>
      </c>
      <c r="J1015" s="24"/>
      <c r="K1015" s="11" t="b">
        <f t="shared" si="3"/>
        <v>0</v>
      </c>
    </row>
    <row r="1016" ht="22.5" customHeight="1">
      <c r="A1016" s="12">
        <f t="shared" si="4"/>
        <v>3014</v>
      </c>
      <c r="B1016" s="30" t="s">
        <v>9591</v>
      </c>
      <c r="C1016" s="7" t="str">
        <f t="shared" si="6"/>
        <v>🔊</v>
      </c>
      <c r="D1016" s="8" t="s">
        <v>9592</v>
      </c>
      <c r="E1016" s="6" t="s">
        <v>27</v>
      </c>
      <c r="F1016" s="12" t="str">
        <f>IFERROR(__xludf.DUMMYFUNCTION("GOOGLETRANSLATE(B1016,""zh_cn"",""vi"")"),"sự kiện")</f>
        <v>sự kiện</v>
      </c>
      <c r="G1016" s="20" t="s">
        <v>9593</v>
      </c>
      <c r="H1016" s="6"/>
      <c r="I1016" s="11" t="b">
        <f t="shared" si="2"/>
        <v>0</v>
      </c>
      <c r="J1016" s="24"/>
      <c r="K1016" s="11" t="b">
        <f t="shared" si="3"/>
        <v>0</v>
      </c>
    </row>
    <row r="1017" ht="22.5" customHeight="1">
      <c r="A1017" s="12">
        <f t="shared" si="4"/>
        <v>3015</v>
      </c>
      <c r="B1017" s="30" t="s">
        <v>9594</v>
      </c>
      <c r="C1017" s="7" t="str">
        <f t="shared" si="6"/>
        <v>🔊</v>
      </c>
      <c r="D1017" s="8" t="s">
        <v>9595</v>
      </c>
      <c r="E1017" s="6" t="s">
        <v>27</v>
      </c>
      <c r="F1017" s="12" t="str">
        <f>IFERROR(__xludf.DUMMYFUNCTION("GOOGLETRANSLATE(B1017,""zh_cn"",""vi"")"),"Bài kiểm tra")</f>
        <v>Bài kiểm tra</v>
      </c>
      <c r="G1017" s="20" t="s">
        <v>9596</v>
      </c>
      <c r="H1017" s="6"/>
      <c r="I1017" s="11" t="b">
        <f t="shared" si="2"/>
        <v>0</v>
      </c>
      <c r="J1017" s="24"/>
      <c r="K1017" s="11" t="b">
        <f t="shared" si="3"/>
        <v>0</v>
      </c>
    </row>
    <row r="1018" ht="22.5" customHeight="1">
      <c r="A1018" s="12">
        <f t="shared" si="4"/>
        <v>3016</v>
      </c>
      <c r="B1018" s="30" t="s">
        <v>9597</v>
      </c>
      <c r="C1018" s="7" t="str">
        <f t="shared" si="6"/>
        <v>🔊</v>
      </c>
      <c r="D1018" s="8" t="s">
        <v>9598</v>
      </c>
      <c r="E1018" s="6" t="s">
        <v>3089</v>
      </c>
      <c r="F1018" s="12" t="str">
        <f>IFERROR(__xludf.DUMMYFUNCTION("GOOGLETRANSLATE(B1018,""zh_cn"",""vi"")"),"thời gian")</f>
        <v>thời gian</v>
      </c>
      <c r="G1018" s="20" t="s">
        <v>9599</v>
      </c>
      <c r="H1018" s="6"/>
      <c r="I1018" s="11" t="b">
        <f t="shared" si="2"/>
        <v>0</v>
      </c>
      <c r="J1018" s="24"/>
      <c r="K1018" s="11" t="b">
        <f t="shared" si="3"/>
        <v>0</v>
      </c>
    </row>
    <row r="1019" ht="22.5" customHeight="1">
      <c r="A1019" s="12">
        <f t="shared" si="4"/>
        <v>3017</v>
      </c>
      <c r="B1019" s="30" t="s">
        <v>9600</v>
      </c>
      <c r="C1019" s="7" t="str">
        <f t="shared" si="6"/>
        <v>🔊</v>
      </c>
      <c r="D1019" s="8" t="s">
        <v>9601</v>
      </c>
      <c r="E1019" s="6" t="s">
        <v>27</v>
      </c>
      <c r="F1019" s="12" t="str">
        <f>IFERROR(__xludf.DUMMYFUNCTION("GOOGLETRANSLATE(B1019,""zh_cn"",""vi"")"),"sức mạnh")</f>
        <v>sức mạnh</v>
      </c>
      <c r="G1019" s="20" t="s">
        <v>9602</v>
      </c>
      <c r="H1019" s="6"/>
      <c r="I1019" s="11" t="b">
        <f t="shared" si="2"/>
        <v>0</v>
      </c>
      <c r="J1019" s="24"/>
      <c r="K1019" s="11" t="b">
        <f t="shared" si="3"/>
        <v>0</v>
      </c>
    </row>
    <row r="1020" ht="22.5" customHeight="1">
      <c r="A1020" s="12">
        <f t="shared" si="4"/>
        <v>3018</v>
      </c>
      <c r="B1020" s="30" t="s">
        <v>9603</v>
      </c>
      <c r="C1020" s="7" t="str">
        <f t="shared" si="6"/>
        <v>🔊</v>
      </c>
      <c r="D1020" s="8" t="s">
        <v>9604</v>
      </c>
      <c r="E1020" s="6" t="s">
        <v>13</v>
      </c>
      <c r="F1020" s="12" t="str">
        <f>IFERROR(__xludf.DUMMYFUNCTION("GOOGLETRANSLATE(B1020,""zh_cn"",""vi"")"),"Đau lòng")</f>
        <v>Đau lòng</v>
      </c>
      <c r="G1020" s="20" t="s">
        <v>9605</v>
      </c>
      <c r="H1020" s="6"/>
      <c r="I1020" s="11" t="b">
        <f t="shared" si="2"/>
        <v>0</v>
      </c>
      <c r="J1020" s="24"/>
      <c r="K1020" s="11" t="b">
        <f t="shared" si="3"/>
        <v>0</v>
      </c>
    </row>
    <row r="1021" ht="22.5" customHeight="1">
      <c r="A1021" s="12">
        <f t="shared" si="4"/>
        <v>3019</v>
      </c>
      <c r="B1021" s="30" t="s">
        <v>9606</v>
      </c>
      <c r="C1021" s="7" t="str">
        <f t="shared" si="6"/>
        <v>🔊</v>
      </c>
      <c r="D1021" s="8" t="s">
        <v>9607</v>
      </c>
      <c r="E1021" s="6" t="s">
        <v>13</v>
      </c>
      <c r="F1021" s="12" t="str">
        <f>IFERROR(__xludf.DUMMYFUNCTION("GOOGLETRANSLATE(B1021,""zh_cn"",""vi"")"),"Mất ngủ")</f>
        <v>Mất ngủ</v>
      </c>
      <c r="G1021" s="20" t="s">
        <v>9608</v>
      </c>
      <c r="H1021" s="6"/>
      <c r="I1021" s="11" t="b">
        <f t="shared" si="2"/>
        <v>0</v>
      </c>
      <c r="J1021" s="24"/>
      <c r="K1021" s="11" t="b">
        <f t="shared" si="3"/>
        <v>0</v>
      </c>
    </row>
    <row r="1022" ht="22.5" customHeight="1">
      <c r="A1022" s="12">
        <f t="shared" si="4"/>
        <v>3020</v>
      </c>
      <c r="B1022" s="30" t="s">
        <v>9609</v>
      </c>
      <c r="C1022" s="7" t="str">
        <f t="shared" si="6"/>
        <v>🔊</v>
      </c>
      <c r="D1022" s="8" t="s">
        <v>9610</v>
      </c>
      <c r="E1022" s="6" t="s">
        <v>27</v>
      </c>
      <c r="F1022" s="12" t="str">
        <f>IFERROR(__xludf.DUMMYFUNCTION("GOOGLETRANSLATE(B1022,""zh_cn"",""vi"")"),"Công dân")</f>
        <v>Công dân</v>
      </c>
      <c r="G1022" s="20" t="s">
        <v>9611</v>
      </c>
      <c r="H1022" s="6"/>
      <c r="I1022" s="11" t="b">
        <f t="shared" si="2"/>
        <v>0</v>
      </c>
      <c r="J1022" s="24"/>
      <c r="K1022" s="11" t="b">
        <f t="shared" si="3"/>
        <v>0</v>
      </c>
    </row>
    <row r="1023" ht="22.5" customHeight="1">
      <c r="A1023" s="12">
        <f t="shared" si="4"/>
        <v>3021</v>
      </c>
      <c r="B1023" s="30" t="s">
        <v>9612</v>
      </c>
      <c r="C1023" s="7" t="str">
        <f t="shared" si="6"/>
        <v>🔊</v>
      </c>
      <c r="D1023" s="8" t="s">
        <v>9613</v>
      </c>
      <c r="E1023" s="6" t="s">
        <v>27</v>
      </c>
      <c r="F1023" s="12" t="str">
        <f>IFERROR(__xludf.DUMMYFUNCTION("GOOGLETRANSLATE(B1023,""zh_cn"",""vi"")"),"Giai đoạn")</f>
        <v>Giai đoạn</v>
      </c>
      <c r="G1023" s="20" t="s">
        <v>9614</v>
      </c>
      <c r="H1023" s="6"/>
      <c r="I1023" s="11" t="b">
        <f t="shared" si="2"/>
        <v>0</v>
      </c>
      <c r="J1023" s="24"/>
      <c r="K1023" s="11" t="b">
        <f t="shared" si="3"/>
        <v>0</v>
      </c>
    </row>
    <row r="1024" ht="22.5" customHeight="1">
      <c r="A1024" s="12">
        <f t="shared" si="4"/>
        <v>3022</v>
      </c>
      <c r="B1024" s="30" t="s">
        <v>9615</v>
      </c>
      <c r="C1024" s="7" t="str">
        <f t="shared" si="6"/>
        <v>🔊</v>
      </c>
      <c r="D1024" s="8" t="s">
        <v>9616</v>
      </c>
      <c r="E1024" s="6" t="s">
        <v>27</v>
      </c>
      <c r="F1024" s="12" t="str">
        <f>IFERROR(__xludf.DUMMYFUNCTION("GOOGLETRANSLATE(B1024,""zh_cn"",""vi"")"),"nhà thơ")</f>
        <v>nhà thơ</v>
      </c>
      <c r="G1024" s="20" t="s">
        <v>9617</v>
      </c>
      <c r="H1024" s="6"/>
      <c r="I1024" s="11" t="b">
        <f t="shared" si="2"/>
        <v>0</v>
      </c>
      <c r="J1024" s="24"/>
      <c r="K1024" s="11" t="b">
        <f t="shared" si="3"/>
        <v>0</v>
      </c>
    </row>
    <row r="1025" ht="22.5" customHeight="1">
      <c r="A1025" s="12">
        <f t="shared" si="4"/>
        <v>3023</v>
      </c>
      <c r="B1025" s="30" t="s">
        <v>9618</v>
      </c>
      <c r="C1025" s="7" t="str">
        <f t="shared" si="6"/>
        <v>🔊</v>
      </c>
      <c r="D1025" s="8" t="s">
        <v>9619</v>
      </c>
      <c r="E1025" s="6" t="s">
        <v>13</v>
      </c>
      <c r="F1025" s="12" t="str">
        <f>IFERROR(__xludf.DUMMYFUNCTION("GOOGLETRANSLATE(B1025,""zh_cn"",""vi"")"),"Triển khai")</f>
        <v>Triển khai</v>
      </c>
      <c r="G1025" s="20" t="s">
        <v>9620</v>
      </c>
      <c r="H1025" s="6"/>
      <c r="I1025" s="11" t="b">
        <f t="shared" si="2"/>
        <v>0</v>
      </c>
      <c r="J1025" s="24"/>
      <c r="K1025" s="11" t="b">
        <f t="shared" si="3"/>
        <v>0</v>
      </c>
    </row>
    <row r="1026" ht="22.5" customHeight="1">
      <c r="A1026" s="12">
        <f t="shared" si="4"/>
        <v>3024</v>
      </c>
      <c r="B1026" s="30" t="s">
        <v>9621</v>
      </c>
      <c r="C1026" s="7" t="str">
        <f t="shared" si="6"/>
        <v>🔊</v>
      </c>
      <c r="D1026" s="8" t="s">
        <v>9622</v>
      </c>
      <c r="E1026" s="6" t="s">
        <v>27</v>
      </c>
      <c r="F1026" s="12" t="str">
        <f>IFERROR(__xludf.DUMMYFUNCTION("GOOGLETRANSLATE(B1026,""zh_cn"",""vi"")"),"sự thật")</f>
        <v>sự thật</v>
      </c>
      <c r="G1026" s="20" t="s">
        <v>9623</v>
      </c>
      <c r="H1026" s="6"/>
      <c r="I1026" s="11" t="b">
        <f t="shared" si="2"/>
        <v>0</v>
      </c>
      <c r="J1026" s="24"/>
      <c r="K1026" s="11" t="b">
        <f t="shared" si="3"/>
        <v>0</v>
      </c>
    </row>
    <row r="1027" ht="22.5" customHeight="1">
      <c r="A1027" s="12">
        <f t="shared" si="4"/>
        <v>3025</v>
      </c>
      <c r="B1027" s="30" t="s">
        <v>9624</v>
      </c>
      <c r="C1027" s="7" t="str">
        <f t="shared" si="6"/>
        <v>🔊</v>
      </c>
      <c r="D1027" s="8" t="s">
        <v>9625</v>
      </c>
      <c r="E1027" s="6" t="s">
        <v>27</v>
      </c>
      <c r="F1027" s="12" t="str">
        <f>IFERROR(__xludf.DUMMYFUNCTION("GOOGLETRANSLATE(B1027,""zh_cn"",""vi"")"),"Cục đá")</f>
        <v>Cục đá</v>
      </c>
      <c r="G1027" s="20" t="s">
        <v>9626</v>
      </c>
      <c r="H1027" s="6"/>
      <c r="I1027" s="11" t="b">
        <f t="shared" si="2"/>
        <v>0</v>
      </c>
      <c r="J1027" s="24"/>
      <c r="K1027" s="11" t="b">
        <f t="shared" si="3"/>
        <v>0</v>
      </c>
    </row>
    <row r="1028" ht="22.5" customHeight="1">
      <c r="A1028" s="12">
        <f t="shared" si="4"/>
        <v>3026</v>
      </c>
      <c r="B1028" s="30" t="s">
        <v>9627</v>
      </c>
      <c r="C1028" s="7" t="str">
        <f t="shared" si="6"/>
        <v>🔊</v>
      </c>
      <c r="D1028" s="8" t="s">
        <v>9628</v>
      </c>
      <c r="E1028" s="6" t="s">
        <v>13</v>
      </c>
      <c r="F1028" s="12" t="str">
        <f>IFERROR(__xludf.DUMMYFUNCTION("GOOGLETRANSLATE(B1028,""zh_cn"",""vi"")"),"Được xem xét")</f>
        <v>Được xem xét</v>
      </c>
      <c r="G1028" s="20" t="s">
        <v>9629</v>
      </c>
      <c r="H1028" s="6"/>
      <c r="I1028" s="11" t="b">
        <f t="shared" si="2"/>
        <v>0</v>
      </c>
      <c r="J1028" s="24"/>
      <c r="K1028" s="11" t="b">
        <f t="shared" si="3"/>
        <v>0</v>
      </c>
    </row>
    <row r="1029" ht="22.5" customHeight="1">
      <c r="A1029" s="12">
        <f t="shared" si="4"/>
        <v>3027</v>
      </c>
      <c r="B1029" s="30" t="s">
        <v>9630</v>
      </c>
      <c r="C1029" s="7" t="str">
        <f t="shared" si="6"/>
        <v>🔊</v>
      </c>
      <c r="D1029" s="8" t="s">
        <v>9631</v>
      </c>
      <c r="E1029" s="6" t="s">
        <v>27</v>
      </c>
      <c r="F1029" s="12" t="str">
        <f>IFERROR(__xludf.DUMMYFUNCTION("GOOGLETRANSLATE(B1029,""zh_cn"",""vi"")"),"điều")</f>
        <v>điều</v>
      </c>
      <c r="G1029" s="20" t="s">
        <v>9632</v>
      </c>
      <c r="H1029" s="6"/>
      <c r="I1029" s="11" t="b">
        <f t="shared" si="2"/>
        <v>0</v>
      </c>
      <c r="J1029" s="24"/>
      <c r="K1029" s="11" t="b">
        <f t="shared" si="3"/>
        <v>0</v>
      </c>
    </row>
    <row r="1030" ht="22.5" customHeight="1">
      <c r="A1030" s="12">
        <f t="shared" si="4"/>
        <v>3028</v>
      </c>
      <c r="B1030" s="30" t="s">
        <v>9633</v>
      </c>
      <c r="C1030" s="7" t="str">
        <f t="shared" si="6"/>
        <v>🔊</v>
      </c>
      <c r="D1030" s="8" t="s">
        <v>9634</v>
      </c>
      <c r="E1030" s="6" t="s">
        <v>232</v>
      </c>
      <c r="F1030" s="12" t="str">
        <f>IFERROR(__xludf.DUMMYFUNCTION("GOOGLETRANSLATE(B1030,""zh_cn"",""vi"")"),"sai lầm")</f>
        <v>sai lầm</v>
      </c>
      <c r="G1030" s="20" t="s">
        <v>9635</v>
      </c>
      <c r="H1030" s="6"/>
      <c r="I1030" s="11" t="b">
        <f t="shared" si="2"/>
        <v>0</v>
      </c>
      <c r="J1030" s="24"/>
      <c r="K1030" s="11" t="b">
        <f t="shared" si="3"/>
        <v>0</v>
      </c>
    </row>
    <row r="1031" ht="22.5" customHeight="1">
      <c r="A1031" s="12">
        <f t="shared" si="4"/>
        <v>3029</v>
      </c>
      <c r="B1031" s="30" t="s">
        <v>9636</v>
      </c>
      <c r="C1031" s="7" t="str">
        <f t="shared" si="6"/>
        <v>🔊</v>
      </c>
      <c r="D1031" s="8" t="s">
        <v>9637</v>
      </c>
      <c r="E1031" s="6" t="s">
        <v>13</v>
      </c>
      <c r="F1031" s="12" t="str">
        <f>IFERROR(__xludf.DUMMYFUNCTION("GOOGLETRANSLATE(B1031,""zh_cn"",""vi"")"),"luyện tập")</f>
        <v>luyện tập</v>
      </c>
      <c r="G1031" s="20" t="s">
        <v>9638</v>
      </c>
      <c r="H1031" s="6"/>
      <c r="I1031" s="11" t="b">
        <f t="shared" si="2"/>
        <v>0</v>
      </c>
      <c r="J1031" s="24"/>
      <c r="K1031" s="11" t="b">
        <f t="shared" si="3"/>
        <v>0</v>
      </c>
    </row>
    <row r="1032" ht="22.5" customHeight="1">
      <c r="A1032" s="12">
        <f t="shared" si="4"/>
        <v>3030</v>
      </c>
      <c r="B1032" s="30" t="s">
        <v>9639</v>
      </c>
      <c r="C1032" s="7" t="str">
        <f t="shared" si="6"/>
        <v>🔊</v>
      </c>
      <c r="D1032" s="8" t="s">
        <v>9640</v>
      </c>
      <c r="E1032" s="6" t="s">
        <v>13</v>
      </c>
      <c r="F1032" s="12" t="str">
        <f>IFERROR(__xludf.DUMMYFUNCTION("GOOGLETRANSLATE(B1032,""zh_cn"",""vi"")"),"hoàn thành")</f>
        <v>hoàn thành</v>
      </c>
      <c r="G1032" s="20" t="s">
        <v>9641</v>
      </c>
      <c r="H1032" s="6"/>
      <c r="I1032" s="11" t="b">
        <f t="shared" si="2"/>
        <v>0</v>
      </c>
      <c r="J1032" s="24"/>
      <c r="K1032" s="11" t="b">
        <f t="shared" si="3"/>
        <v>0</v>
      </c>
    </row>
    <row r="1033" ht="22.5" customHeight="1">
      <c r="A1033" s="12">
        <f t="shared" si="4"/>
        <v>3031</v>
      </c>
      <c r="B1033" s="30" t="s">
        <v>9642</v>
      </c>
      <c r="C1033" s="7" t="str">
        <f t="shared" si="6"/>
        <v>🔊</v>
      </c>
      <c r="D1033" s="8" t="s">
        <v>9643</v>
      </c>
      <c r="E1033" s="6" t="s">
        <v>27</v>
      </c>
      <c r="F1033" s="12" t="str">
        <f>IFERROR(__xludf.DUMMYFUNCTION("GOOGLETRANSLATE(B1033,""zh_cn"",""vi"")"),"trước")</f>
        <v>trước</v>
      </c>
      <c r="G1033" s="20" t="s">
        <v>9644</v>
      </c>
      <c r="H1033" s="6"/>
      <c r="I1033" s="11" t="b">
        <f t="shared" si="2"/>
        <v>0</v>
      </c>
      <c r="J1033" s="24"/>
      <c r="K1033" s="11" t="b">
        <f t="shared" si="3"/>
        <v>0</v>
      </c>
    </row>
    <row r="1034" ht="22.5" customHeight="1">
      <c r="A1034" s="12">
        <f t="shared" si="4"/>
        <v>3032</v>
      </c>
      <c r="B1034" s="30" t="s">
        <v>9645</v>
      </c>
      <c r="C1034" s="7" t="str">
        <f t="shared" si="6"/>
        <v>🔊</v>
      </c>
      <c r="D1034" s="8" t="s">
        <v>9646</v>
      </c>
      <c r="E1034" s="6" t="s">
        <v>13</v>
      </c>
      <c r="F1034" s="12" t="str">
        <f>IFERROR(__xludf.DUMMYFUNCTION("GOOGLETRANSLATE(B1034,""zh_cn"",""vi"")"),"Triển khai")</f>
        <v>Triển khai</v>
      </c>
      <c r="G1034" s="20" t="s">
        <v>9647</v>
      </c>
      <c r="H1034" s="6"/>
      <c r="I1034" s="11" t="b">
        <f t="shared" si="2"/>
        <v>0</v>
      </c>
      <c r="J1034" s="24"/>
      <c r="K1034" s="11" t="b">
        <f t="shared" si="3"/>
        <v>0</v>
      </c>
    </row>
    <row r="1035" ht="22.5" customHeight="1">
      <c r="A1035" s="12">
        <f t="shared" si="4"/>
        <v>3033</v>
      </c>
      <c r="B1035" s="30" t="s">
        <v>9648</v>
      </c>
      <c r="C1035" s="7" t="str">
        <f t="shared" si="6"/>
        <v>🔊</v>
      </c>
      <c r="D1035" s="8" t="s">
        <v>9649</v>
      </c>
      <c r="E1035" s="6" t="s">
        <v>232</v>
      </c>
      <c r="F1035" s="12" t="str">
        <f>IFERROR(__xludf.DUMMYFUNCTION("GOOGLETRANSLATE(B1035,""zh_cn"",""vi"")"),"cuộc thí nghiệm")</f>
        <v>cuộc thí nghiệm</v>
      </c>
      <c r="G1035" s="20" t="s">
        <v>9650</v>
      </c>
      <c r="H1035" s="6"/>
      <c r="I1035" s="11" t="b">
        <f t="shared" si="2"/>
        <v>0</v>
      </c>
      <c r="J1035" s="24"/>
      <c r="K1035" s="11" t="b">
        <f t="shared" si="3"/>
        <v>0</v>
      </c>
    </row>
    <row r="1036" ht="22.5" customHeight="1">
      <c r="A1036" s="12">
        <f t="shared" si="4"/>
        <v>3034</v>
      </c>
      <c r="B1036" s="30" t="s">
        <v>9651</v>
      </c>
      <c r="C1036" s="7" t="str">
        <f t="shared" si="6"/>
        <v>🔊</v>
      </c>
      <c r="D1036" s="8" t="s">
        <v>9652</v>
      </c>
      <c r="E1036" s="6" t="s">
        <v>13</v>
      </c>
      <c r="F1036" s="12" t="str">
        <f>IFERROR(__xludf.DUMMYFUNCTION("GOOGLETRANSLATE(B1036,""zh_cn"",""vi"")"),"Bài kiểm tra")</f>
        <v>Bài kiểm tra</v>
      </c>
      <c r="G1036" s="20" t="s">
        <v>9653</v>
      </c>
      <c r="H1036" s="6"/>
      <c r="I1036" s="11" t="b">
        <f t="shared" si="2"/>
        <v>0</v>
      </c>
      <c r="J1036" s="24"/>
      <c r="K1036" s="11" t="b">
        <f t="shared" si="3"/>
        <v>0</v>
      </c>
    </row>
    <row r="1037" ht="22.5" customHeight="1">
      <c r="A1037" s="12">
        <f t="shared" si="4"/>
        <v>3035</v>
      </c>
      <c r="B1037" s="30" t="s">
        <v>9654</v>
      </c>
      <c r="C1037" s="7" t="str">
        <f t="shared" si="6"/>
        <v>🔊</v>
      </c>
      <c r="D1037" s="8" t="s">
        <v>9655</v>
      </c>
      <c r="E1037" s="6" t="s">
        <v>27</v>
      </c>
      <c r="F1037" s="12" t="str">
        <f>IFERROR(__xludf.DUMMYFUNCTION("GOOGLETRANSLATE(B1037,""zh_cn"",""vi"")"),"phòng thí nghiệm")</f>
        <v>phòng thí nghiệm</v>
      </c>
      <c r="G1037" s="20" t="s">
        <v>9656</v>
      </c>
      <c r="H1037" s="6"/>
      <c r="I1037" s="11" t="b">
        <f t="shared" si="2"/>
        <v>0</v>
      </c>
      <c r="J1037" s="24"/>
      <c r="K1037" s="11" t="b">
        <f t="shared" si="3"/>
        <v>0</v>
      </c>
    </row>
    <row r="1038" ht="22.5" customHeight="1">
      <c r="A1038" s="12">
        <f t="shared" si="4"/>
        <v>3036</v>
      </c>
      <c r="B1038" s="30" t="s">
        <v>9657</v>
      </c>
      <c r="C1038" s="7" t="str">
        <f t="shared" si="6"/>
        <v>🔊</v>
      </c>
      <c r="D1038" s="8" t="s">
        <v>9658</v>
      </c>
      <c r="E1038" s="6" t="s">
        <v>27</v>
      </c>
      <c r="F1038" s="12" t="str">
        <f>IFERROR(__xludf.DUMMYFUNCTION("GOOGLETRANSLATE(B1038,""zh_cn"",""vi"")"),"gây ra")</f>
        <v>gây ra</v>
      </c>
      <c r="G1038" s="20" t="s">
        <v>9659</v>
      </c>
      <c r="H1038" s="6"/>
      <c r="I1038" s="11" t="b">
        <f t="shared" si="2"/>
        <v>0</v>
      </c>
      <c r="J1038" s="24"/>
      <c r="K1038" s="11" t="b">
        <f t="shared" si="3"/>
        <v>0</v>
      </c>
    </row>
    <row r="1039" ht="22.5" customHeight="1">
      <c r="A1039" s="12">
        <f t="shared" si="4"/>
        <v>3037</v>
      </c>
      <c r="B1039" s="30" t="s">
        <v>9660</v>
      </c>
      <c r="C1039" s="7" t="str">
        <f t="shared" si="6"/>
        <v>🔊</v>
      </c>
      <c r="D1039" s="8" t="s">
        <v>9661</v>
      </c>
      <c r="E1039" s="6" t="s">
        <v>13</v>
      </c>
      <c r="F1039" s="12" t="str">
        <f>IFERROR(__xludf.DUMMYFUNCTION("GOOGLETRANSLATE(B1039,""zh_cn"",""vi"")"),"nạn thất nghiệp")</f>
        <v>nạn thất nghiệp</v>
      </c>
      <c r="G1039" s="20" t="s">
        <v>9662</v>
      </c>
      <c r="H1039" s="6"/>
      <c r="I1039" s="11" t="b">
        <f t="shared" si="2"/>
        <v>0</v>
      </c>
      <c r="J1039" s="24"/>
      <c r="K1039" s="11" t="b">
        <f t="shared" si="3"/>
        <v>0</v>
      </c>
    </row>
    <row r="1040" ht="22.5" customHeight="1">
      <c r="A1040" s="12">
        <f t="shared" si="4"/>
        <v>3038</v>
      </c>
      <c r="B1040" s="30" t="s">
        <v>9663</v>
      </c>
      <c r="C1040" s="7" t="str">
        <f t="shared" si="6"/>
        <v>🔊</v>
      </c>
      <c r="D1040" s="8" t="s">
        <v>9664</v>
      </c>
      <c r="E1040" s="6" t="s">
        <v>99</v>
      </c>
      <c r="F1040" s="12" t="str">
        <f>IFERROR(__xludf.DUMMYFUNCTION("GOOGLETRANSLATE(B1040,""zh_cn"",""vi"")"),"thực tế")</f>
        <v>thực tế</v>
      </c>
      <c r="G1040" s="20" t="s">
        <v>9665</v>
      </c>
      <c r="H1040" s="6"/>
      <c r="I1040" s="11" t="b">
        <f t="shared" si="2"/>
        <v>0</v>
      </c>
      <c r="J1040" s="24"/>
      <c r="K1040" s="11" t="b">
        <f t="shared" si="3"/>
        <v>0</v>
      </c>
    </row>
    <row r="1041" ht="22.5" customHeight="1">
      <c r="A1041" s="12">
        <f t="shared" si="4"/>
        <v>3039</v>
      </c>
      <c r="B1041" s="30" t="s">
        <v>9666</v>
      </c>
      <c r="C1041" s="7" t="str">
        <f t="shared" si="6"/>
        <v>🔊</v>
      </c>
      <c r="D1041" s="8" t="s">
        <v>9664</v>
      </c>
      <c r="E1041" s="6" t="s">
        <v>13</v>
      </c>
      <c r="F1041" s="12" t="str">
        <f>IFERROR(__xludf.DUMMYFUNCTION("GOOGLETRANSLATE(B1041,""zh_cn"",""vi"")"),"ăn được")</f>
        <v>ăn được</v>
      </c>
      <c r="G1041" s="20" t="s">
        <v>9667</v>
      </c>
      <c r="H1041" s="6"/>
      <c r="I1041" s="11" t="b">
        <f t="shared" si="2"/>
        <v>0</v>
      </c>
      <c r="J1041" s="24"/>
      <c r="K1041" s="11" t="b">
        <f t="shared" si="3"/>
        <v>0</v>
      </c>
    </row>
    <row r="1042" ht="22.5" customHeight="1">
      <c r="A1042" s="12">
        <f t="shared" si="4"/>
        <v>3040</v>
      </c>
      <c r="B1042" s="30" t="s">
        <v>9668</v>
      </c>
      <c r="C1042" s="7" t="str">
        <f t="shared" si="6"/>
        <v>🔊</v>
      </c>
      <c r="D1042" s="8" t="s">
        <v>9669</v>
      </c>
      <c r="E1042" s="6" t="s">
        <v>13</v>
      </c>
      <c r="F1042" s="12" t="str">
        <f>IFERROR(__xludf.DUMMYFUNCTION("GOOGLETRANSLATE(B1042,""zh_cn"",""vi"")"),"thử")</f>
        <v>thử</v>
      </c>
      <c r="G1042" s="20" t="s">
        <v>9670</v>
      </c>
      <c r="H1042" s="6"/>
      <c r="I1042" s="11" t="b">
        <f t="shared" si="2"/>
        <v>0</v>
      </c>
      <c r="J1042" s="24"/>
      <c r="K1042" s="11" t="b">
        <f t="shared" si="3"/>
        <v>0</v>
      </c>
    </row>
    <row r="1043" ht="22.5" customHeight="1">
      <c r="A1043" s="12">
        <f t="shared" si="4"/>
        <v>3041</v>
      </c>
      <c r="B1043" s="30" t="s">
        <v>9671</v>
      </c>
      <c r="C1043" s="7" t="str">
        <f t="shared" si="6"/>
        <v>🔊</v>
      </c>
      <c r="D1043" s="8" t="s">
        <v>9669</v>
      </c>
      <c r="E1043" s="6" t="s">
        <v>99</v>
      </c>
      <c r="F1043" s="12" t="str">
        <f>IFERROR(__xludf.DUMMYFUNCTION("GOOGLETRANSLATE(B1043,""zh_cn"",""vi"")"),"Áp dụng")</f>
        <v>Áp dụng</v>
      </c>
      <c r="G1043" s="20" t="s">
        <v>9672</v>
      </c>
      <c r="H1043" s="6"/>
      <c r="I1043" s="11" t="b">
        <f t="shared" si="2"/>
        <v>0</v>
      </c>
      <c r="J1043" s="24"/>
      <c r="K1043" s="11" t="b">
        <f t="shared" si="3"/>
        <v>0</v>
      </c>
    </row>
    <row r="1044" ht="22.5" customHeight="1">
      <c r="A1044" s="12">
        <f t="shared" si="4"/>
        <v>3042</v>
      </c>
      <c r="B1044" s="30" t="s">
        <v>9673</v>
      </c>
      <c r="C1044" s="7" t="str">
        <f t="shared" si="6"/>
        <v>🔊</v>
      </c>
      <c r="D1044" s="8" t="s">
        <v>9674</v>
      </c>
      <c r="E1044" s="6" t="s">
        <v>3089</v>
      </c>
      <c r="F1044" s="12" t="str">
        <f>IFERROR(__xludf.DUMMYFUNCTION("GOOGLETRANSLATE(B1044,""zh_cn"",""vi"")"),"Luôn luôn")</f>
        <v>Luôn luôn</v>
      </c>
      <c r="G1044" s="20" t="s">
        <v>9675</v>
      </c>
      <c r="H1044" s="6"/>
      <c r="I1044" s="11" t="b">
        <f t="shared" si="2"/>
        <v>0</v>
      </c>
      <c r="J1044" s="24"/>
      <c r="K1044" s="11" t="b">
        <f t="shared" si="3"/>
        <v>0</v>
      </c>
    </row>
    <row r="1045" ht="22.5" customHeight="1">
      <c r="A1045" s="12">
        <f t="shared" si="4"/>
        <v>3043</v>
      </c>
      <c r="B1045" s="30" t="s">
        <v>9676</v>
      </c>
      <c r="C1045" s="7" t="str">
        <f t="shared" si="6"/>
        <v>🔊</v>
      </c>
      <c r="D1045" s="8" t="s">
        <v>1478</v>
      </c>
      <c r="E1045" s="6" t="s">
        <v>13</v>
      </c>
      <c r="F1045" s="12" t="str">
        <f>IFERROR(__xludf.DUMMYFUNCTION("GOOGLETRANSLATE(B1045,""zh_cn"",""vi"")"),"Người bảo vệ")</f>
        <v>Người bảo vệ</v>
      </c>
      <c r="G1045" s="20" t="s">
        <v>9677</v>
      </c>
      <c r="H1045" s="6"/>
      <c r="I1045" s="11" t="b">
        <f t="shared" si="2"/>
        <v>0</v>
      </c>
      <c r="J1045" s="24"/>
      <c r="K1045" s="11" t="b">
        <f t="shared" si="3"/>
        <v>0</v>
      </c>
    </row>
    <row r="1046" ht="22.5" customHeight="1">
      <c r="A1046" s="12">
        <f t="shared" si="4"/>
        <v>3044</v>
      </c>
      <c r="B1046" s="30" t="s">
        <v>9678</v>
      </c>
      <c r="C1046" s="7" t="str">
        <f t="shared" si="6"/>
        <v>🔊</v>
      </c>
      <c r="D1046" s="8" t="s">
        <v>9679</v>
      </c>
      <c r="E1046" s="6" t="s">
        <v>874</v>
      </c>
      <c r="F1046" s="12" t="str">
        <f>IFERROR(__xludf.DUMMYFUNCTION("GOOGLETRANSLATE(B1046,""zh_cn"",""vi"")"),"Đầu tiên")</f>
        <v>Đầu tiên</v>
      </c>
      <c r="G1046" s="20" t="s">
        <v>9680</v>
      </c>
      <c r="H1046" s="6"/>
      <c r="I1046" s="11" t="b">
        <f t="shared" si="2"/>
        <v>0</v>
      </c>
      <c r="J1046" s="24"/>
      <c r="K1046" s="11" t="b">
        <f t="shared" si="3"/>
        <v>0</v>
      </c>
    </row>
    <row r="1047" ht="22.5" customHeight="1">
      <c r="A1047" s="12">
        <f t="shared" si="4"/>
        <v>3045</v>
      </c>
      <c r="B1047" s="30" t="s">
        <v>9681</v>
      </c>
      <c r="C1047" s="7" t="str">
        <f t="shared" si="6"/>
        <v>🔊</v>
      </c>
      <c r="D1047" s="8" t="s">
        <v>9682</v>
      </c>
      <c r="E1047" s="6" t="s">
        <v>27</v>
      </c>
      <c r="F1047" s="12" t="str">
        <f>IFERROR(__xludf.DUMMYFUNCTION("GOOGLETRANSLATE(B1047,""zh_cn"",""vi"")"),"có nghĩa")</f>
        <v>có nghĩa</v>
      </c>
      <c r="G1047" s="20" t="s">
        <v>9683</v>
      </c>
      <c r="H1047" s="6"/>
      <c r="I1047" s="11" t="b">
        <f t="shared" si="2"/>
        <v>0</v>
      </c>
      <c r="J1047" s="24"/>
      <c r="K1047" s="11" t="b">
        <f t="shared" si="3"/>
        <v>0</v>
      </c>
    </row>
    <row r="1048" ht="22.5" customHeight="1">
      <c r="A1048" s="12">
        <f t="shared" si="4"/>
        <v>3046</v>
      </c>
      <c r="B1048" s="30" t="s">
        <v>9684</v>
      </c>
      <c r="C1048" s="7" t="str">
        <f t="shared" si="6"/>
        <v>🔊</v>
      </c>
      <c r="D1048" s="8" t="s">
        <v>9685</v>
      </c>
      <c r="E1048" s="6" t="s">
        <v>27</v>
      </c>
      <c r="F1048" s="12" t="str">
        <f>IFERROR(__xludf.DUMMYFUNCTION("GOOGLETRANSLATE(B1048,""zh_cn"",""vi"")"),"thủ công")</f>
        <v>thủ công</v>
      </c>
      <c r="G1048" s="20" t="s">
        <v>9686</v>
      </c>
      <c r="H1048" s="6"/>
      <c r="I1048" s="11" t="b">
        <f t="shared" si="2"/>
        <v>0</v>
      </c>
      <c r="J1048" s="24"/>
      <c r="K1048" s="11" t="b">
        <f t="shared" si="3"/>
        <v>0</v>
      </c>
    </row>
    <row r="1049" ht="22.5" customHeight="1">
      <c r="A1049" s="12">
        <f t="shared" si="4"/>
        <v>3047</v>
      </c>
      <c r="B1049" s="30" t="s">
        <v>9687</v>
      </c>
      <c r="C1049" s="7" t="str">
        <f t="shared" si="6"/>
        <v>🔊</v>
      </c>
      <c r="D1049" s="8" t="s">
        <v>9688</v>
      </c>
      <c r="E1049" s="6" t="s">
        <v>232</v>
      </c>
      <c r="F1049" s="12" t="str">
        <f>IFERROR(__xludf.DUMMYFUNCTION("GOOGLETRANSLATE(B1049,""zh_cn"",""vi"")"),"Mùa gặt")</f>
        <v>Mùa gặt</v>
      </c>
      <c r="G1049" s="20" t="s">
        <v>9689</v>
      </c>
      <c r="H1049" s="6"/>
      <c r="I1049" s="11" t="b">
        <f t="shared" si="2"/>
        <v>0</v>
      </c>
      <c r="J1049" s="24"/>
      <c r="K1049" s="11" t="b">
        <f t="shared" si="3"/>
        <v>0</v>
      </c>
    </row>
    <row r="1050" ht="22.5" customHeight="1">
      <c r="A1050" s="12">
        <f t="shared" si="4"/>
        <v>3048</v>
      </c>
      <c r="B1050" s="30" t="s">
        <v>9690</v>
      </c>
      <c r="C1050" s="7" t="str">
        <f t="shared" si="6"/>
        <v>🔊</v>
      </c>
      <c r="D1050" s="8" t="s">
        <v>9691</v>
      </c>
      <c r="E1050" s="6" t="s">
        <v>13</v>
      </c>
      <c r="F1050" s="12" t="str">
        <f>IFERROR(__xludf.DUMMYFUNCTION("GOOGLETRANSLATE(B1050,""zh_cn"",""vi"")"),"sưu tầm")</f>
        <v>sưu tầm</v>
      </c>
      <c r="G1050" s="20" t="s">
        <v>9692</v>
      </c>
      <c r="H1050" s="6"/>
      <c r="I1050" s="11" t="b">
        <f t="shared" si="2"/>
        <v>0</v>
      </c>
      <c r="J1050" s="24"/>
      <c r="K1050" s="11" t="b">
        <f t="shared" si="3"/>
        <v>0</v>
      </c>
    </row>
    <row r="1051" ht="22.5" customHeight="1">
      <c r="A1051" s="12">
        <f t="shared" si="4"/>
        <v>3049</v>
      </c>
      <c r="B1051" s="30" t="s">
        <v>9693</v>
      </c>
      <c r="C1051" s="7" t="str">
        <f t="shared" si="6"/>
        <v>🔊</v>
      </c>
      <c r="D1051" s="8" t="s">
        <v>9694</v>
      </c>
      <c r="E1051" s="6" t="s">
        <v>27</v>
      </c>
      <c r="F1051" s="12" t="str">
        <f>IFERROR(__xludf.DUMMYFUNCTION("GOOGLETRANSLATE(B1051,""zh_cn"",""vi"")"),"Giá")</f>
        <v>Giá</v>
      </c>
      <c r="G1051" s="20" t="s">
        <v>9695</v>
      </c>
      <c r="H1051" s="6"/>
      <c r="I1051" s="11" t="b">
        <f t="shared" si="2"/>
        <v>0</v>
      </c>
      <c r="J1051" s="24"/>
      <c r="K1051" s="11" t="b">
        <f t="shared" si="3"/>
        <v>0</v>
      </c>
    </row>
    <row r="1052" ht="22.5" customHeight="1">
      <c r="A1052" s="12">
        <f t="shared" si="4"/>
        <v>3050</v>
      </c>
      <c r="B1052" s="30" t="s">
        <v>9696</v>
      </c>
      <c r="C1052" s="7" t="str">
        <f t="shared" si="6"/>
        <v>🔊</v>
      </c>
      <c r="D1052" s="8" t="s">
        <v>9697</v>
      </c>
      <c r="E1052" s="6" t="s">
        <v>13</v>
      </c>
      <c r="F1052" s="12" t="str">
        <f>IFERROR(__xludf.DUMMYFUNCTION("GOOGLETRANSLATE(B1052,""zh_cn"",""vi"")"),"Đồng hồ")</f>
        <v>Đồng hồ</v>
      </c>
      <c r="G1052" s="20" t="s">
        <v>9698</v>
      </c>
      <c r="H1052" s="6"/>
      <c r="I1052" s="11" t="b">
        <f t="shared" si="2"/>
        <v>0</v>
      </c>
      <c r="J1052" s="24"/>
      <c r="K1052" s="11" t="b">
        <f t="shared" si="3"/>
        <v>0</v>
      </c>
    </row>
    <row r="1053" ht="22.5" customHeight="1">
      <c r="A1053" s="12">
        <f t="shared" si="4"/>
        <v>3051</v>
      </c>
      <c r="B1053" s="30" t="s">
        <v>9699</v>
      </c>
      <c r="C1053" s="7" t="str">
        <f t="shared" si="6"/>
        <v>🔊</v>
      </c>
      <c r="D1053" s="8" t="s">
        <v>9700</v>
      </c>
      <c r="E1053" s="6" t="s">
        <v>57</v>
      </c>
      <c r="F1053" s="12" t="str">
        <f>IFERROR(__xludf.DUMMYFUNCTION("GOOGLETRANSLATE(B1053,""zh_cn"",""vi"")"),"Hoạt động")</f>
        <v>Hoạt động</v>
      </c>
      <c r="G1053" s="20" t="s">
        <v>9701</v>
      </c>
      <c r="H1053" s="6"/>
      <c r="I1053" s="11" t="b">
        <f t="shared" si="2"/>
        <v>0</v>
      </c>
      <c r="J1053" s="24"/>
      <c r="K1053" s="11" t="b">
        <f t="shared" si="3"/>
        <v>0</v>
      </c>
    </row>
    <row r="1054" ht="22.5" customHeight="1">
      <c r="A1054" s="12">
        <f t="shared" si="4"/>
        <v>3052</v>
      </c>
      <c r="B1054" s="30" t="s">
        <v>9702</v>
      </c>
      <c r="C1054" s="7" t="str">
        <f t="shared" si="6"/>
        <v>🔊</v>
      </c>
      <c r="D1054" s="8" t="s">
        <v>9703</v>
      </c>
      <c r="E1054" s="6" t="s">
        <v>27</v>
      </c>
      <c r="F1054" s="12" t="str">
        <f>IFERROR(__xludf.DUMMYFUNCTION("GOOGLETRANSLATE(B1054,""zh_cn"",""vi"")"),"Găng tay")</f>
        <v>Găng tay</v>
      </c>
      <c r="G1054" s="20" t="s">
        <v>9704</v>
      </c>
      <c r="H1054" s="6"/>
      <c r="I1054" s="11" t="b">
        <f t="shared" si="2"/>
        <v>0</v>
      </c>
      <c r="J1054" s="24"/>
      <c r="K1054" s="11" t="b">
        <f t="shared" si="3"/>
        <v>0</v>
      </c>
    </row>
    <row r="1055" ht="22.5" customHeight="1">
      <c r="A1055" s="12">
        <f t="shared" si="4"/>
        <v>3053</v>
      </c>
      <c r="B1055" s="30" t="s">
        <v>9705</v>
      </c>
      <c r="C1055" s="7" t="str">
        <f t="shared" si="6"/>
        <v>🔊</v>
      </c>
      <c r="D1055" s="8" t="s">
        <v>9706</v>
      </c>
      <c r="E1055" s="6" t="s">
        <v>27</v>
      </c>
      <c r="F1055" s="12" t="str">
        <f>IFERROR(__xludf.DUMMYFUNCTION("GOOGLETRANSLATE(B1055,""zh_cn"",""vi"")"),"thủ tục")</f>
        <v>thủ tục</v>
      </c>
      <c r="G1055" s="20" t="s">
        <v>9707</v>
      </c>
      <c r="H1055" s="6"/>
      <c r="I1055" s="11" t="b">
        <f t="shared" si="2"/>
        <v>0</v>
      </c>
      <c r="J1055" s="24"/>
      <c r="K1055" s="11" t="b">
        <f t="shared" si="3"/>
        <v>0</v>
      </c>
    </row>
    <row r="1056" ht="22.5" customHeight="1">
      <c r="A1056" s="12">
        <f t="shared" si="4"/>
        <v>3054</v>
      </c>
      <c r="B1056" s="30" t="s">
        <v>9708</v>
      </c>
      <c r="C1056" s="7" t="str">
        <f t="shared" si="6"/>
        <v>🔊</v>
      </c>
      <c r="D1056" s="8" t="s">
        <v>9709</v>
      </c>
      <c r="E1056" s="6" t="s">
        <v>27</v>
      </c>
      <c r="F1056" s="12" t="str">
        <f>IFERROR(__xludf.DUMMYFUNCTION("GOOGLETRANSLATE(B1056,""zh_cn"",""vi"")"),"ngón tay")</f>
        <v>ngón tay</v>
      </c>
      <c r="G1056" s="20" t="s">
        <v>9710</v>
      </c>
      <c r="H1056" s="6"/>
      <c r="I1056" s="11" t="b">
        <f t="shared" si="2"/>
        <v>0</v>
      </c>
      <c r="J1056" s="24"/>
      <c r="K1056" s="11" t="b">
        <f t="shared" si="3"/>
        <v>0</v>
      </c>
    </row>
    <row r="1057" ht="22.5" customHeight="1">
      <c r="A1057" s="12">
        <f t="shared" si="4"/>
        <v>3055</v>
      </c>
      <c r="B1057" s="30" t="s">
        <v>9711</v>
      </c>
      <c r="C1057" s="7" t="str">
        <f t="shared" si="6"/>
        <v>🔊</v>
      </c>
      <c r="D1057" s="8" t="s">
        <v>2819</v>
      </c>
      <c r="E1057" s="6" t="s">
        <v>47</v>
      </c>
      <c r="F1057" s="12" t="str">
        <f>IFERROR(__xludf.DUMMYFUNCTION("GOOGLETRANSLATE(B1057,""zh_cn"",""vi"")"),"bó")</f>
        <v>bó</v>
      </c>
      <c r="G1057" s="20" t="s">
        <v>9712</v>
      </c>
      <c r="H1057" s="6"/>
      <c r="I1057" s="11" t="b">
        <f t="shared" si="2"/>
        <v>0</v>
      </c>
      <c r="J1057" s="24"/>
      <c r="K1057" s="11" t="b">
        <f t="shared" si="3"/>
        <v>0</v>
      </c>
    </row>
    <row r="1058" ht="22.5" customHeight="1">
      <c r="A1058" s="12">
        <f t="shared" si="4"/>
        <v>3056</v>
      </c>
      <c r="B1058" s="30" t="s">
        <v>23</v>
      </c>
      <c r="C1058" s="7" t="str">
        <f t="shared" si="6"/>
        <v>🔊</v>
      </c>
      <c r="D1058" s="8" t="s">
        <v>9713</v>
      </c>
      <c r="E1058" s="6" t="s">
        <v>13</v>
      </c>
      <c r="F1058" s="12" t="str">
        <f>IFERROR(__xludf.DUMMYFUNCTION("GOOGLETRANSLATE(B1058,""zh_cn"",""vi"")"),"con số")</f>
        <v>con số</v>
      </c>
      <c r="G1058" s="20" t="s">
        <v>9714</v>
      </c>
      <c r="H1058" s="6"/>
      <c r="I1058" s="11" t="b">
        <f t="shared" si="2"/>
        <v>0</v>
      </c>
      <c r="J1058" s="24"/>
      <c r="K1058" s="11" t="b">
        <f t="shared" si="3"/>
        <v>0</v>
      </c>
    </row>
    <row r="1059" ht="22.5" customHeight="1">
      <c r="A1059" s="12">
        <f t="shared" si="4"/>
        <v>3057</v>
      </c>
      <c r="B1059" s="30" t="s">
        <v>9715</v>
      </c>
      <c r="C1059" s="7" t="str">
        <f t="shared" si="6"/>
        <v>🔊</v>
      </c>
      <c r="D1059" s="8" t="s">
        <v>9716</v>
      </c>
      <c r="E1059" s="6" t="s">
        <v>13</v>
      </c>
      <c r="F1059" s="12" t="str">
        <f>IFERROR(__xludf.DUMMYFUNCTION("GOOGLETRANSLATE(B1059,""zh_cn"",""vi"")"),"ngã")</f>
        <v>ngã</v>
      </c>
      <c r="G1059" s="20" t="s">
        <v>9717</v>
      </c>
      <c r="H1059" s="6"/>
      <c r="I1059" s="11" t="b">
        <f t="shared" si="2"/>
        <v>0</v>
      </c>
      <c r="J1059" s="24"/>
      <c r="K1059" s="11" t="b">
        <f t="shared" si="3"/>
        <v>0</v>
      </c>
    </row>
    <row r="1060" ht="22.5" customHeight="1">
      <c r="A1060" s="12">
        <f t="shared" si="4"/>
        <v>3058</v>
      </c>
      <c r="B1060" s="30" t="s">
        <v>9718</v>
      </c>
      <c r="C1060" s="7" t="str">
        <f t="shared" si="6"/>
        <v>🔊</v>
      </c>
      <c r="D1060" s="8" t="s">
        <v>9719</v>
      </c>
      <c r="E1060" s="6" t="s">
        <v>27</v>
      </c>
      <c r="F1060" s="12" t="str">
        <f>IFERROR(__xludf.DUMMYFUNCTION("GOOGLETRANSLATE(B1060,""zh_cn"",""vi"")"),"cả hai phía")</f>
        <v>cả hai phía</v>
      </c>
      <c r="G1060" s="20" t="s">
        <v>9720</v>
      </c>
      <c r="H1060" s="6"/>
      <c r="I1060" s="11" t="b">
        <f t="shared" si="2"/>
        <v>0</v>
      </c>
      <c r="J1060" s="24"/>
      <c r="K1060" s="11" t="b">
        <f t="shared" si="3"/>
        <v>0</v>
      </c>
    </row>
    <row r="1061" ht="22.5" customHeight="1">
      <c r="A1061" s="12">
        <f t="shared" si="4"/>
        <v>3059</v>
      </c>
      <c r="B1061" s="30" t="s">
        <v>9721</v>
      </c>
      <c r="C1061" s="7" t="str">
        <f t="shared" si="6"/>
        <v>🔊</v>
      </c>
      <c r="D1061" s="8" t="s">
        <v>9722</v>
      </c>
      <c r="E1061" s="6" t="s">
        <v>27</v>
      </c>
      <c r="F1061" s="12" t="str">
        <f>IFERROR(__xludf.DUMMYFUNCTION("GOOGLETRANSLATE(B1061,""zh_cn"",""vi"")"),"chuột")</f>
        <v>chuột</v>
      </c>
      <c r="G1061" s="20" t="s">
        <v>9723</v>
      </c>
      <c r="H1061" s="6"/>
      <c r="I1061" s="11" t="b">
        <f t="shared" si="2"/>
        <v>0</v>
      </c>
      <c r="J1061" s="24"/>
      <c r="K1061" s="11" t="b">
        <f t="shared" si="3"/>
        <v>0</v>
      </c>
    </row>
    <row r="1062" ht="22.5" customHeight="1">
      <c r="A1062" s="12">
        <f t="shared" si="4"/>
        <v>3060</v>
      </c>
      <c r="B1062" s="30" t="s">
        <v>9724</v>
      </c>
      <c r="C1062" s="7" t="str">
        <f t="shared" si="6"/>
        <v>🔊</v>
      </c>
      <c r="D1062" s="8" t="s">
        <v>9725</v>
      </c>
      <c r="E1062" s="6" t="s">
        <v>27</v>
      </c>
      <c r="F1062" s="12" t="str">
        <f>IFERROR(__xludf.DUMMYFUNCTION("GOOGLETRANSLATE(B1062,""zh_cn"",""vi"")"),"rau quả")</f>
        <v>rau quả</v>
      </c>
      <c r="G1062" s="20" t="s">
        <v>9726</v>
      </c>
      <c r="H1062" s="6"/>
      <c r="I1062" s="11" t="b">
        <f t="shared" si="2"/>
        <v>0</v>
      </c>
      <c r="J1062" s="24"/>
      <c r="K1062" s="11" t="b">
        <f t="shared" si="3"/>
        <v>0</v>
      </c>
    </row>
    <row r="1063" ht="22.5" customHeight="1">
      <c r="A1063" s="12">
        <f t="shared" si="4"/>
        <v>3061</v>
      </c>
      <c r="B1063" s="30" t="s">
        <v>9727</v>
      </c>
      <c r="C1063" s="7" t="str">
        <f t="shared" si="6"/>
        <v>🔊</v>
      </c>
      <c r="D1063" s="8" t="s">
        <v>9728</v>
      </c>
      <c r="E1063" s="6" t="s">
        <v>27</v>
      </c>
      <c r="F1063" s="12" t="str">
        <f>IFERROR(__xludf.DUMMYFUNCTION("GOOGLETRANSLATE(B1063,""zh_cn"",""vi"")"),"thư pháp")</f>
        <v>thư pháp</v>
      </c>
      <c r="G1063" s="20" t="s">
        <v>9729</v>
      </c>
      <c r="H1063" s="6"/>
      <c r="I1063" s="11" t="b">
        <f t="shared" si="2"/>
        <v>0</v>
      </c>
      <c r="J1063" s="24"/>
      <c r="K1063" s="11" t="b">
        <f t="shared" si="3"/>
        <v>0</v>
      </c>
    </row>
    <row r="1064" ht="22.5" customHeight="1">
      <c r="A1064" s="12">
        <f t="shared" si="4"/>
        <v>3062</v>
      </c>
      <c r="B1064" s="30" t="s">
        <v>9730</v>
      </c>
      <c r="C1064" s="7" t="str">
        <f t="shared" si="6"/>
        <v>🔊</v>
      </c>
      <c r="D1064" s="8" t="s">
        <v>9731</v>
      </c>
      <c r="E1064" s="6" t="s">
        <v>27</v>
      </c>
      <c r="F1064" s="12" t="str">
        <f>IFERROR(__xludf.DUMMYFUNCTION("GOOGLETRANSLATE(B1064,""zh_cn"",""vi"")"),"học")</f>
        <v>học</v>
      </c>
      <c r="G1064" s="20" t="s">
        <v>9732</v>
      </c>
      <c r="H1064" s="6"/>
      <c r="I1064" s="11" t="b">
        <f t="shared" si="2"/>
        <v>0</v>
      </c>
      <c r="J1064" s="24"/>
      <c r="K1064" s="11" t="b">
        <f t="shared" si="3"/>
        <v>0</v>
      </c>
    </row>
    <row r="1065" ht="22.5" customHeight="1">
      <c r="A1065" s="12">
        <f t="shared" si="4"/>
        <v>3063</v>
      </c>
      <c r="B1065" s="30" t="s">
        <v>9733</v>
      </c>
      <c r="C1065" s="7" t="str">
        <f t="shared" si="6"/>
        <v>🔊</v>
      </c>
      <c r="D1065" s="8" t="s">
        <v>662</v>
      </c>
      <c r="E1065" s="6" t="s">
        <v>27</v>
      </c>
      <c r="F1065" s="12" t="str">
        <f>IFERROR(__xludf.DUMMYFUNCTION("GOOGLETRANSLATE(B1065,""zh_cn"",""vi"")"),"Thuế")</f>
        <v>Thuế</v>
      </c>
      <c r="G1065" s="20" t="s">
        <v>9734</v>
      </c>
      <c r="H1065" s="6"/>
      <c r="I1065" s="11" t="b">
        <f t="shared" si="2"/>
        <v>0</v>
      </c>
      <c r="J1065" s="24"/>
      <c r="K1065" s="11" t="b">
        <f t="shared" si="3"/>
        <v>0</v>
      </c>
    </row>
    <row r="1066" ht="22.5" customHeight="1">
      <c r="A1066" s="12">
        <f t="shared" si="4"/>
        <v>3064</v>
      </c>
      <c r="B1066" s="30" t="s">
        <v>9735</v>
      </c>
      <c r="C1066" s="7" t="str">
        <f t="shared" si="6"/>
        <v>🔊</v>
      </c>
      <c r="D1066" s="8" t="s">
        <v>9736</v>
      </c>
      <c r="E1066" s="6" t="s">
        <v>27</v>
      </c>
      <c r="F1066" s="12" t="str">
        <f>IFERROR(__xludf.DUMMYFUNCTION("GOOGLETRANSLATE(B1066,""zh_cn"",""vi"")"),"Độ ẩm")</f>
        <v>Độ ẩm</v>
      </c>
      <c r="G1066" s="20" t="s">
        <v>9737</v>
      </c>
      <c r="H1066" s="6"/>
      <c r="I1066" s="11" t="b">
        <f t="shared" si="2"/>
        <v>0</v>
      </c>
      <c r="J1066" s="24"/>
      <c r="K1066" s="11" t="b">
        <f t="shared" si="3"/>
        <v>0</v>
      </c>
    </row>
    <row r="1067" ht="22.5" customHeight="1">
      <c r="A1067" s="12">
        <f t="shared" si="4"/>
        <v>3065</v>
      </c>
      <c r="B1067" s="30" t="s">
        <v>9738</v>
      </c>
      <c r="C1067" s="7" t="str">
        <f t="shared" si="6"/>
        <v>🔊</v>
      </c>
      <c r="D1067" s="8" t="s">
        <v>9739</v>
      </c>
      <c r="E1067" s="6" t="s">
        <v>27</v>
      </c>
      <c r="F1067" s="12" t="str">
        <f>IFERROR(__xludf.DUMMYFUNCTION("GOOGLETRANSLATE(B1067,""zh_cn"",""vi"")"),"ngủ")</f>
        <v>ngủ</v>
      </c>
      <c r="G1067" s="20" t="s">
        <v>9740</v>
      </c>
      <c r="H1067" s="6"/>
      <c r="I1067" s="11" t="b">
        <f t="shared" si="2"/>
        <v>0</v>
      </c>
      <c r="J1067" s="24"/>
      <c r="K1067" s="11" t="b">
        <f t="shared" si="3"/>
        <v>0</v>
      </c>
    </row>
    <row r="1068" ht="22.5" customHeight="1">
      <c r="A1068" s="12">
        <f t="shared" si="4"/>
        <v>3066</v>
      </c>
      <c r="B1068" s="30" t="s">
        <v>9741</v>
      </c>
      <c r="C1068" s="7" t="str">
        <f t="shared" si="6"/>
        <v>🔊</v>
      </c>
      <c r="D1068" s="8" t="s">
        <v>9742</v>
      </c>
      <c r="E1068" s="6" t="s">
        <v>27</v>
      </c>
      <c r="F1068" s="12" t="str">
        <f>IFERROR(__xludf.DUMMYFUNCTION("GOOGLETRANSLATE(B1068,""zh_cn"",""vi"")"),"giá sách")</f>
        <v>giá sách</v>
      </c>
      <c r="G1068" s="20" t="s">
        <v>9743</v>
      </c>
      <c r="H1068" s="6"/>
      <c r="I1068" s="11" t="b">
        <f t="shared" si="2"/>
        <v>0</v>
      </c>
      <c r="J1068" s="24"/>
      <c r="K1068" s="11" t="b">
        <f t="shared" si="3"/>
        <v>0</v>
      </c>
    </row>
    <row r="1069" ht="22.5" customHeight="1">
      <c r="A1069" s="12">
        <f t="shared" si="4"/>
        <v>3067</v>
      </c>
      <c r="B1069" s="30" t="s">
        <v>9744</v>
      </c>
      <c r="C1069" s="7" t="str">
        <f t="shared" si="6"/>
        <v>🔊</v>
      </c>
      <c r="D1069" s="8" t="s">
        <v>9745</v>
      </c>
      <c r="E1069" s="6" t="s">
        <v>27</v>
      </c>
      <c r="F1069" s="12" t="str">
        <f>IFERROR(__xludf.DUMMYFUNCTION("GOOGLETRANSLATE(B1069,""zh_cn"",""vi"")"),"dữ liệu")</f>
        <v>dữ liệu</v>
      </c>
      <c r="G1069" s="20" t="s">
        <v>9746</v>
      </c>
      <c r="H1069" s="6"/>
      <c r="I1069" s="11" t="b">
        <f t="shared" si="2"/>
        <v>0</v>
      </c>
      <c r="J1069" s="24"/>
      <c r="K1069" s="11" t="b">
        <f t="shared" si="3"/>
        <v>0</v>
      </c>
    </row>
    <row r="1070" ht="22.5" customHeight="1">
      <c r="A1070" s="12">
        <f t="shared" si="4"/>
        <v>3068</v>
      </c>
      <c r="B1070" s="30" t="s">
        <v>9747</v>
      </c>
      <c r="C1070" s="7" t="str">
        <f t="shared" si="6"/>
        <v>🔊</v>
      </c>
      <c r="D1070" s="8" t="s">
        <v>9748</v>
      </c>
      <c r="E1070" s="6" t="s">
        <v>99</v>
      </c>
      <c r="F1070" s="12" t="str">
        <f>IFERROR(__xludf.DUMMYFUNCTION("GOOGLETRANSLATE(B1070,""zh_cn"",""vi"")"),"có kỹ năng")</f>
        <v>có kỹ năng</v>
      </c>
      <c r="G1070" s="20" t="s">
        <v>9749</v>
      </c>
      <c r="H1070" s="6"/>
      <c r="I1070" s="11" t="b">
        <f t="shared" si="2"/>
        <v>0</v>
      </c>
      <c r="J1070" s="24"/>
      <c r="K1070" s="11" t="b">
        <f t="shared" si="3"/>
        <v>0</v>
      </c>
    </row>
    <row r="1071" ht="22.5" customHeight="1">
      <c r="A1071" s="12">
        <f t="shared" si="4"/>
        <v>3069</v>
      </c>
      <c r="B1071" s="30" t="s">
        <v>9750</v>
      </c>
      <c r="C1071" s="7" t="str">
        <f t="shared" si="6"/>
        <v>🔊</v>
      </c>
      <c r="D1071" s="8" t="s">
        <v>9751</v>
      </c>
      <c r="E1071" s="6" t="s">
        <v>27</v>
      </c>
      <c r="F1071" s="12" t="str">
        <f>IFERROR(__xludf.DUMMYFUNCTION("GOOGLETRANSLATE(B1071,""zh_cn"",""vi"")"),"Cây")</f>
        <v>Cây</v>
      </c>
      <c r="G1071" s="20" t="s">
        <v>9752</v>
      </c>
      <c r="H1071" s="6"/>
      <c r="I1071" s="11" t="b">
        <f t="shared" si="2"/>
        <v>0</v>
      </c>
      <c r="J1071" s="24"/>
      <c r="K1071" s="11" t="b">
        <f t="shared" si="3"/>
        <v>0</v>
      </c>
    </row>
    <row r="1072" ht="22.5" customHeight="1">
      <c r="A1072" s="12">
        <f t="shared" si="4"/>
        <v>3070</v>
      </c>
      <c r="B1072" s="30" t="s">
        <v>9753</v>
      </c>
      <c r="C1072" s="7" t="str">
        <f t="shared" si="6"/>
        <v>🔊</v>
      </c>
      <c r="D1072" s="8" t="s">
        <v>9754</v>
      </c>
      <c r="E1072" s="6" t="s">
        <v>9755</v>
      </c>
      <c r="F1072" s="12" t="str">
        <f>IFERROR(__xludf.DUMMYFUNCTION("GOOGLETRANSLATE(B1072,""zh_cn"",""vi"")"),"Tránh")</f>
        <v>Tránh</v>
      </c>
      <c r="G1072" s="20" t="s">
        <v>9756</v>
      </c>
      <c r="H1072" s="6"/>
      <c r="I1072" s="11" t="b">
        <f t="shared" si="2"/>
        <v>0</v>
      </c>
      <c r="J1072" s="24"/>
      <c r="K1072" s="11" t="b">
        <f t="shared" si="3"/>
        <v>0</v>
      </c>
    </row>
    <row r="1073" ht="22.5" customHeight="1">
      <c r="A1073" s="12">
        <f t="shared" si="4"/>
        <v>3071</v>
      </c>
      <c r="B1073" s="30" t="s">
        <v>9757</v>
      </c>
      <c r="C1073" s="7" t="str">
        <f t="shared" si="6"/>
        <v>🔊</v>
      </c>
      <c r="D1073" s="8" t="s">
        <v>9758</v>
      </c>
      <c r="E1073" s="6" t="s">
        <v>433</v>
      </c>
      <c r="F1073" s="12" t="str">
        <f>IFERROR(__xludf.DUMMYFUNCTION("GOOGLETRANSLATE(B1073,""zh_cn"",""vi"")"),"Có lẽ")</f>
        <v>Có lẽ</v>
      </c>
      <c r="G1073" s="20" t="s">
        <v>9759</v>
      </c>
      <c r="H1073" s="6"/>
      <c r="I1073" s="11" t="b">
        <f t="shared" si="2"/>
        <v>0</v>
      </c>
      <c r="J1073" s="24"/>
      <c r="K1073" s="11" t="b">
        <f t="shared" si="3"/>
        <v>0</v>
      </c>
    </row>
    <row r="1074" ht="22.5" customHeight="1">
      <c r="A1074" s="12">
        <f t="shared" si="4"/>
        <v>3072</v>
      </c>
      <c r="B1074" s="30" t="s">
        <v>9760</v>
      </c>
      <c r="C1074" s="7" t="str">
        <f t="shared" si="6"/>
        <v>🔊</v>
      </c>
      <c r="D1074" s="8" t="s">
        <v>9761</v>
      </c>
      <c r="E1074" s="6" t="s">
        <v>13</v>
      </c>
      <c r="F1074" s="12" t="str">
        <f>IFERROR(__xludf.DUMMYFUNCTION("GOOGLETRANSLATE(B1074,""zh_cn"",""vi"")"),"thuyết phục")</f>
        <v>thuyết phục</v>
      </c>
      <c r="G1074" s="20" t="s">
        <v>9762</v>
      </c>
      <c r="H1074" s="6"/>
      <c r="I1074" s="11" t="b">
        <f t="shared" si="2"/>
        <v>0</v>
      </c>
      <c r="J1074" s="24"/>
      <c r="K1074" s="11" t="b">
        <f t="shared" si="3"/>
        <v>0</v>
      </c>
    </row>
    <row r="1075" ht="22.5" customHeight="1">
      <c r="A1075" s="12">
        <f t="shared" si="4"/>
        <v>3073</v>
      </c>
      <c r="B1075" s="30" t="s">
        <v>9763</v>
      </c>
      <c r="C1075" s="7" t="str">
        <f t="shared" si="6"/>
        <v>🔊</v>
      </c>
      <c r="D1075" s="8" t="s">
        <v>9764</v>
      </c>
      <c r="E1075" s="6" t="s">
        <v>27</v>
      </c>
      <c r="F1075" s="12" t="str">
        <f>IFERROR(__xludf.DUMMYFUNCTION("GOOGLETRANSLATE(B1075,""zh_cn"",""vi"")"),"người quen")</f>
        <v>người quen</v>
      </c>
      <c r="G1075" s="20" t="s">
        <v>9765</v>
      </c>
      <c r="H1075" s="6"/>
      <c r="I1075" s="11" t="b">
        <f t="shared" si="2"/>
        <v>0</v>
      </c>
      <c r="J1075" s="24"/>
      <c r="K1075" s="11" t="b">
        <f t="shared" si="3"/>
        <v>0</v>
      </c>
    </row>
    <row r="1076" ht="22.5" customHeight="1">
      <c r="A1076" s="12">
        <f t="shared" si="4"/>
        <v>3074</v>
      </c>
      <c r="B1076" s="30" t="s">
        <v>9766</v>
      </c>
      <c r="C1076" s="7" t="str">
        <f t="shared" si="6"/>
        <v>🔊</v>
      </c>
      <c r="D1076" s="8" t="s">
        <v>9767</v>
      </c>
      <c r="E1076" s="6" t="s">
        <v>13</v>
      </c>
      <c r="F1076" s="12" t="str">
        <f>IFERROR(__xludf.DUMMYFUNCTION("GOOGLETRANSLATE(B1076,""zh_cn"",""vi"")"),"đi vào")</f>
        <v>đi vào</v>
      </c>
      <c r="G1076" s="20" t="s">
        <v>9768</v>
      </c>
      <c r="H1076" s="6"/>
      <c r="I1076" s="11" t="b">
        <f t="shared" si="2"/>
        <v>0</v>
      </c>
      <c r="J1076" s="24"/>
      <c r="K1076" s="11" t="b">
        <f t="shared" si="3"/>
        <v>0</v>
      </c>
    </row>
    <row r="1077" ht="22.5" customHeight="1">
      <c r="A1077" s="12">
        <f t="shared" si="4"/>
        <v>3075</v>
      </c>
      <c r="B1077" s="30" t="s">
        <v>9769</v>
      </c>
      <c r="C1077" s="7" t="str">
        <f t="shared" si="6"/>
        <v>🔊</v>
      </c>
      <c r="D1077" s="8" t="s">
        <v>9770</v>
      </c>
      <c r="E1077" s="6" t="s">
        <v>99</v>
      </c>
      <c r="F1077" s="12" t="str">
        <f>IFERROR(__xludf.DUMMYFUNCTION("GOOGLETRANSLATE(B1077,""zh_cn"",""vi"")"),"An ủi")</f>
        <v>An ủi</v>
      </c>
      <c r="G1077" s="20" t="s">
        <v>9771</v>
      </c>
      <c r="H1077" s="6"/>
      <c r="I1077" s="11" t="b">
        <f t="shared" si="2"/>
        <v>0</v>
      </c>
      <c r="J1077" s="24"/>
      <c r="K1077" s="11" t="b">
        <f t="shared" si="3"/>
        <v>0</v>
      </c>
    </row>
    <row r="1078" ht="22.5" customHeight="1">
      <c r="A1078" s="12">
        <f t="shared" si="4"/>
        <v>3076</v>
      </c>
      <c r="B1078" s="30" t="s">
        <v>9772</v>
      </c>
      <c r="C1078" s="7" t="str">
        <f t="shared" si="6"/>
        <v>🔊</v>
      </c>
      <c r="D1078" s="8" t="s">
        <v>9773</v>
      </c>
      <c r="E1078" s="6" t="s">
        <v>13</v>
      </c>
      <c r="F1078" s="12" t="str">
        <f>IFERROR(__xludf.DUMMYFUNCTION("GOOGLETRANSLATE(B1078,""zh_cn"",""vi"")"),"thuộc về")</f>
        <v>thuộc về</v>
      </c>
      <c r="G1078" s="20" t="s">
        <v>9774</v>
      </c>
      <c r="H1078" s="6"/>
      <c r="I1078" s="11" t="b">
        <f t="shared" si="2"/>
        <v>0</v>
      </c>
      <c r="J1078" s="24"/>
      <c r="K1078" s="11" t="b">
        <f t="shared" si="3"/>
        <v>0</v>
      </c>
    </row>
    <row r="1079" ht="22.5" customHeight="1">
      <c r="A1079" s="12">
        <f t="shared" si="4"/>
        <v>3077</v>
      </c>
      <c r="B1079" s="30" t="s">
        <v>9775</v>
      </c>
      <c r="C1079" s="7" t="str">
        <f t="shared" si="6"/>
        <v>🔊</v>
      </c>
      <c r="D1079" s="8" t="s">
        <v>9776</v>
      </c>
      <c r="E1079" s="6" t="s">
        <v>27</v>
      </c>
      <c r="F1079" s="12" t="str">
        <f>IFERROR(__xludf.DUMMYFUNCTION("GOOGLETRANSLATE(B1079,""zh_cn"",""vi"")"),"xung quanh")</f>
        <v>xung quanh</v>
      </c>
      <c r="G1079" s="20" t="s">
        <v>9777</v>
      </c>
      <c r="H1079" s="6"/>
      <c r="I1079" s="11" t="b">
        <f t="shared" si="2"/>
        <v>0</v>
      </c>
      <c r="J1079" s="24"/>
      <c r="K1079" s="11" t="b">
        <f t="shared" si="3"/>
        <v>0</v>
      </c>
    </row>
    <row r="1080" ht="22.5" customHeight="1">
      <c r="A1080" s="12">
        <f t="shared" si="4"/>
        <v>3078</v>
      </c>
      <c r="B1080" s="30" t="s">
        <v>9778</v>
      </c>
      <c r="C1080" s="7" t="str">
        <f t="shared" si="6"/>
        <v>🔊</v>
      </c>
      <c r="D1080" s="8" t="s">
        <v>9779</v>
      </c>
      <c r="E1080" s="6" t="s">
        <v>61</v>
      </c>
      <c r="F1080" s="12" t="str">
        <f>IFERROR(__xludf.DUMMYFUNCTION("GOOGLETRANSLATE(B1080,""zh_cn"",""vi"")"),"có vẻ")</f>
        <v>có vẻ</v>
      </c>
      <c r="G1080" s="20" t="s">
        <v>9780</v>
      </c>
      <c r="H1080" s="6"/>
      <c r="I1080" s="11" t="b">
        <f t="shared" si="2"/>
        <v>0</v>
      </c>
      <c r="J1080" s="24"/>
      <c r="K1080" s="11" t="b">
        <f t="shared" si="3"/>
        <v>0</v>
      </c>
    </row>
    <row r="1081" ht="22.5" customHeight="1">
      <c r="A1081" s="12">
        <f t="shared" si="4"/>
        <v>3079</v>
      </c>
      <c r="B1081" s="30" t="s">
        <v>9781</v>
      </c>
      <c r="C1081" s="7" t="str">
        <f t="shared" si="6"/>
        <v>🔊</v>
      </c>
      <c r="D1081" s="8" t="s">
        <v>9782</v>
      </c>
      <c r="E1081" s="6" t="s">
        <v>13</v>
      </c>
      <c r="F1081" s="12" t="str">
        <f>IFERROR(__xludf.DUMMYFUNCTION("GOOGLETRANSLATE(B1081,""zh_cn"",""vi"")"),"nghĩ")</f>
        <v>nghĩ</v>
      </c>
      <c r="G1081" s="20" t="s">
        <v>9783</v>
      </c>
      <c r="H1081" s="6"/>
      <c r="I1081" s="11" t="b">
        <f t="shared" si="2"/>
        <v>0</v>
      </c>
      <c r="J1081" s="24"/>
      <c r="K1081" s="11" t="b">
        <f t="shared" si="3"/>
        <v>0</v>
      </c>
    </row>
    <row r="1082" ht="22.5" customHeight="1">
      <c r="A1082" s="12">
        <f t="shared" si="4"/>
        <v>3080</v>
      </c>
      <c r="B1082" s="30" t="s">
        <v>9784</v>
      </c>
      <c r="C1082" s="7" t="str">
        <f t="shared" si="6"/>
        <v>🔊</v>
      </c>
      <c r="D1082" s="8" t="s">
        <v>9785</v>
      </c>
      <c r="E1082" s="6" t="s">
        <v>27</v>
      </c>
      <c r="F1082" s="12" t="str">
        <f>IFERROR(__xludf.DUMMYFUNCTION("GOOGLETRANSLATE(B1082,""zh_cn"",""vi"")"),"riêng tư")</f>
        <v>riêng tư</v>
      </c>
      <c r="G1082" s="20" t="s">
        <v>9786</v>
      </c>
      <c r="H1082" s="6"/>
      <c r="I1082" s="11" t="b">
        <f t="shared" si="2"/>
        <v>0</v>
      </c>
      <c r="J1082" s="24"/>
      <c r="K1082" s="11" t="b">
        <f t="shared" si="3"/>
        <v>0</v>
      </c>
    </row>
    <row r="1083" ht="22.5" customHeight="1">
      <c r="A1083" s="12">
        <f t="shared" si="4"/>
        <v>3081</v>
      </c>
      <c r="B1083" s="30" t="s">
        <v>9787</v>
      </c>
      <c r="C1083" s="7" t="str">
        <f t="shared" si="6"/>
        <v>🔊</v>
      </c>
      <c r="D1083" s="8" t="s">
        <v>9788</v>
      </c>
      <c r="E1083" s="6" t="s">
        <v>57</v>
      </c>
      <c r="F1083" s="12" t="str">
        <f>IFERROR(__xludf.DUMMYFUNCTION("GOOGLETRANSLATE(B1083,""zh_cn"",""vi"")"),"suy nghĩ")</f>
        <v>suy nghĩ</v>
      </c>
      <c r="G1083" s="20" t="s">
        <v>9789</v>
      </c>
      <c r="H1083" s="6"/>
      <c r="I1083" s="11" t="b">
        <f t="shared" si="2"/>
        <v>0</v>
      </c>
      <c r="J1083" s="24"/>
      <c r="K1083" s="11" t="b">
        <f t="shared" si="3"/>
        <v>0</v>
      </c>
    </row>
    <row r="1084" ht="22.5" customHeight="1">
      <c r="A1084" s="12">
        <f t="shared" si="4"/>
        <v>3082</v>
      </c>
      <c r="B1084" s="30" t="s">
        <v>9790</v>
      </c>
      <c r="C1084" s="7" t="str">
        <f t="shared" si="6"/>
        <v>🔊</v>
      </c>
      <c r="D1084" s="8" t="s">
        <v>9791</v>
      </c>
      <c r="E1084" s="6" t="s">
        <v>27</v>
      </c>
      <c r="F1084" s="12" t="str">
        <f>IFERROR(__xludf.DUMMYFUNCTION("GOOGLETRANSLATE(B1084,""zh_cn"",""vi"")"),"Nghĩ")</f>
        <v>Nghĩ</v>
      </c>
      <c r="G1084" s="20" t="s">
        <v>9792</v>
      </c>
      <c r="H1084" s="6"/>
      <c r="I1084" s="11" t="b">
        <f t="shared" si="2"/>
        <v>0</v>
      </c>
      <c r="J1084" s="24"/>
      <c r="K1084" s="11" t="b">
        <f t="shared" si="3"/>
        <v>0</v>
      </c>
    </row>
    <row r="1085" ht="22.5" customHeight="1">
      <c r="A1085" s="12">
        <f t="shared" si="4"/>
        <v>3083</v>
      </c>
      <c r="B1085" s="30" t="s">
        <v>9793</v>
      </c>
      <c r="C1085" s="7" t="str">
        <f t="shared" si="6"/>
        <v>🔊</v>
      </c>
      <c r="D1085" s="8" t="s">
        <v>9794</v>
      </c>
      <c r="E1085" s="6" t="s">
        <v>27</v>
      </c>
      <c r="F1085" s="12" t="str">
        <f>IFERROR(__xludf.DUMMYFUNCTION("GOOGLETRANSLATE(B1085,""zh_cn"",""vi"")"),"khắp nơi")</f>
        <v>khắp nơi</v>
      </c>
      <c r="G1085" s="20" t="s">
        <v>9795</v>
      </c>
      <c r="H1085" s="6"/>
      <c r="I1085" s="11" t="b">
        <f t="shared" si="2"/>
        <v>0</v>
      </c>
      <c r="J1085" s="24"/>
      <c r="K1085" s="11" t="b">
        <f t="shared" si="3"/>
        <v>0</v>
      </c>
    </row>
    <row r="1086" ht="22.5" customHeight="1">
      <c r="A1086" s="12">
        <f t="shared" si="4"/>
        <v>3084</v>
      </c>
      <c r="B1086" s="30" t="s">
        <v>9796</v>
      </c>
      <c r="C1086" s="7" t="str">
        <f t="shared" si="6"/>
        <v>🔊</v>
      </c>
      <c r="D1086" s="8" t="s">
        <v>9797</v>
      </c>
      <c r="E1086" s="6" t="s">
        <v>13</v>
      </c>
      <c r="F1086" s="12" t="str">
        <f>IFERROR(__xludf.DUMMYFUNCTION("GOOGLETRANSLATE(B1086,""zh_cn"",""vi"")"),"tìm kiếm")</f>
        <v>tìm kiếm</v>
      </c>
      <c r="G1086" s="20" t="s">
        <v>9798</v>
      </c>
      <c r="H1086" s="6"/>
      <c r="I1086" s="11" t="b">
        <f t="shared" si="2"/>
        <v>0</v>
      </c>
      <c r="J1086" s="24"/>
      <c r="K1086" s="11" t="b">
        <f t="shared" si="3"/>
        <v>0</v>
      </c>
    </row>
    <row r="1087" ht="22.5" customHeight="1">
      <c r="A1087" s="12">
        <f t="shared" si="4"/>
        <v>3085</v>
      </c>
      <c r="B1087" s="30" t="s">
        <v>9799</v>
      </c>
      <c r="C1087" s="7" t="str">
        <f t="shared" si="6"/>
        <v>🔊</v>
      </c>
      <c r="D1087" s="8" t="s">
        <v>9800</v>
      </c>
      <c r="E1087" s="6" t="s">
        <v>13</v>
      </c>
      <c r="F1087" s="12" t="str">
        <f>IFERROR(__xludf.DUMMYFUNCTION("GOOGLETRANSLATE(B1087,""zh_cn"",""vi"")"),"tìm kiếm")</f>
        <v>tìm kiếm</v>
      </c>
      <c r="G1087" s="20" t="s">
        <v>9801</v>
      </c>
      <c r="H1087" s="6"/>
      <c r="I1087" s="11" t="b">
        <f t="shared" si="2"/>
        <v>0</v>
      </c>
      <c r="J1087" s="24"/>
      <c r="K1087" s="11" t="b">
        <f t="shared" si="3"/>
        <v>0</v>
      </c>
    </row>
    <row r="1088" ht="22.5" customHeight="1">
      <c r="A1088" s="12">
        <f t="shared" si="4"/>
        <v>3086</v>
      </c>
      <c r="B1088" s="30" t="s">
        <v>9802</v>
      </c>
      <c r="C1088" s="7" t="str">
        <f t="shared" si="6"/>
        <v>🔊</v>
      </c>
      <c r="D1088" s="8" t="s">
        <v>9803</v>
      </c>
      <c r="E1088" s="14"/>
      <c r="F1088" s="12" t="str">
        <f>IFERROR(__xludf.DUMMYFUNCTION("GOOGLETRANSLATE(B1088,""zh_cn"",""vi"")"),"thăng trầm")</f>
        <v>thăng trầm</v>
      </c>
      <c r="G1088" s="20" t="s">
        <v>9804</v>
      </c>
      <c r="H1088" s="6"/>
      <c r="I1088" s="11" t="b">
        <f t="shared" si="2"/>
        <v>0</v>
      </c>
      <c r="J1088" s="24"/>
      <c r="K1088" s="11" t="b">
        <f t="shared" si="3"/>
        <v>0</v>
      </c>
    </row>
    <row r="1089" ht="22.5" customHeight="1">
      <c r="A1089" s="12">
        <f t="shared" si="4"/>
        <v>3087</v>
      </c>
      <c r="B1089" s="30" t="s">
        <v>9805</v>
      </c>
      <c r="C1089" s="7" t="str">
        <f t="shared" si="6"/>
        <v>🔊</v>
      </c>
      <c r="D1089" s="8" t="s">
        <v>9806</v>
      </c>
      <c r="E1089" s="6" t="s">
        <v>13</v>
      </c>
      <c r="F1089" s="12" t="str">
        <f>IFERROR(__xludf.DUMMYFUNCTION("GOOGLETRANSLATE(B1089,""zh_cn"",""vi"")"),"Theo")</f>
        <v>Theo</v>
      </c>
      <c r="G1089" s="20" t="s">
        <v>9807</v>
      </c>
      <c r="H1089" s="6"/>
      <c r="I1089" s="11" t="b">
        <f t="shared" si="2"/>
        <v>0</v>
      </c>
      <c r="J1089" s="24"/>
      <c r="K1089" s="11" t="b">
        <f t="shared" si="3"/>
        <v>0</v>
      </c>
    </row>
    <row r="1090" ht="22.5" customHeight="1">
      <c r="A1090" s="12">
        <f t="shared" si="4"/>
        <v>3088</v>
      </c>
      <c r="B1090" s="30" t="s">
        <v>9808</v>
      </c>
      <c r="C1090" s="7" t="str">
        <f t="shared" si="6"/>
        <v>🔊</v>
      </c>
      <c r="D1090" s="8" t="s">
        <v>685</v>
      </c>
      <c r="E1090" s="6" t="s">
        <v>368</v>
      </c>
      <c r="F1090" s="12" t="str">
        <f>IFERROR(__xludf.DUMMYFUNCTION("GOOGLETRANSLATE(B1090,""zh_cn"",""vi"")"),"vỡ")</f>
        <v>vỡ</v>
      </c>
      <c r="G1090" s="20" t="s">
        <v>9809</v>
      </c>
      <c r="H1090" s="6"/>
      <c r="I1090" s="11" t="b">
        <f t="shared" si="2"/>
        <v>0</v>
      </c>
      <c r="J1090" s="24"/>
      <c r="K1090" s="11" t="b">
        <f t="shared" si="3"/>
        <v>0</v>
      </c>
    </row>
    <row r="1091" ht="22.5" customHeight="1">
      <c r="A1091" s="12">
        <f t="shared" si="4"/>
        <v>3089</v>
      </c>
      <c r="B1091" s="30" t="s">
        <v>9810</v>
      </c>
      <c r="C1091" s="7" t="str">
        <f t="shared" si="6"/>
        <v>🔊</v>
      </c>
      <c r="D1091" s="8" t="s">
        <v>9811</v>
      </c>
      <c r="E1091" s="6" t="s">
        <v>61</v>
      </c>
      <c r="F1091" s="12" t="str">
        <f>IFERROR(__xludf.DUMMYFUNCTION("GOOGLETRANSLATE(B1091,""zh_cn"",""vi"")"),"Sau đó")</f>
        <v>Sau đó</v>
      </c>
      <c r="G1091" s="20" t="s">
        <v>9812</v>
      </c>
      <c r="H1091" s="6"/>
      <c r="I1091" s="11" t="b">
        <f t="shared" si="2"/>
        <v>0</v>
      </c>
      <c r="J1091" s="24"/>
      <c r="K1091" s="11" t="b">
        <f t="shared" si="3"/>
        <v>0</v>
      </c>
    </row>
    <row r="1092" ht="22.5" customHeight="1">
      <c r="A1092" s="12">
        <f t="shared" si="4"/>
        <v>3090</v>
      </c>
      <c r="B1092" s="30" t="s">
        <v>9813</v>
      </c>
      <c r="C1092" s="7" t="str">
        <f t="shared" si="6"/>
        <v>🔊</v>
      </c>
      <c r="D1092" s="8" t="s">
        <v>9814</v>
      </c>
      <c r="E1092" s="6" t="s">
        <v>61</v>
      </c>
      <c r="F1092" s="12" t="str">
        <f>IFERROR(__xludf.DUMMYFUNCTION("GOOGLETRANSLATE(B1092,""zh_cn"",""vi"")"),"bất cứ lúc nào")</f>
        <v>bất cứ lúc nào</v>
      </c>
      <c r="G1092" s="20" t="s">
        <v>9815</v>
      </c>
      <c r="H1092" s="6"/>
      <c r="I1092" s="11" t="b">
        <f t="shared" si="2"/>
        <v>0</v>
      </c>
      <c r="J1092" s="24"/>
      <c r="K1092" s="11" t="b">
        <f t="shared" si="3"/>
        <v>0</v>
      </c>
    </row>
    <row r="1093" ht="22.5" customHeight="1">
      <c r="A1093" s="12">
        <f t="shared" si="4"/>
        <v>3091</v>
      </c>
      <c r="B1093" s="30" t="s">
        <v>9816</v>
      </c>
      <c r="C1093" s="7" t="str">
        <f t="shared" si="6"/>
        <v>🔊</v>
      </c>
      <c r="D1093" s="8" t="s">
        <v>9817</v>
      </c>
      <c r="E1093" s="6" t="s">
        <v>61</v>
      </c>
      <c r="F1093" s="12" t="str">
        <f>IFERROR(__xludf.DUMMYFUNCTION("GOOGLETRANSLATE(B1093,""zh_cn"",""vi"")"),"tình cờ")</f>
        <v>tình cờ</v>
      </c>
      <c r="G1093" s="20" t="s">
        <v>9818</v>
      </c>
      <c r="H1093" s="6"/>
      <c r="I1093" s="11" t="b">
        <f t="shared" si="2"/>
        <v>0</v>
      </c>
      <c r="J1093" s="24"/>
      <c r="K1093" s="11" t="b">
        <f t="shared" si="3"/>
        <v>0</v>
      </c>
    </row>
    <row r="1094" ht="22.5" customHeight="1">
      <c r="A1094" s="12">
        <f t="shared" si="4"/>
        <v>3092</v>
      </c>
      <c r="B1094" s="30" t="s">
        <v>9819</v>
      </c>
      <c r="C1094" s="7" t="str">
        <f t="shared" si="6"/>
        <v>🔊</v>
      </c>
      <c r="D1094" s="8" t="s">
        <v>9820</v>
      </c>
      <c r="E1094" s="6" t="s">
        <v>99</v>
      </c>
      <c r="F1094" s="12" t="str">
        <f>IFERROR(__xludf.DUMMYFUNCTION("GOOGLETRANSLATE(B1094,""zh_cn"",""vi"")"),"ngẫu nhiên")</f>
        <v>ngẫu nhiên</v>
      </c>
      <c r="G1094" s="20" t="s">
        <v>9821</v>
      </c>
      <c r="H1094" s="6"/>
      <c r="I1094" s="11" t="b">
        <f t="shared" si="2"/>
        <v>0</v>
      </c>
      <c r="J1094" s="24"/>
      <c r="K1094" s="11" t="b">
        <f t="shared" si="3"/>
        <v>0</v>
      </c>
    </row>
    <row r="1095" ht="22.5" customHeight="1">
      <c r="A1095" s="12">
        <f t="shared" si="4"/>
        <v>3093</v>
      </c>
      <c r="B1095" s="30" t="s">
        <v>9822</v>
      </c>
      <c r="C1095" s="7" t="str">
        <f t="shared" si="6"/>
        <v>🔊</v>
      </c>
      <c r="D1095" s="8" t="s">
        <v>9823</v>
      </c>
      <c r="E1095" s="6" t="s">
        <v>13</v>
      </c>
      <c r="F1095" s="12" t="str">
        <f>IFERROR(__xludf.DUMMYFUNCTION("GOOGLETRANSLATE(B1095,""zh_cn"",""vi"")"),"hư hại")</f>
        <v>hư hại</v>
      </c>
      <c r="G1095" s="20" t="s">
        <v>9824</v>
      </c>
      <c r="H1095" s="6"/>
      <c r="I1095" s="11" t="b">
        <f t="shared" si="2"/>
        <v>0</v>
      </c>
      <c r="J1095" s="24"/>
      <c r="K1095" s="11" t="b">
        <f t="shared" si="3"/>
        <v>0</v>
      </c>
    </row>
    <row r="1096" ht="22.5" customHeight="1">
      <c r="A1096" s="12">
        <f t="shared" si="4"/>
        <v>3094</v>
      </c>
      <c r="B1096" s="30" t="s">
        <v>9825</v>
      </c>
      <c r="C1096" s="7" t="str">
        <f t="shared" si="6"/>
        <v>🔊</v>
      </c>
      <c r="D1096" s="8" t="s">
        <v>9826</v>
      </c>
      <c r="E1096" s="6" t="s">
        <v>232</v>
      </c>
      <c r="F1096" s="12" t="str">
        <f>IFERROR(__xludf.DUMMYFUNCTION("GOOGLETRANSLATE(B1096,""zh_cn"",""vi"")"),"sự mất mát")</f>
        <v>sự mất mát</v>
      </c>
      <c r="G1096" s="20" t="s">
        <v>9827</v>
      </c>
      <c r="H1096" s="6"/>
      <c r="I1096" s="11" t="b">
        <f t="shared" si="2"/>
        <v>0</v>
      </c>
      <c r="J1096" s="24"/>
      <c r="K1096" s="11" t="b">
        <f t="shared" si="3"/>
        <v>0</v>
      </c>
    </row>
    <row r="1097" ht="22.5" customHeight="1">
      <c r="A1097" s="12">
        <f t="shared" si="4"/>
        <v>3095</v>
      </c>
      <c r="B1097" s="30" t="s">
        <v>9828</v>
      </c>
      <c r="C1097" s="7" t="str">
        <f t="shared" si="6"/>
        <v>🔊</v>
      </c>
      <c r="D1097" s="8" t="s">
        <v>9829</v>
      </c>
      <c r="E1097" s="6" t="s">
        <v>9278</v>
      </c>
      <c r="F1097" s="12" t="str">
        <f>IFERROR(__xludf.DUMMYFUNCTION("GOOGLETRANSLATE(B1097,""zh_cn"",""vi"")"),"Viện 1")</f>
        <v>Viện 1</v>
      </c>
      <c r="G1097" s="20" t="s">
        <v>9830</v>
      </c>
      <c r="H1097" s="6"/>
      <c r="I1097" s="11" t="b">
        <f t="shared" si="2"/>
        <v>0</v>
      </c>
      <c r="J1097" s="24"/>
      <c r="K1097" s="11" t="b">
        <f t="shared" si="3"/>
        <v>0</v>
      </c>
    </row>
    <row r="1098" ht="22.5" customHeight="1">
      <c r="A1098" s="12">
        <f t="shared" si="4"/>
        <v>3096</v>
      </c>
      <c r="B1098" s="30" t="s">
        <v>9831</v>
      </c>
      <c r="C1098" s="7" t="str">
        <f t="shared" si="6"/>
        <v>🔊</v>
      </c>
      <c r="D1098" s="8" t="s">
        <v>9829</v>
      </c>
      <c r="E1098" s="6" t="s">
        <v>57</v>
      </c>
      <c r="F1098" s="12" t="str">
        <f>IFERROR(__xludf.DUMMYFUNCTION("GOOGLETRANSLATE(B1098,""zh_cn"",""vi"")"),"Khóa")</f>
        <v>Khóa</v>
      </c>
      <c r="G1098" s="20" t="s">
        <v>9832</v>
      </c>
      <c r="H1098" s="6"/>
      <c r="I1098" s="11" t="b">
        <f t="shared" si="2"/>
        <v>0</v>
      </c>
      <c r="J1098" s="24"/>
      <c r="K1098" s="11" t="b">
        <f t="shared" si="3"/>
        <v>0</v>
      </c>
    </row>
    <row r="1099" ht="22.5" customHeight="1">
      <c r="A1099" s="12">
        <f t="shared" si="4"/>
        <v>3097</v>
      </c>
      <c r="B1099" s="30" t="s">
        <v>9833</v>
      </c>
      <c r="C1099" s="7" t="str">
        <f t="shared" si="6"/>
        <v>🔊</v>
      </c>
      <c r="D1099" s="8" t="s">
        <v>9834</v>
      </c>
      <c r="E1099" s="6" t="s">
        <v>13</v>
      </c>
      <c r="F1099" s="12" t="str">
        <f>IFERROR(__xludf.DUMMYFUNCTION("GOOGLETRANSLATE(B1099,""zh_cn"",""vi"")"),"rút ngắn")</f>
        <v>rút ngắn</v>
      </c>
      <c r="G1099" s="20" t="s">
        <v>9835</v>
      </c>
      <c r="H1099" s="6"/>
      <c r="I1099" s="11" t="b">
        <f t="shared" si="2"/>
        <v>0</v>
      </c>
      <c r="J1099" s="24"/>
      <c r="K1099" s="11" t="b">
        <f t="shared" si="3"/>
        <v>0</v>
      </c>
    </row>
    <row r="1100" ht="22.5" customHeight="1">
      <c r="A1100" s="12">
        <f t="shared" si="4"/>
        <v>3098</v>
      </c>
      <c r="B1100" s="30" t="s">
        <v>9836</v>
      </c>
      <c r="C1100" s="7" t="str">
        <f t="shared" si="6"/>
        <v>🔊</v>
      </c>
      <c r="D1100" s="8" t="s">
        <v>9837</v>
      </c>
      <c r="E1100" s="6" t="s">
        <v>13</v>
      </c>
      <c r="F1100" s="12" t="str">
        <f>IFERROR(__xludf.DUMMYFUNCTION("GOOGLETRANSLATE(B1100,""zh_cn"",""vi"")"),"Thu nhỏ")</f>
        <v>Thu nhỏ</v>
      </c>
      <c r="G1100" s="20" t="s">
        <v>9838</v>
      </c>
      <c r="H1100" s="6"/>
      <c r="I1100" s="11" t="b">
        <f t="shared" si="2"/>
        <v>0</v>
      </c>
      <c r="J1100" s="24"/>
      <c r="K1100" s="11" t="b">
        <f t="shared" si="3"/>
        <v>0</v>
      </c>
    </row>
    <row r="1101" ht="22.5" customHeight="1">
      <c r="A1101" s="12">
        <f t="shared" si="4"/>
        <v>3099</v>
      </c>
      <c r="B1101" s="30" t="s">
        <v>9839</v>
      </c>
      <c r="C1101" s="7" t="str">
        <f t="shared" si="6"/>
        <v>🔊</v>
      </c>
      <c r="D1101" s="8" t="s">
        <v>9840</v>
      </c>
      <c r="E1101" s="6" t="s">
        <v>27</v>
      </c>
      <c r="F1101" s="12" t="str">
        <f>IFERROR(__xludf.DUMMYFUNCTION("GOOGLETRANSLATE(B1101,""zh_cn"",""vi"")"),"ký túc xá")</f>
        <v>ký túc xá</v>
      </c>
      <c r="G1101" s="20" t="s">
        <v>9841</v>
      </c>
      <c r="H1101" s="6"/>
      <c r="I1101" s="11" t="b">
        <f t="shared" si="2"/>
        <v>0</v>
      </c>
      <c r="J1101" s="24"/>
      <c r="K1101" s="11" t="b">
        <f t="shared" si="3"/>
        <v>0</v>
      </c>
    </row>
    <row r="1102" ht="22.5" customHeight="1">
      <c r="A1102" s="12">
        <f t="shared" si="4"/>
        <v>3100</v>
      </c>
      <c r="B1102" s="30" t="s">
        <v>9842</v>
      </c>
      <c r="C1102" s="7" t="str">
        <f t="shared" si="6"/>
        <v>🔊</v>
      </c>
      <c r="D1102" s="8" t="s">
        <v>9843</v>
      </c>
      <c r="E1102" s="6" t="s">
        <v>27</v>
      </c>
      <c r="F1102" s="12" t="str">
        <f>IFERROR(__xludf.DUMMYFUNCTION("GOOGLETRANSLATE(B1102,""zh_cn"",""vi"")"),"đèn bàn")</f>
        <v>đèn bàn</v>
      </c>
      <c r="G1102" s="20" t="s">
        <v>9844</v>
      </c>
      <c r="H1102" s="6"/>
      <c r="I1102" s="11" t="b">
        <f t="shared" si="2"/>
        <v>0</v>
      </c>
      <c r="J1102" s="24"/>
      <c r="K1102" s="11" t="b">
        <f t="shared" si="3"/>
        <v>0</v>
      </c>
    </row>
    <row r="1103" ht="22.5" customHeight="1">
      <c r="A1103" s="12">
        <f t="shared" si="4"/>
        <v>3101</v>
      </c>
      <c r="B1103" s="30" t="s">
        <v>9845</v>
      </c>
      <c r="C1103" s="7" t="str">
        <f t="shared" si="6"/>
        <v>🔊</v>
      </c>
      <c r="D1103" s="8" t="s">
        <v>9846</v>
      </c>
      <c r="E1103" s="6" t="s">
        <v>27</v>
      </c>
      <c r="F1103" s="12" t="str">
        <f>IFERROR(__xludf.DUMMYFUNCTION("GOOGLETRANSLATE(B1103,""zh_cn"",""vi"")"),"Các bước")</f>
        <v>Các bước</v>
      </c>
      <c r="G1103" s="20" t="s">
        <v>9847</v>
      </c>
      <c r="H1103" s="6"/>
      <c r="I1103" s="11" t="b">
        <f t="shared" si="2"/>
        <v>0</v>
      </c>
      <c r="J1103" s="24"/>
      <c r="K1103" s="11" t="b">
        <f t="shared" si="3"/>
        <v>0</v>
      </c>
    </row>
    <row r="1104" ht="22.5" customHeight="1">
      <c r="A1104" s="12">
        <f t="shared" si="4"/>
        <v>3102</v>
      </c>
      <c r="B1104" s="30" t="s">
        <v>9848</v>
      </c>
      <c r="C1104" s="7" t="str">
        <f t="shared" si="6"/>
        <v>🔊</v>
      </c>
      <c r="D1104" s="8" t="s">
        <v>9849</v>
      </c>
      <c r="E1104" s="6" t="s">
        <v>27</v>
      </c>
      <c r="F1104" s="12" t="str">
        <f>IFERROR(__xludf.DUMMYFUNCTION("GOOGLETRANSLATE(B1104,""zh_cn"",""vi"")"),"Bà")</f>
        <v>Bà</v>
      </c>
      <c r="G1104" s="20" t="s">
        <v>9850</v>
      </c>
      <c r="H1104" s="6"/>
      <c r="I1104" s="11" t="b">
        <f t="shared" si="2"/>
        <v>0</v>
      </c>
      <c r="J1104" s="24"/>
      <c r="K1104" s="11" t="b">
        <f t="shared" si="3"/>
        <v>0</v>
      </c>
    </row>
    <row r="1105" ht="22.5" customHeight="1">
      <c r="A1105" s="12">
        <f t="shared" si="4"/>
        <v>3103</v>
      </c>
      <c r="B1105" s="30" t="s">
        <v>9851</v>
      </c>
      <c r="C1105" s="7" t="str">
        <f t="shared" si="6"/>
        <v>🔊</v>
      </c>
      <c r="D1105" s="8" t="s">
        <v>9852</v>
      </c>
      <c r="E1105" s="6" t="s">
        <v>13</v>
      </c>
      <c r="F1105" s="12" t="str">
        <f>IFERROR(__xludf.DUMMYFUNCTION("GOOGLETRANSLATE(B1105,""zh_cn"",""vi"")"),"cuộc hội thoại")</f>
        <v>cuộc hội thoại</v>
      </c>
      <c r="G1105" s="20" t="s">
        <v>9853</v>
      </c>
      <c r="H1105" s="6"/>
      <c r="I1105" s="11" t="b">
        <f t="shared" si="2"/>
        <v>0</v>
      </c>
      <c r="J1105" s="24"/>
      <c r="K1105" s="11" t="b">
        <f t="shared" si="3"/>
        <v>0</v>
      </c>
    </row>
    <row r="1106" ht="22.5" customHeight="1">
      <c r="A1106" s="12">
        <f t="shared" si="4"/>
        <v>3104</v>
      </c>
      <c r="B1106" s="30" t="s">
        <v>9854</v>
      </c>
      <c r="C1106" s="7" t="str">
        <f t="shared" si="6"/>
        <v>🔊</v>
      </c>
      <c r="D1106" s="8" t="s">
        <v>9855</v>
      </c>
      <c r="E1106" s="6" t="s">
        <v>27</v>
      </c>
      <c r="F1106" s="12" t="str">
        <f>IFERROR(__xludf.DUMMYFUNCTION("GOOGLETRANSLATE(B1106,""zh_cn"",""vi"")"),"Quả đào")</f>
        <v>Quả đào</v>
      </c>
      <c r="G1106" s="20" t="s">
        <v>9856</v>
      </c>
      <c r="H1106" s="6"/>
      <c r="I1106" s="11" t="b">
        <f t="shared" si="2"/>
        <v>0</v>
      </c>
      <c r="J1106" s="24"/>
      <c r="K1106" s="11" t="b">
        <f t="shared" si="3"/>
        <v>0</v>
      </c>
    </row>
    <row r="1107" ht="22.5" customHeight="1">
      <c r="A1107" s="12">
        <f t="shared" si="4"/>
        <v>3105</v>
      </c>
      <c r="B1107" s="30" t="s">
        <v>9857</v>
      </c>
      <c r="C1107" s="7" t="str">
        <f t="shared" si="6"/>
        <v>🔊</v>
      </c>
      <c r="D1107" s="8" t="s">
        <v>9858</v>
      </c>
      <c r="E1107" s="6" t="s">
        <v>771</v>
      </c>
      <c r="F1107" s="12" t="str">
        <f>IFERROR(__xludf.DUMMYFUNCTION("GOOGLETRANSLATE(B1107,""zh_cn"",""vi"")"),"bộ")</f>
        <v>bộ</v>
      </c>
      <c r="G1107" s="20" t="s">
        <v>9859</v>
      </c>
      <c r="H1107" s="6"/>
      <c r="I1107" s="11" t="b">
        <f t="shared" si="2"/>
        <v>0</v>
      </c>
      <c r="J1107" s="24"/>
      <c r="K1107" s="11" t="b">
        <f t="shared" si="3"/>
        <v>0</v>
      </c>
    </row>
    <row r="1108" ht="22.5" customHeight="1">
      <c r="A1108" s="12">
        <f t="shared" si="4"/>
        <v>3106</v>
      </c>
      <c r="B1108" s="30" t="s">
        <v>9860</v>
      </c>
      <c r="C1108" s="7" t="str">
        <f t="shared" si="6"/>
        <v>🔊</v>
      </c>
      <c r="D1108" s="8" t="s">
        <v>9861</v>
      </c>
      <c r="E1108" s="6" t="s">
        <v>106</v>
      </c>
      <c r="F1108" s="12" t="str">
        <f>IFERROR(__xludf.DUMMYFUNCTION("GOOGLETRANSLATE(B1108,""zh_cn"",""vi"")"),"người khác")</f>
        <v>người khác</v>
      </c>
      <c r="G1108" s="20" t="s">
        <v>9862</v>
      </c>
      <c r="H1108" s="6"/>
      <c r="I1108" s="11" t="b">
        <f t="shared" si="2"/>
        <v>0</v>
      </c>
      <c r="J1108" s="24"/>
      <c r="K1108" s="11" t="b">
        <f t="shared" si="3"/>
        <v>0</v>
      </c>
    </row>
    <row r="1109" ht="22.5" customHeight="1">
      <c r="A1109" s="12">
        <f t="shared" si="4"/>
        <v>3107</v>
      </c>
      <c r="B1109" s="30" t="s">
        <v>9863</v>
      </c>
      <c r="C1109" s="7" t="str">
        <f t="shared" si="6"/>
        <v>🔊</v>
      </c>
      <c r="D1109" s="8" t="s">
        <v>9864</v>
      </c>
      <c r="E1109" s="6" t="s">
        <v>27</v>
      </c>
      <c r="F1109" s="12" t="str">
        <f>IFERROR(__xludf.DUMMYFUNCTION("GOOGLETRANSLATE(B1109,""zh_cn"",""vi"")"),"chuyên ngành")</f>
        <v>chuyên ngành</v>
      </c>
      <c r="G1109" s="20" t="s">
        <v>9865</v>
      </c>
      <c r="H1109" s="6"/>
      <c r="I1109" s="11" t="b">
        <f t="shared" si="2"/>
        <v>0</v>
      </c>
      <c r="J1109" s="24"/>
      <c r="K1109" s="11" t="b">
        <f t="shared" si="3"/>
        <v>0</v>
      </c>
    </row>
    <row r="1110" ht="22.5" customHeight="1">
      <c r="A1110" s="12">
        <f t="shared" si="4"/>
        <v>3108</v>
      </c>
      <c r="B1110" s="30" t="s">
        <v>9866</v>
      </c>
      <c r="C1110" s="7" t="str">
        <f t="shared" si="6"/>
        <v>🔊</v>
      </c>
      <c r="D1110" s="8" t="s">
        <v>9867</v>
      </c>
      <c r="E1110" s="6" t="s">
        <v>99</v>
      </c>
      <c r="F1110" s="12" t="str">
        <f>IFERROR(__xludf.DUMMYFUNCTION("GOOGLETRANSLATE(B1110,""zh_cn"",""vi"")"),"nỗi đau")</f>
        <v>nỗi đau</v>
      </c>
      <c r="G1110" s="20" t="s">
        <v>9868</v>
      </c>
      <c r="H1110" s="6"/>
      <c r="I1110" s="11" t="b">
        <f t="shared" si="2"/>
        <v>0</v>
      </c>
      <c r="J1110" s="24"/>
      <c r="K1110" s="11" t="b">
        <f t="shared" si="3"/>
        <v>0</v>
      </c>
    </row>
    <row r="1111" ht="22.5" customHeight="1">
      <c r="A1111" s="12">
        <f t="shared" si="4"/>
        <v>3109</v>
      </c>
      <c r="B1111" s="30" t="s">
        <v>9869</v>
      </c>
      <c r="C1111" s="7" t="str">
        <f t="shared" si="6"/>
        <v>🔊</v>
      </c>
      <c r="D1111" s="8" t="s">
        <v>9870</v>
      </c>
      <c r="E1111" s="6" t="s">
        <v>27</v>
      </c>
      <c r="F1111" s="12" t="str">
        <f>IFERROR(__xludf.DUMMYFUNCTION("GOOGLETRANSLATE(B1111,""zh_cn"",""vi"")"),"tính năng")</f>
        <v>tính năng</v>
      </c>
      <c r="G1111" s="20" t="s">
        <v>9871</v>
      </c>
      <c r="H1111" s="6"/>
      <c r="I1111" s="11" t="b">
        <f t="shared" si="2"/>
        <v>0</v>
      </c>
      <c r="J1111" s="24"/>
      <c r="K1111" s="11" t="b">
        <f t="shared" si="3"/>
        <v>0</v>
      </c>
    </row>
    <row r="1112" ht="22.5" customHeight="1">
      <c r="A1112" s="12">
        <f t="shared" si="4"/>
        <v>3110</v>
      </c>
      <c r="B1112" s="30" t="s">
        <v>9872</v>
      </c>
      <c r="C1112" s="7" t="str">
        <f t="shared" si="6"/>
        <v>🔊</v>
      </c>
      <c r="D1112" s="8" t="s">
        <v>9873</v>
      </c>
      <c r="E1112" s="6" t="s">
        <v>99</v>
      </c>
      <c r="F1112" s="12" t="str">
        <f>IFERROR(__xludf.DUMMYFUNCTION("GOOGLETRANSLATE(B1112,""zh_cn"",""vi"")"),"đặc biệt")</f>
        <v>đặc biệt</v>
      </c>
      <c r="G1112" s="20" t="s">
        <v>9874</v>
      </c>
      <c r="H1112" s="6"/>
      <c r="I1112" s="11" t="b">
        <f t="shared" si="2"/>
        <v>0</v>
      </c>
      <c r="J1112" s="24"/>
      <c r="K1112" s="11" t="b">
        <f t="shared" si="3"/>
        <v>0</v>
      </c>
    </row>
    <row r="1113" ht="22.5" customHeight="1">
      <c r="A1113" s="12">
        <f t="shared" si="4"/>
        <v>3111</v>
      </c>
      <c r="B1113" s="30" t="s">
        <v>9875</v>
      </c>
      <c r="C1113" s="7" t="str">
        <f t="shared" si="6"/>
        <v>🔊</v>
      </c>
      <c r="D1113" s="8" t="s">
        <v>9876</v>
      </c>
      <c r="E1113" s="6" t="s">
        <v>99</v>
      </c>
      <c r="F1113" s="12" t="str">
        <f>IFERROR(__xludf.DUMMYFUNCTION("GOOGLETRANSLATE(B1113,""zh_cn"",""vi"")"),"Độc nhất")</f>
        <v>Độc nhất</v>
      </c>
      <c r="G1113" s="20" t="s">
        <v>9877</v>
      </c>
      <c r="H1113" s="6"/>
      <c r="I1113" s="11" t="b">
        <f t="shared" si="2"/>
        <v>0</v>
      </c>
      <c r="J1113" s="24"/>
      <c r="K1113" s="11" t="b">
        <f t="shared" si="3"/>
        <v>0</v>
      </c>
    </row>
    <row r="1114" ht="22.5" customHeight="1">
      <c r="A1114" s="12">
        <f t="shared" si="4"/>
        <v>3112</v>
      </c>
      <c r="B1114" s="30" t="s">
        <v>9878</v>
      </c>
      <c r="C1114" s="7" t="str">
        <f t="shared" si="6"/>
        <v>🔊</v>
      </c>
      <c r="D1114" s="8" t="s">
        <v>9879</v>
      </c>
      <c r="E1114" s="6" t="s">
        <v>27</v>
      </c>
      <c r="F1114" s="12" t="str">
        <f>IFERROR(__xludf.DUMMYFUNCTION("GOOGLETRANSLATE(B1114,""zh_cn"",""vi"")"),"tính năng")</f>
        <v>tính năng</v>
      </c>
      <c r="G1114" s="20" t="s">
        <v>9880</v>
      </c>
      <c r="H1114" s="6"/>
      <c r="I1114" s="11" t="b">
        <f t="shared" si="2"/>
        <v>0</v>
      </c>
      <c r="J1114" s="24"/>
      <c r="K1114" s="11" t="b">
        <f t="shared" si="3"/>
        <v>0</v>
      </c>
    </row>
    <row r="1115" ht="22.5" customHeight="1">
      <c r="A1115" s="12">
        <f t="shared" si="4"/>
        <v>3113</v>
      </c>
      <c r="B1115" s="30" t="s">
        <v>9881</v>
      </c>
      <c r="C1115" s="7" t="str">
        <f t="shared" si="6"/>
        <v>🔊</v>
      </c>
      <c r="D1115" s="8" t="s">
        <v>9882</v>
      </c>
      <c r="E1115" s="6" t="s">
        <v>1054</v>
      </c>
      <c r="F1115" s="12" t="str">
        <f>IFERROR(__xludf.DUMMYFUNCTION("GOOGLETRANSLATE(B1115,""zh_cn"",""vi"")"),"vì")</f>
        <v>vì</v>
      </c>
      <c r="G1115" s="20" t="s">
        <v>9883</v>
      </c>
      <c r="H1115" s="6"/>
      <c r="I1115" s="11" t="b">
        <f t="shared" si="2"/>
        <v>0</v>
      </c>
      <c r="J1115" s="24"/>
      <c r="K1115" s="11" t="b">
        <f t="shared" si="3"/>
        <v>0</v>
      </c>
    </row>
    <row r="1116" ht="22.5" customHeight="1">
      <c r="A1116" s="12">
        <f t="shared" si="4"/>
        <v>3114</v>
      </c>
      <c r="B1116" s="30" t="s">
        <v>9884</v>
      </c>
      <c r="C1116" s="7" t="str">
        <f t="shared" si="6"/>
        <v>🔊</v>
      </c>
      <c r="D1116" s="8" t="s">
        <v>2852</v>
      </c>
      <c r="E1116" s="6" t="s">
        <v>13</v>
      </c>
      <c r="F1116" s="12" t="str">
        <f>IFERROR(__xludf.DUMMYFUNCTION("GOOGLETRANSLATE(B1116,""zh_cn"",""vi"")"),"đổ đầy")</f>
        <v>đổ đầy</v>
      </c>
      <c r="G1116" s="20" t="s">
        <v>9885</v>
      </c>
      <c r="H1116" s="6"/>
      <c r="I1116" s="11" t="b">
        <f t="shared" si="2"/>
        <v>0</v>
      </c>
      <c r="J1116" s="24"/>
      <c r="K1116" s="11" t="b">
        <f t="shared" si="3"/>
        <v>0</v>
      </c>
    </row>
    <row r="1117" ht="22.5" customHeight="1">
      <c r="A1117" s="12">
        <f t="shared" si="4"/>
        <v>3115</v>
      </c>
      <c r="B1117" s="30" t="s">
        <v>9886</v>
      </c>
      <c r="C1117" s="7" t="str">
        <f t="shared" si="6"/>
        <v>🔊</v>
      </c>
      <c r="D1117" s="8" t="s">
        <v>9887</v>
      </c>
      <c r="E1117" s="6" t="s">
        <v>27</v>
      </c>
      <c r="F1117" s="12" t="str">
        <f>IFERROR(__xludf.DUMMYFUNCTION("GOOGLETRANSLATE(B1117,""zh_cn"",""vi"")"),"Bầu trời")</f>
        <v>Bầu trời</v>
      </c>
      <c r="G1117" s="20" t="s">
        <v>9888</v>
      </c>
      <c r="H1117" s="6"/>
      <c r="I1117" s="11" t="b">
        <f t="shared" si="2"/>
        <v>0</v>
      </c>
      <c r="J1117" s="24"/>
      <c r="K1117" s="11" t="b">
        <f t="shared" si="3"/>
        <v>0</v>
      </c>
    </row>
    <row r="1118" ht="22.5" customHeight="1">
      <c r="A1118" s="12">
        <f t="shared" si="4"/>
        <v>3116</v>
      </c>
      <c r="B1118" s="30" t="s">
        <v>9889</v>
      </c>
      <c r="C1118" s="7" t="str">
        <f t="shared" si="6"/>
        <v>🔊</v>
      </c>
      <c r="D1118" s="8" t="s">
        <v>9890</v>
      </c>
      <c r="E1118" s="6" t="s">
        <v>27</v>
      </c>
      <c r="F1118" s="12" t="str">
        <f>IFERROR(__xludf.DUMMYFUNCTION("GOOGLETRANSLATE(B1118,""zh_cn"",""vi"")"),"Món tráng miệng")</f>
        <v>Món tráng miệng</v>
      </c>
      <c r="G1118" s="20" t="s">
        <v>9891</v>
      </c>
      <c r="H1118" s="6"/>
      <c r="I1118" s="11" t="b">
        <f t="shared" si="2"/>
        <v>0</v>
      </c>
      <c r="J1118" s="24"/>
      <c r="K1118" s="11" t="b">
        <f t="shared" si="3"/>
        <v>0</v>
      </c>
    </row>
    <row r="1119" ht="22.5" customHeight="1">
      <c r="A1119" s="12">
        <f t="shared" si="4"/>
        <v>3117</v>
      </c>
      <c r="B1119" s="30" t="s">
        <v>9892</v>
      </c>
      <c r="C1119" s="7" t="str">
        <f t="shared" si="6"/>
        <v>🔊</v>
      </c>
      <c r="D1119" s="8" t="s">
        <v>9893</v>
      </c>
      <c r="E1119" s="6" t="s">
        <v>27</v>
      </c>
      <c r="F1119" s="12" t="str">
        <f>IFERROR(__xludf.DUMMYFUNCTION("GOOGLETRANSLATE(B1119,""zh_cn"",""vi"")"),"Thiên đường")</f>
        <v>Thiên đường</v>
      </c>
      <c r="G1119" s="20" t="s">
        <v>9894</v>
      </c>
      <c r="H1119" s="6"/>
      <c r="I1119" s="11" t="b">
        <f t="shared" si="2"/>
        <v>0</v>
      </c>
      <c r="J1119" s="24"/>
      <c r="K1119" s="11" t="b">
        <f t="shared" si="3"/>
        <v>0</v>
      </c>
    </row>
    <row r="1120" ht="22.5" customHeight="1">
      <c r="A1120" s="12">
        <f t="shared" si="4"/>
        <v>3118</v>
      </c>
      <c r="B1120" s="30" t="s">
        <v>9895</v>
      </c>
      <c r="C1120" s="7" t="str">
        <f t="shared" si="6"/>
        <v>🔊</v>
      </c>
      <c r="D1120" s="8" t="s">
        <v>1514</v>
      </c>
      <c r="E1120" s="6" t="s">
        <v>13</v>
      </c>
      <c r="F1120" s="12" t="str">
        <f>IFERROR(__xludf.DUMMYFUNCTION("GOOGLETRANSLATE(B1120,""zh_cn"",""vi"")"),"Điều chỉnh")</f>
        <v>Điều chỉnh</v>
      </c>
      <c r="G1120" s="20" t="s">
        <v>9896</v>
      </c>
      <c r="H1120" s="6"/>
      <c r="I1120" s="11" t="b">
        <f t="shared" si="2"/>
        <v>0</v>
      </c>
      <c r="J1120" s="24"/>
      <c r="K1120" s="11" t="b">
        <f t="shared" si="3"/>
        <v>0</v>
      </c>
    </row>
    <row r="1121" ht="22.5" customHeight="1">
      <c r="A1121" s="12">
        <f t="shared" si="4"/>
        <v>3119</v>
      </c>
      <c r="B1121" s="30" t="s">
        <v>9897</v>
      </c>
      <c r="C1121" s="7" t="str">
        <f t="shared" si="6"/>
        <v>🔊</v>
      </c>
      <c r="D1121" s="8" t="s">
        <v>9898</v>
      </c>
      <c r="E1121" s="6" t="s">
        <v>13</v>
      </c>
      <c r="F1121" s="12" t="str">
        <f>IFERROR(__xludf.DUMMYFUNCTION("GOOGLETRANSLATE(B1121,""zh_cn"",""vi"")"),"nhặt")</f>
        <v>nhặt</v>
      </c>
      <c r="G1121" s="20" t="s">
        <v>9899</v>
      </c>
      <c r="H1121" s="6"/>
      <c r="I1121" s="11" t="b">
        <f t="shared" si="2"/>
        <v>0</v>
      </c>
      <c r="J1121" s="24"/>
      <c r="K1121" s="11" t="b">
        <f t="shared" si="3"/>
        <v>0</v>
      </c>
    </row>
    <row r="1122" ht="22.5" customHeight="1">
      <c r="A1122" s="12">
        <f t="shared" si="4"/>
        <v>3120</v>
      </c>
      <c r="B1122" s="30" t="s">
        <v>9900</v>
      </c>
      <c r="C1122" s="7" t="str">
        <f t="shared" si="6"/>
        <v>🔊</v>
      </c>
      <c r="D1122" s="8" t="s">
        <v>9901</v>
      </c>
      <c r="E1122" s="6" t="s">
        <v>13</v>
      </c>
      <c r="F1122" s="12" t="str">
        <f>IFERROR(__xludf.DUMMYFUNCTION("GOOGLETRANSLATE(B1122,""zh_cn"",""vi"")"),"nhảy cao")</f>
        <v>nhảy cao</v>
      </c>
      <c r="G1122" s="20" t="s">
        <v>9902</v>
      </c>
      <c r="H1122" s="6"/>
      <c r="I1122" s="11" t="b">
        <f t="shared" si="2"/>
        <v>0</v>
      </c>
      <c r="J1122" s="24"/>
      <c r="K1122" s="11" t="b">
        <f t="shared" si="3"/>
        <v>0</v>
      </c>
    </row>
    <row r="1123" ht="22.5" customHeight="1">
      <c r="A1123" s="12">
        <f t="shared" si="4"/>
        <v>3121</v>
      </c>
      <c r="B1123" s="30" t="s">
        <v>9903</v>
      </c>
      <c r="C1123" s="7" t="str">
        <f t="shared" si="6"/>
        <v>🔊</v>
      </c>
      <c r="D1123" s="8" t="s">
        <v>9904</v>
      </c>
      <c r="E1123" s="6" t="s">
        <v>99</v>
      </c>
      <c r="F1123" s="12" t="str">
        <f>IFERROR(__xludf.DUMMYFUNCTION("GOOGLETRANSLATE(B1123,""zh_cn"",""vi"")"),"Hư hỏng")</f>
        <v>Hư hỏng</v>
      </c>
      <c r="G1123" s="20" t="s">
        <v>9905</v>
      </c>
      <c r="H1123" s="6"/>
      <c r="I1123" s="11" t="b">
        <f t="shared" si="2"/>
        <v>0</v>
      </c>
      <c r="J1123" s="24"/>
      <c r="K1123" s="11" t="b">
        <f t="shared" si="3"/>
        <v>0</v>
      </c>
    </row>
    <row r="1124" ht="22.5" customHeight="1">
      <c r="A1124" s="12">
        <f t="shared" si="4"/>
        <v>3122</v>
      </c>
      <c r="B1124" s="30" t="s">
        <v>9906</v>
      </c>
      <c r="C1124" s="7" t="str">
        <f t="shared" si="6"/>
        <v>🔊</v>
      </c>
      <c r="D1124" s="8" t="s">
        <v>9907</v>
      </c>
      <c r="E1124" s="6" t="s">
        <v>13</v>
      </c>
      <c r="F1124" s="12" t="str">
        <f>IFERROR(__xludf.DUMMYFUNCTION("GOOGLETRANSLATE(B1124,""zh_cn"",""vi"")"),"Lựa chọn")</f>
        <v>Lựa chọn</v>
      </c>
      <c r="G1124" s="20" t="s">
        <v>9908</v>
      </c>
      <c r="H1124" s="6"/>
      <c r="I1124" s="11" t="b">
        <f t="shared" si="2"/>
        <v>0</v>
      </c>
      <c r="J1124" s="24"/>
      <c r="K1124" s="11" t="b">
        <f t="shared" si="3"/>
        <v>0</v>
      </c>
    </row>
    <row r="1125" ht="22.5" customHeight="1">
      <c r="A1125" s="12">
        <f t="shared" si="4"/>
        <v>3123</v>
      </c>
      <c r="B1125" s="30" t="s">
        <v>9909</v>
      </c>
      <c r="C1125" s="7" t="str">
        <f t="shared" si="6"/>
        <v>🔊</v>
      </c>
      <c r="D1125" s="8" t="s">
        <v>9910</v>
      </c>
      <c r="E1125" s="6" t="s">
        <v>13</v>
      </c>
      <c r="F1125" s="12" t="str">
        <f>IFERROR(__xludf.DUMMYFUNCTION("GOOGLETRANSLATE(B1125,""zh_cn"",""vi"")"),"nhảy xa")</f>
        <v>nhảy xa</v>
      </c>
      <c r="G1125" s="20" t="s">
        <v>9911</v>
      </c>
      <c r="H1125" s="6"/>
      <c r="I1125" s="11" t="b">
        <f t="shared" si="2"/>
        <v>0</v>
      </c>
      <c r="J1125" s="24"/>
      <c r="K1125" s="11" t="b">
        <f t="shared" si="3"/>
        <v>0</v>
      </c>
    </row>
    <row r="1126" ht="22.5" customHeight="1">
      <c r="A1126" s="12">
        <f t="shared" si="4"/>
        <v>3124</v>
      </c>
      <c r="B1126" s="30" t="s">
        <v>9912</v>
      </c>
      <c r="C1126" s="7" t="str">
        <f t="shared" si="6"/>
        <v>🔊</v>
      </c>
      <c r="D1126" s="8" t="s">
        <v>9913</v>
      </c>
      <c r="E1126" s="6" t="s">
        <v>232</v>
      </c>
      <c r="F1126" s="12" t="str">
        <f>IFERROR(__xludf.DUMMYFUNCTION("GOOGLETRANSLATE(B1126,""zh_cn"",""vi"")"),"thử thách")</f>
        <v>thử thách</v>
      </c>
      <c r="G1126" s="20" t="s">
        <v>9914</v>
      </c>
      <c r="H1126" s="6"/>
      <c r="I1126" s="11" t="b">
        <f t="shared" si="2"/>
        <v>0</v>
      </c>
      <c r="J1126" s="24"/>
      <c r="K1126" s="11" t="b">
        <f t="shared" si="3"/>
        <v>0</v>
      </c>
    </row>
    <row r="1127" ht="22.5" customHeight="1">
      <c r="A1127" s="12">
        <f t="shared" si="4"/>
        <v>3125</v>
      </c>
      <c r="B1127" s="30" t="s">
        <v>9915</v>
      </c>
      <c r="C1127" s="7" t="str">
        <f t="shared" si="6"/>
        <v>🔊</v>
      </c>
      <c r="D1127" s="8" t="s">
        <v>9916</v>
      </c>
      <c r="E1127" s="6" t="s">
        <v>13</v>
      </c>
      <c r="F1127" s="12" t="str">
        <f>IFERROR(__xludf.DUMMYFUNCTION("GOOGLETRANSLATE(B1127,""zh_cn"",""vi"")"),"Điều chỉnh")</f>
        <v>Điều chỉnh</v>
      </c>
      <c r="G1127" s="20" t="s">
        <v>9917</v>
      </c>
      <c r="H1127" s="6"/>
      <c r="I1127" s="11" t="b">
        <f t="shared" si="2"/>
        <v>0</v>
      </c>
      <c r="J1127" s="24"/>
      <c r="K1127" s="11" t="b">
        <f t="shared" si="3"/>
        <v>0</v>
      </c>
    </row>
    <row r="1128" ht="22.5" customHeight="1">
      <c r="A1128" s="12">
        <f t="shared" si="4"/>
        <v>3126</v>
      </c>
      <c r="B1128" s="30" t="s">
        <v>9918</v>
      </c>
      <c r="C1128" s="7" t="str">
        <f t="shared" si="6"/>
        <v>🔊</v>
      </c>
      <c r="D1128" s="8" t="s">
        <v>9919</v>
      </c>
      <c r="E1128" s="6" t="s">
        <v>13</v>
      </c>
      <c r="F1128" s="12" t="str">
        <f>IFERROR(__xludf.DUMMYFUNCTION("GOOGLETRANSLATE(B1128,""zh_cn"",""vi"")"),"khuyến khích")</f>
        <v>khuyến khích</v>
      </c>
      <c r="G1128" s="20" t="s">
        <v>9920</v>
      </c>
      <c r="H1128" s="6"/>
      <c r="I1128" s="11" t="b">
        <f t="shared" si="2"/>
        <v>0</v>
      </c>
      <c r="J1128" s="24"/>
      <c r="K1128" s="11" t="b">
        <f t="shared" si="3"/>
        <v>0</v>
      </c>
    </row>
    <row r="1129" ht="22.5" customHeight="1">
      <c r="A1129" s="12">
        <f t="shared" si="4"/>
        <v>3127</v>
      </c>
      <c r="B1129" s="30" t="s">
        <v>9921</v>
      </c>
      <c r="C1129" s="7" t="str">
        <f t="shared" si="6"/>
        <v>🔊</v>
      </c>
      <c r="D1129" s="8" t="s">
        <v>9922</v>
      </c>
      <c r="E1129" s="6" t="s">
        <v>13</v>
      </c>
      <c r="F1129" s="12" t="str">
        <f>IFERROR(__xludf.DUMMYFUNCTION("GOOGLETRANSLATE(B1129,""zh_cn"",""vi"")"),"dán")</f>
        <v>dán</v>
      </c>
      <c r="G1129" s="20" t="s">
        <v>9923</v>
      </c>
      <c r="H1129" s="6"/>
      <c r="I1129" s="11" t="b">
        <f t="shared" si="2"/>
        <v>0</v>
      </c>
      <c r="J1129" s="24"/>
      <c r="K1129" s="11" t="b">
        <f t="shared" si="3"/>
        <v>0</v>
      </c>
    </row>
    <row r="1130" ht="22.5" customHeight="1">
      <c r="A1130" s="12">
        <f t="shared" si="4"/>
        <v>3128</v>
      </c>
      <c r="B1130" s="30" t="s">
        <v>9924</v>
      </c>
      <c r="C1130" s="7" t="str">
        <f t="shared" si="6"/>
        <v>🔊</v>
      </c>
      <c r="D1130" s="8" t="s">
        <v>9925</v>
      </c>
      <c r="E1130" s="6" t="s">
        <v>27</v>
      </c>
      <c r="F1130" s="12" t="str">
        <f>IFERROR(__xludf.DUMMYFUNCTION("GOOGLETRANSLATE(B1130,""zh_cn"",""vi"")"),"đường sắt")</f>
        <v>đường sắt</v>
      </c>
      <c r="G1130" s="20" t="s">
        <v>9926</v>
      </c>
      <c r="H1130" s="6"/>
      <c r="I1130" s="11" t="b">
        <f t="shared" si="2"/>
        <v>0</v>
      </c>
      <c r="J1130" s="24"/>
      <c r="K1130" s="11" t="b">
        <f t="shared" si="3"/>
        <v>0</v>
      </c>
    </row>
    <row r="1131" ht="22.5" customHeight="1">
      <c r="A1131" s="12">
        <f t="shared" si="4"/>
        <v>3129</v>
      </c>
      <c r="B1131" s="30" t="s">
        <v>9927</v>
      </c>
      <c r="C1131" s="7" t="str">
        <f t="shared" si="6"/>
        <v>🔊</v>
      </c>
      <c r="D1131" s="8" t="s">
        <v>9928</v>
      </c>
      <c r="E1131" s="6" t="s">
        <v>232</v>
      </c>
      <c r="F1131" s="12" t="str">
        <f>IFERROR(__xludf.DUMMYFUNCTION("GOOGLETRANSLATE(B1131,""zh_cn"",""vi"")"),"Kinh nghiệm")</f>
        <v>Kinh nghiệm</v>
      </c>
      <c r="G1131" s="20" t="s">
        <v>9929</v>
      </c>
      <c r="H1131" s="6"/>
      <c r="I1131" s="11" t="b">
        <f t="shared" si="2"/>
        <v>0</v>
      </c>
      <c r="J1131" s="24"/>
      <c r="K1131" s="11" t="b">
        <f t="shared" si="3"/>
        <v>0</v>
      </c>
    </row>
    <row r="1132" ht="22.5" customHeight="1">
      <c r="A1132" s="12">
        <f t="shared" si="4"/>
        <v>3130</v>
      </c>
      <c r="B1132" s="30" t="s">
        <v>9930</v>
      </c>
      <c r="C1132" s="7" t="str">
        <f t="shared" si="6"/>
        <v>🔊</v>
      </c>
      <c r="D1132" s="8" t="s">
        <v>9931</v>
      </c>
      <c r="E1132" s="6" t="s">
        <v>13</v>
      </c>
      <c r="F1132" s="12" t="str">
        <f>IFERROR(__xludf.DUMMYFUNCTION("GOOGLETRANSLATE(B1132,""zh_cn"",""vi"")"),"nộp")</f>
        <v>nộp</v>
      </c>
      <c r="G1132" s="20" t="s">
        <v>9932</v>
      </c>
      <c r="H1132" s="6"/>
      <c r="I1132" s="11" t="b">
        <f t="shared" si="2"/>
        <v>0</v>
      </c>
      <c r="J1132" s="24"/>
      <c r="K1132" s="11" t="b">
        <f t="shared" si="3"/>
        <v>0</v>
      </c>
    </row>
    <row r="1133" ht="22.5" customHeight="1">
      <c r="A1133" s="12">
        <f t="shared" si="4"/>
        <v>3131</v>
      </c>
      <c r="B1133" s="30" t="s">
        <v>9933</v>
      </c>
      <c r="C1133" s="7" t="str">
        <f t="shared" si="6"/>
        <v>🔊</v>
      </c>
      <c r="D1133" s="8" t="s">
        <v>9934</v>
      </c>
      <c r="E1133" s="6" t="s">
        <v>27</v>
      </c>
      <c r="F1133" s="12" t="str">
        <f>IFERROR(__xludf.DUMMYFUNCTION("GOOGLETRANSLATE(B1133,""zh_cn"",""vi"")"),"sức mạnh thể chất")</f>
        <v>sức mạnh thể chất</v>
      </c>
      <c r="G1133" s="20" t="s">
        <v>9935</v>
      </c>
      <c r="H1133" s="6"/>
      <c r="I1133" s="11" t="b">
        <f t="shared" si="2"/>
        <v>0</v>
      </c>
      <c r="J1133" s="24"/>
      <c r="K1133" s="11" t="b">
        <f t="shared" si="3"/>
        <v>0</v>
      </c>
    </row>
    <row r="1134" ht="22.5" customHeight="1">
      <c r="A1134" s="12">
        <f t="shared" si="4"/>
        <v>3132</v>
      </c>
      <c r="B1134" s="30" t="s">
        <v>9936</v>
      </c>
      <c r="C1134" s="7" t="str">
        <f t="shared" si="6"/>
        <v>🔊</v>
      </c>
      <c r="D1134" s="8" t="s">
        <v>9937</v>
      </c>
      <c r="E1134" s="6" t="s">
        <v>27</v>
      </c>
      <c r="F1134" s="12" t="str">
        <f>IFERROR(__xludf.DUMMYFUNCTION("GOOGLETRANSLATE(B1134,""zh_cn"",""vi"")"),"đề tài")</f>
        <v>đề tài</v>
      </c>
      <c r="G1134" s="20" t="s">
        <v>9938</v>
      </c>
      <c r="H1134" s="6"/>
      <c r="I1134" s="11" t="b">
        <f t="shared" si="2"/>
        <v>0</v>
      </c>
      <c r="J1134" s="24"/>
      <c r="K1134" s="11" t="b">
        <f t="shared" si="3"/>
        <v>0</v>
      </c>
    </row>
    <row r="1135" ht="22.5" customHeight="1">
      <c r="A1135" s="12">
        <f t="shared" si="4"/>
        <v>3133</v>
      </c>
      <c r="B1135" s="30" t="s">
        <v>9939</v>
      </c>
      <c r="C1135" s="7" t="str">
        <f t="shared" si="6"/>
        <v>🔊</v>
      </c>
      <c r="D1135" s="8" t="s">
        <v>9940</v>
      </c>
      <c r="E1135" s="6" t="s">
        <v>13</v>
      </c>
      <c r="F1135" s="12" t="str">
        <f>IFERROR(__xludf.DUMMYFUNCTION("GOOGLETRANSLATE(B1135,""zh_cn"",""vi"")"),"Ở lại")</f>
        <v>Ở lại</v>
      </c>
      <c r="G1135" s="20" t="s">
        <v>9941</v>
      </c>
      <c r="H1135" s="6"/>
      <c r="I1135" s="11" t="b">
        <f t="shared" si="2"/>
        <v>0</v>
      </c>
      <c r="J1135" s="24"/>
      <c r="K1135" s="11" t="b">
        <f t="shared" si="3"/>
        <v>0</v>
      </c>
    </row>
    <row r="1136" ht="22.5" customHeight="1">
      <c r="A1136" s="12">
        <f t="shared" si="4"/>
        <v>3134</v>
      </c>
      <c r="B1136" s="30" t="s">
        <v>9942</v>
      </c>
      <c r="C1136" s="7" t="str">
        <f t="shared" si="6"/>
        <v>🔊</v>
      </c>
      <c r="D1136" s="8" t="s">
        <v>9943</v>
      </c>
      <c r="E1136" s="6" t="s">
        <v>13</v>
      </c>
      <c r="F1136" s="12" t="str">
        <f>IFERROR(__xludf.DUMMYFUNCTION("GOOGLETRANSLATE(B1136,""zh_cn"",""vi"")"),"Đề cập đến")</f>
        <v>Đề cập đến</v>
      </c>
      <c r="G1136" s="20" t="s">
        <v>9944</v>
      </c>
      <c r="H1136" s="6"/>
      <c r="I1136" s="11" t="b">
        <f t="shared" si="2"/>
        <v>0</v>
      </c>
      <c r="J1136" s="24"/>
      <c r="K1136" s="11" t="b">
        <f t="shared" si="3"/>
        <v>0</v>
      </c>
    </row>
    <row r="1137" ht="22.5" customHeight="1">
      <c r="A1137" s="12">
        <f t="shared" si="4"/>
        <v>3135</v>
      </c>
      <c r="B1137" s="30" t="s">
        <v>9945</v>
      </c>
      <c r="C1137" s="7" t="str">
        <f t="shared" si="6"/>
        <v>🔊</v>
      </c>
      <c r="D1137" s="8" t="s">
        <v>9946</v>
      </c>
      <c r="E1137" s="6" t="s">
        <v>13</v>
      </c>
      <c r="F1137" s="12" t="str">
        <f>IFERROR(__xludf.DUMMYFUNCTION("GOOGLETRANSLATE(B1137,""zh_cn"",""vi"")"),"khuyến khích")</f>
        <v>khuyến khích</v>
      </c>
      <c r="G1137" s="20" t="s">
        <v>9947</v>
      </c>
      <c r="H1137" s="6"/>
      <c r="I1137" s="11" t="b">
        <f t="shared" si="2"/>
        <v>0</v>
      </c>
      <c r="J1137" s="24"/>
      <c r="K1137" s="11" t="b">
        <f t="shared" si="3"/>
        <v>0</v>
      </c>
    </row>
    <row r="1138" ht="22.5" customHeight="1">
      <c r="A1138" s="12">
        <f t="shared" si="4"/>
        <v>3136</v>
      </c>
      <c r="B1138" s="30" t="s">
        <v>9948</v>
      </c>
      <c r="C1138" s="7" t="str">
        <f t="shared" si="6"/>
        <v>🔊</v>
      </c>
      <c r="D1138" s="8" t="s">
        <v>9949</v>
      </c>
      <c r="E1138" s="6" t="s">
        <v>13</v>
      </c>
      <c r="F1138" s="12" t="str">
        <f>IFERROR(__xludf.DUMMYFUNCTION("GOOGLETRANSLATE(B1138,""zh_cn"",""vi"")"),"Câu hỏi")</f>
        <v>Câu hỏi</v>
      </c>
      <c r="G1138" s="20" t="s">
        <v>9950</v>
      </c>
      <c r="H1138" s="6"/>
      <c r="I1138" s="11" t="b">
        <f t="shared" si="2"/>
        <v>0</v>
      </c>
      <c r="J1138" s="24"/>
      <c r="K1138" s="11" t="b">
        <f t="shared" si="3"/>
        <v>0</v>
      </c>
    </row>
    <row r="1139" ht="22.5" customHeight="1">
      <c r="A1139" s="12">
        <f t="shared" si="4"/>
        <v>3137</v>
      </c>
      <c r="B1139" s="30" t="s">
        <v>9951</v>
      </c>
      <c r="C1139" s="7" t="str">
        <f t="shared" si="6"/>
        <v>🔊</v>
      </c>
      <c r="D1139" s="8" t="s">
        <v>9952</v>
      </c>
      <c r="E1139" s="6" t="s">
        <v>13</v>
      </c>
      <c r="F1139" s="12" t="str">
        <f>IFERROR(__xludf.DUMMYFUNCTION("GOOGLETRANSLATE(B1139,""zh_cn"",""vi"")"),"phản ánh")</f>
        <v>phản ánh</v>
      </c>
      <c r="G1139" s="20" t="s">
        <v>9953</v>
      </c>
      <c r="H1139" s="6"/>
      <c r="I1139" s="11" t="b">
        <f t="shared" si="2"/>
        <v>0</v>
      </c>
      <c r="J1139" s="24"/>
      <c r="K1139" s="11" t="b">
        <f t="shared" si="3"/>
        <v>0</v>
      </c>
    </row>
    <row r="1140" ht="22.5" customHeight="1">
      <c r="A1140" s="12">
        <f t="shared" si="4"/>
        <v>3138</v>
      </c>
      <c r="B1140" s="30" t="s">
        <v>9954</v>
      </c>
      <c r="C1140" s="7" t="str">
        <f t="shared" si="6"/>
        <v>🔊</v>
      </c>
      <c r="D1140" s="8" t="s">
        <v>9955</v>
      </c>
      <c r="E1140" s="6" t="s">
        <v>13</v>
      </c>
      <c r="F1140" s="12" t="str">
        <f>IFERROR(__xludf.DUMMYFUNCTION("GOOGLETRANSLATE(B1140,""zh_cn"",""vi"")"),"Kinh nghiệm")</f>
        <v>Kinh nghiệm</v>
      </c>
      <c r="G1140" s="20" t="s">
        <v>9956</v>
      </c>
      <c r="H1140" s="6"/>
      <c r="I1140" s="11" t="b">
        <f t="shared" si="2"/>
        <v>0</v>
      </c>
      <c r="J1140" s="24"/>
      <c r="K1140" s="11" t="b">
        <f t="shared" si="3"/>
        <v>0</v>
      </c>
    </row>
    <row r="1141" ht="22.5" customHeight="1">
      <c r="A1141" s="12">
        <f t="shared" si="4"/>
        <v>3139</v>
      </c>
      <c r="B1141" s="30" t="s">
        <v>9957</v>
      </c>
      <c r="C1141" s="7" t="str">
        <f t="shared" si="6"/>
        <v>🔊</v>
      </c>
      <c r="D1141" s="8" t="s">
        <v>9958</v>
      </c>
      <c r="E1141" s="6" t="s">
        <v>9959</v>
      </c>
      <c r="F1141" s="12" t="str">
        <f>IFERROR(__xludf.DUMMYFUNCTION("GOOGLETRANSLATE(B1141,""zh_cn"",""vi"")"),"như nhau")</f>
        <v>như nhau</v>
      </c>
      <c r="G1141" s="20" t="s">
        <v>9960</v>
      </c>
      <c r="H1141" s="6"/>
      <c r="I1141" s="11" t="b">
        <f t="shared" si="2"/>
        <v>0</v>
      </c>
      <c r="J1141" s="24"/>
      <c r="K1141" s="11" t="b">
        <f t="shared" si="3"/>
        <v>0</v>
      </c>
    </row>
    <row r="1142" ht="22.5" customHeight="1">
      <c r="A1142" s="12">
        <f t="shared" si="4"/>
        <v>3140</v>
      </c>
      <c r="B1142" s="30" t="s">
        <v>9961</v>
      </c>
      <c r="C1142" s="7" t="str">
        <f t="shared" si="6"/>
        <v>🔊</v>
      </c>
      <c r="D1142" s="8" t="s">
        <v>9962</v>
      </c>
      <c r="E1142" s="6" t="s">
        <v>1308</v>
      </c>
      <c r="F1142" s="12" t="str">
        <f>IFERROR(__xludf.DUMMYFUNCTION("GOOGLETRANSLATE(B1142,""zh_cn"",""vi"")"),"nói chung là")</f>
        <v>nói chung là</v>
      </c>
      <c r="G1142" s="20" t="s">
        <v>9963</v>
      </c>
      <c r="H1142" s="6"/>
      <c r="I1142" s="11" t="b">
        <f t="shared" si="2"/>
        <v>0</v>
      </c>
      <c r="J1142" s="24"/>
      <c r="K1142" s="11" t="b">
        <f t="shared" si="3"/>
        <v>0</v>
      </c>
    </row>
    <row r="1143" ht="22.5" customHeight="1">
      <c r="A1143" s="12">
        <f t="shared" si="4"/>
        <v>3141</v>
      </c>
      <c r="B1143" s="30" t="s">
        <v>9964</v>
      </c>
      <c r="C1143" s="7" t="str">
        <f t="shared" si="6"/>
        <v>🔊</v>
      </c>
      <c r="D1143" s="8" t="s">
        <v>9965</v>
      </c>
      <c r="E1143" s="6" t="s">
        <v>13</v>
      </c>
      <c r="F1143" s="12" t="str">
        <f>IFERROR(__xludf.DUMMYFUNCTION("GOOGLETRANSLATE(B1143,""zh_cn"",""vi"")"),"thống kê")</f>
        <v>thống kê</v>
      </c>
      <c r="G1143" s="20" t="s">
        <v>9966</v>
      </c>
      <c r="H1143" s="6"/>
      <c r="I1143" s="11" t="b">
        <f t="shared" si="2"/>
        <v>0</v>
      </c>
      <c r="J1143" s="24"/>
      <c r="K1143" s="11" t="b">
        <f t="shared" si="3"/>
        <v>0</v>
      </c>
    </row>
    <row r="1144" ht="22.5" customHeight="1">
      <c r="A1144" s="12">
        <f t="shared" si="4"/>
        <v>3142</v>
      </c>
      <c r="B1144" s="30" t="s">
        <v>9967</v>
      </c>
      <c r="C1144" s="7" t="str">
        <f t="shared" si="6"/>
        <v>🔊</v>
      </c>
      <c r="D1144" s="8" t="s">
        <v>9968</v>
      </c>
      <c r="E1144" s="6" t="s">
        <v>99</v>
      </c>
      <c r="F1144" s="12" t="str">
        <f>IFERROR(__xludf.DUMMYFUNCTION("GOOGLETRANSLATE(B1144,""zh_cn"",""vi"")"),"nỗi đau")</f>
        <v>nỗi đau</v>
      </c>
      <c r="G1144" s="20" t="s">
        <v>9969</v>
      </c>
      <c r="H1144" s="6"/>
      <c r="I1144" s="11" t="b">
        <f t="shared" si="2"/>
        <v>0</v>
      </c>
      <c r="J1144" s="24"/>
      <c r="K1144" s="11" t="b">
        <f t="shared" si="3"/>
        <v>0</v>
      </c>
    </row>
    <row r="1145" ht="22.5" customHeight="1">
      <c r="A1145" s="12">
        <f t="shared" si="4"/>
        <v>3143</v>
      </c>
      <c r="B1145" s="30" t="s">
        <v>9970</v>
      </c>
      <c r="C1145" s="7" t="str">
        <f t="shared" si="6"/>
        <v>🔊</v>
      </c>
      <c r="D1145" s="8" t="s">
        <v>9971</v>
      </c>
      <c r="E1145" s="6" t="s">
        <v>13</v>
      </c>
      <c r="F1145" s="12" t="str">
        <f>IFERROR(__xludf.DUMMYFUNCTION("GOOGLETRANSLATE(B1145,""zh_cn"",""vi"")"),"lòng thương xót")</f>
        <v>lòng thương xót</v>
      </c>
      <c r="G1145" s="20" t="s">
        <v>9972</v>
      </c>
      <c r="H1145" s="6"/>
      <c r="I1145" s="11" t="b">
        <f t="shared" si="2"/>
        <v>0</v>
      </c>
      <c r="J1145" s="24"/>
      <c r="K1145" s="11" t="b">
        <f t="shared" si="3"/>
        <v>0</v>
      </c>
    </row>
    <row r="1146" ht="22.5" customHeight="1">
      <c r="A1146" s="12">
        <f t="shared" si="4"/>
        <v>3144</v>
      </c>
      <c r="B1146" s="30" t="s">
        <v>9973</v>
      </c>
      <c r="C1146" s="7" t="str">
        <f t="shared" si="6"/>
        <v>🔊</v>
      </c>
      <c r="D1146" s="8" t="s">
        <v>9974</v>
      </c>
      <c r="E1146" s="6" t="s">
        <v>13</v>
      </c>
      <c r="F1146" s="12" t="str">
        <f>IFERROR(__xludf.DUMMYFUNCTION("GOOGLETRANSLATE(B1146,""zh_cn"",""vi"")"),"Vượt qua")</f>
        <v>Vượt qua</v>
      </c>
      <c r="G1146" s="20" t="s">
        <v>9975</v>
      </c>
      <c r="H1146" s="6"/>
      <c r="I1146" s="11" t="b">
        <f t="shared" si="2"/>
        <v>0</v>
      </c>
      <c r="J1146" s="24"/>
      <c r="K1146" s="11" t="b">
        <f t="shared" si="3"/>
        <v>0</v>
      </c>
    </row>
    <row r="1147" ht="22.5" customHeight="1">
      <c r="A1147" s="12">
        <f t="shared" si="4"/>
        <v>3145</v>
      </c>
      <c r="B1147" s="30" t="s">
        <v>9976</v>
      </c>
      <c r="C1147" s="7" t="str">
        <f t="shared" si="6"/>
        <v>🔊</v>
      </c>
      <c r="D1147" s="8" t="s">
        <v>9977</v>
      </c>
      <c r="E1147" s="6" t="s">
        <v>99</v>
      </c>
      <c r="F1147" s="12" t="str">
        <f>IFERROR(__xludf.DUMMYFUNCTION("GOOGLETRANSLATE(B1147,""zh_cn"",""vi"")"),"như nhau")</f>
        <v>như nhau</v>
      </c>
      <c r="G1147" s="20" t="s">
        <v>9978</v>
      </c>
      <c r="H1147" s="6"/>
      <c r="I1147" s="11" t="b">
        <f t="shared" si="2"/>
        <v>0</v>
      </c>
      <c r="J1147" s="24"/>
      <c r="K1147" s="11" t="b">
        <f t="shared" si="3"/>
        <v>0</v>
      </c>
    </row>
    <row r="1148" ht="22.5" customHeight="1">
      <c r="A1148" s="12">
        <f t="shared" si="4"/>
        <v>3146</v>
      </c>
      <c r="B1148" s="30" t="s">
        <v>9979</v>
      </c>
      <c r="C1148" s="7" t="str">
        <f t="shared" si="6"/>
        <v>🔊</v>
      </c>
      <c r="D1148" s="8" t="s">
        <v>9980</v>
      </c>
      <c r="E1148" s="6" t="s">
        <v>368</v>
      </c>
      <c r="F1148" s="12" t="str">
        <f>IFERROR(__xludf.DUMMYFUNCTION("GOOGLETRANSLATE(B1148,""zh_cn"",""vi"")"),"thống nhất")</f>
        <v>thống nhất</v>
      </c>
      <c r="G1148" s="20" t="s">
        <v>9981</v>
      </c>
      <c r="H1148" s="6"/>
      <c r="I1148" s="11" t="b">
        <f t="shared" si="2"/>
        <v>0</v>
      </c>
      <c r="J1148" s="24"/>
      <c r="K1148" s="11" t="b">
        <f t="shared" si="3"/>
        <v>0</v>
      </c>
    </row>
    <row r="1149" ht="22.5" customHeight="1">
      <c r="A1149" s="12">
        <f t="shared" si="4"/>
        <v>3147</v>
      </c>
      <c r="B1149" s="30" t="s">
        <v>1520</v>
      </c>
      <c r="C1149" s="7" t="str">
        <f t="shared" si="6"/>
        <v>🔊</v>
      </c>
      <c r="D1149" s="8" t="s">
        <v>9982</v>
      </c>
      <c r="E1149" s="6" t="s">
        <v>437</v>
      </c>
      <c r="F1149" s="12" t="str">
        <f>IFERROR(__xludf.DUMMYFUNCTION("GOOGLETRANSLATE(B1149,""zh_cn"",""vi"")"),"cái đầu")</f>
        <v>cái đầu</v>
      </c>
      <c r="G1149" s="20" t="s">
        <v>9983</v>
      </c>
      <c r="H1149" s="6"/>
      <c r="I1149" s="11" t="b">
        <f t="shared" si="2"/>
        <v>0</v>
      </c>
      <c r="J1149" s="24"/>
      <c r="K1149" s="11" t="b">
        <f t="shared" si="3"/>
        <v>0</v>
      </c>
    </row>
    <row r="1150" ht="22.5" customHeight="1">
      <c r="A1150" s="12">
        <f t="shared" si="4"/>
        <v>3148</v>
      </c>
      <c r="B1150" s="30" t="s">
        <v>9984</v>
      </c>
      <c r="C1150" s="7" t="str">
        <f t="shared" si="6"/>
        <v>🔊</v>
      </c>
      <c r="D1150" s="8" t="s">
        <v>1521</v>
      </c>
      <c r="E1150" s="6" t="s">
        <v>13</v>
      </c>
      <c r="F1150" s="12" t="str">
        <f>IFERROR(__xludf.DUMMYFUNCTION("GOOGLETRANSLATE(B1150,""zh_cn"",""vi"")"),"dàn diễn viên")</f>
        <v>dàn diễn viên</v>
      </c>
      <c r="G1150" s="20" t="s">
        <v>9985</v>
      </c>
      <c r="H1150" s="6"/>
      <c r="I1150" s="11" t="b">
        <f t="shared" si="2"/>
        <v>0</v>
      </c>
      <c r="J1150" s="24"/>
      <c r="K1150" s="11" t="b">
        <f t="shared" si="3"/>
        <v>0</v>
      </c>
    </row>
    <row r="1151" ht="22.5" customHeight="1">
      <c r="A1151" s="12">
        <f t="shared" si="4"/>
        <v>3149</v>
      </c>
      <c r="B1151" s="30" t="s">
        <v>9986</v>
      </c>
      <c r="C1151" s="7" t="str">
        <f t="shared" si="6"/>
        <v>🔊</v>
      </c>
      <c r="D1151" s="8" t="s">
        <v>9987</v>
      </c>
      <c r="E1151" s="6" t="s">
        <v>4336</v>
      </c>
      <c r="F1151" s="12" t="str">
        <f>IFERROR(__xludf.DUMMYFUNCTION("GOOGLETRANSLATE(B1151,""zh_cn"",""vi"")"),"Sự đầu tư")</f>
        <v>Sự đầu tư</v>
      </c>
      <c r="G1151" s="20" t="s">
        <v>9988</v>
      </c>
      <c r="H1151" s="6"/>
      <c r="I1151" s="11" t="b">
        <f t="shared" si="2"/>
        <v>0</v>
      </c>
      <c r="J1151" s="24"/>
      <c r="K1151" s="11" t="b">
        <f t="shared" si="3"/>
        <v>0</v>
      </c>
    </row>
    <row r="1152" ht="22.5" customHeight="1">
      <c r="A1152" s="12">
        <f t="shared" si="4"/>
        <v>3150</v>
      </c>
      <c r="B1152" s="30" t="s">
        <v>9989</v>
      </c>
      <c r="C1152" s="7" t="str">
        <f t="shared" si="6"/>
        <v>🔊</v>
      </c>
      <c r="D1152" s="8" t="s">
        <v>9990</v>
      </c>
      <c r="E1152" s="6" t="s">
        <v>1046</v>
      </c>
      <c r="F1152" s="12" t="str">
        <f>IFERROR(__xludf.DUMMYFUNCTION("GOOGLETRANSLATE(B1152,""zh_cn"",""vi"")"),"nhóm")</f>
        <v>nhóm</v>
      </c>
      <c r="G1152" s="20" t="s">
        <v>9991</v>
      </c>
      <c r="H1152" s="6"/>
      <c r="I1152" s="11" t="b">
        <f t="shared" si="2"/>
        <v>0</v>
      </c>
      <c r="J1152" s="24"/>
      <c r="K1152" s="11" t="b">
        <f t="shared" si="3"/>
        <v>0</v>
      </c>
    </row>
    <row r="1153" ht="22.5" customHeight="1">
      <c r="A1153" s="12">
        <f t="shared" si="4"/>
        <v>3151</v>
      </c>
      <c r="B1153" s="30" t="s">
        <v>9992</v>
      </c>
      <c r="C1153" s="7" t="str">
        <f t="shared" si="6"/>
        <v>🔊</v>
      </c>
      <c r="D1153" s="8" t="s">
        <v>9993</v>
      </c>
      <c r="E1153" s="6" t="s">
        <v>27</v>
      </c>
      <c r="F1153" s="12" t="str">
        <f>IFERROR(__xludf.DUMMYFUNCTION("GOOGLETRANSLATE(B1153,""zh_cn"",""vi"")"),"đội")</f>
        <v>đội</v>
      </c>
      <c r="G1153" s="20" t="s">
        <v>9994</v>
      </c>
      <c r="H1153" s="6"/>
      <c r="I1153" s="11" t="b">
        <f t="shared" si="2"/>
        <v>0</v>
      </c>
      <c r="J1153" s="24"/>
      <c r="K1153" s="11" t="b">
        <f t="shared" si="3"/>
        <v>0</v>
      </c>
    </row>
    <row r="1154" ht="22.5" customHeight="1">
      <c r="A1154" s="12">
        <f t="shared" si="4"/>
        <v>3152</v>
      </c>
      <c r="B1154" s="30" t="s">
        <v>9995</v>
      </c>
      <c r="C1154" s="7" t="str">
        <f t="shared" si="6"/>
        <v>🔊</v>
      </c>
      <c r="D1154" s="8" t="s">
        <v>9996</v>
      </c>
      <c r="E1154" s="6" t="s">
        <v>368</v>
      </c>
      <c r="F1154" s="12" t="str">
        <f>IFERROR(__xludf.DUMMYFUNCTION("GOOGLETRANSLATE(B1154,""zh_cn"",""vi"")"),"nhô ra")</f>
        <v>nhô ra</v>
      </c>
      <c r="G1154" s="20" t="s">
        <v>9997</v>
      </c>
      <c r="H1154" s="6"/>
      <c r="I1154" s="11" t="b">
        <f t="shared" si="2"/>
        <v>0</v>
      </c>
      <c r="J1154" s="24"/>
      <c r="K1154" s="11" t="b">
        <f t="shared" si="3"/>
        <v>0</v>
      </c>
    </row>
    <row r="1155" ht="22.5" customHeight="1">
      <c r="A1155" s="12">
        <f t="shared" si="4"/>
        <v>3153</v>
      </c>
      <c r="B1155" s="30" t="s">
        <v>9998</v>
      </c>
      <c r="C1155" s="7" t="str">
        <f t="shared" si="6"/>
        <v>🔊</v>
      </c>
      <c r="D1155" s="8" t="s">
        <v>9999</v>
      </c>
      <c r="E1155" s="6" t="s">
        <v>27</v>
      </c>
      <c r="F1155" s="12" t="str">
        <f>IFERROR(__xludf.DUMMYFUNCTION("GOOGLETRANSLATE(B1155,""zh_cn"",""vi"")"),"đất")</f>
        <v>đất</v>
      </c>
      <c r="G1155" s="20" t="s">
        <v>10000</v>
      </c>
      <c r="H1155" s="6"/>
      <c r="I1155" s="11" t="b">
        <f t="shared" si="2"/>
        <v>0</v>
      </c>
      <c r="J1155" s="24"/>
      <c r="K1155" s="11" t="b">
        <f t="shared" si="3"/>
        <v>0</v>
      </c>
    </row>
    <row r="1156" ht="22.5" customHeight="1">
      <c r="A1156" s="12">
        <f t="shared" si="4"/>
        <v>3154</v>
      </c>
      <c r="B1156" s="30" t="s">
        <v>10001</v>
      </c>
      <c r="C1156" s="7" t="str">
        <f t="shared" si="6"/>
        <v>🔊</v>
      </c>
      <c r="D1156" s="8" t="s">
        <v>10002</v>
      </c>
      <c r="E1156" s="6" t="s">
        <v>27</v>
      </c>
      <c r="F1156" s="12" t="str">
        <f>IFERROR(__xludf.DUMMYFUNCTION("GOOGLETRANSLATE(B1156,""zh_cn"",""vi"")"),"Khoai tây")</f>
        <v>Khoai tây</v>
      </c>
      <c r="G1156" s="20" t="s">
        <v>10003</v>
      </c>
      <c r="H1156" s="6"/>
      <c r="I1156" s="11" t="b">
        <f t="shared" si="2"/>
        <v>0</v>
      </c>
      <c r="J1156" s="24"/>
      <c r="K1156" s="11" t="b">
        <f t="shared" si="3"/>
        <v>0</v>
      </c>
    </row>
    <row r="1157" ht="22.5" customHeight="1">
      <c r="A1157" s="12">
        <f t="shared" si="4"/>
        <v>3155</v>
      </c>
      <c r="B1157" s="30" t="s">
        <v>10004</v>
      </c>
      <c r="C1157" s="7" t="str">
        <f t="shared" si="6"/>
        <v>🔊</v>
      </c>
      <c r="D1157" s="8" t="s">
        <v>10005</v>
      </c>
      <c r="E1157" s="6" t="s">
        <v>27</v>
      </c>
      <c r="F1157" s="12" t="str">
        <f>IFERROR(__xludf.DUMMYFUNCTION("GOOGLETRANSLATE(B1157,""zh_cn"",""vi"")"),"hình ảnh")</f>
        <v>hình ảnh</v>
      </c>
      <c r="G1157" s="20" t="s">
        <v>10006</v>
      </c>
      <c r="H1157" s="6"/>
      <c r="I1157" s="11" t="b">
        <f t="shared" si="2"/>
        <v>0</v>
      </c>
      <c r="J1157" s="24"/>
      <c r="K1157" s="11" t="b">
        <f t="shared" si="3"/>
        <v>0</v>
      </c>
    </row>
    <row r="1158" ht="22.5" customHeight="1">
      <c r="A1158" s="12">
        <f t="shared" si="4"/>
        <v>3156</v>
      </c>
      <c r="B1158" s="30" t="s">
        <v>10007</v>
      </c>
      <c r="C1158" s="7" t="str">
        <f t="shared" si="6"/>
        <v>🔊</v>
      </c>
      <c r="D1158" s="8" t="s">
        <v>10008</v>
      </c>
      <c r="E1158" s="6" t="s">
        <v>13</v>
      </c>
      <c r="F1158" s="12" t="str">
        <f>IFERROR(__xludf.DUMMYFUNCTION("GOOGLETRANSLATE(B1158,""zh_cn"",""vi"")"),"rút lui")</f>
        <v>rút lui</v>
      </c>
      <c r="G1158" s="20" t="s">
        <v>10009</v>
      </c>
      <c r="H1158" s="6"/>
      <c r="I1158" s="11" t="b">
        <f t="shared" si="2"/>
        <v>0</v>
      </c>
      <c r="J1158" s="24"/>
      <c r="K1158" s="11" t="b">
        <f t="shared" si="3"/>
        <v>0</v>
      </c>
    </row>
    <row r="1159" ht="22.5" customHeight="1">
      <c r="A1159" s="12">
        <f t="shared" si="4"/>
        <v>3157</v>
      </c>
      <c r="B1159" s="30" t="s">
        <v>10010</v>
      </c>
      <c r="C1159" s="7" t="str">
        <f t="shared" si="6"/>
        <v>🔊</v>
      </c>
      <c r="D1159" s="8" t="s">
        <v>10011</v>
      </c>
      <c r="E1159" s="6" t="s">
        <v>13</v>
      </c>
      <c r="F1159" s="12" t="str">
        <f>IFERROR(__xludf.DUMMYFUNCTION("GOOGLETRANSLATE(B1159,""zh_cn"",""vi"")"),"từ bỏ")</f>
        <v>từ bỏ</v>
      </c>
      <c r="G1159" s="20" t="s">
        <v>10012</v>
      </c>
      <c r="H1159" s="6"/>
      <c r="I1159" s="11" t="b">
        <f t="shared" si="2"/>
        <v>0</v>
      </c>
      <c r="J1159" s="24"/>
      <c r="K1159" s="11" t="b">
        <f t="shared" si="3"/>
        <v>0</v>
      </c>
    </row>
    <row r="1160" ht="22.5" customHeight="1">
      <c r="A1160" s="12">
        <f t="shared" si="4"/>
        <v>3158</v>
      </c>
      <c r="B1160" s="30" t="s">
        <v>10013</v>
      </c>
      <c r="C1160" s="7" t="str">
        <f t="shared" si="6"/>
        <v>🔊</v>
      </c>
      <c r="D1160" s="8" t="s">
        <v>10014</v>
      </c>
      <c r="E1160" s="6" t="s">
        <v>13</v>
      </c>
      <c r="F1160" s="12" t="str">
        <f>IFERROR(__xludf.DUMMYFUNCTION("GOOGLETRANSLATE(B1160,""zh_cn"",""vi"")"),"khuyến khích")</f>
        <v>khuyến khích</v>
      </c>
      <c r="G1160" s="20" t="s">
        <v>10015</v>
      </c>
      <c r="H1160" s="6"/>
      <c r="I1160" s="11" t="b">
        <f t="shared" si="2"/>
        <v>0</v>
      </c>
      <c r="J1160" s="24"/>
      <c r="K1160" s="11" t="b">
        <f t="shared" si="3"/>
        <v>0</v>
      </c>
    </row>
    <row r="1161" ht="22.5" customHeight="1">
      <c r="A1161" s="12">
        <f t="shared" si="4"/>
        <v>3159</v>
      </c>
      <c r="B1161" s="30" t="s">
        <v>10016</v>
      </c>
      <c r="C1161" s="7" t="str">
        <f t="shared" si="6"/>
        <v>🔊</v>
      </c>
      <c r="D1161" s="8" t="s">
        <v>10017</v>
      </c>
      <c r="E1161" s="6" t="s">
        <v>13</v>
      </c>
      <c r="F1161" s="12" t="str">
        <f>IFERROR(__xludf.DUMMYFUNCTION("GOOGLETRANSLATE(B1161,""zh_cn"",""vi"")"),"Khuyến mãi")</f>
        <v>Khuyến mãi</v>
      </c>
      <c r="G1161" s="20" t="s">
        <v>10018</v>
      </c>
      <c r="H1161" s="6"/>
      <c r="I1161" s="11" t="b">
        <f t="shared" si="2"/>
        <v>0</v>
      </c>
      <c r="J1161" s="24"/>
      <c r="K1161" s="11" t="b">
        <f t="shared" si="3"/>
        <v>0</v>
      </c>
    </row>
    <row r="1162" ht="22.5" customHeight="1">
      <c r="A1162" s="12">
        <f t="shared" si="4"/>
        <v>3160</v>
      </c>
      <c r="B1162" s="30" t="s">
        <v>10019</v>
      </c>
      <c r="C1162" s="7" t="str">
        <f t="shared" si="6"/>
        <v>🔊</v>
      </c>
      <c r="D1162" s="8" t="s">
        <v>10020</v>
      </c>
      <c r="E1162" s="6" t="s">
        <v>13</v>
      </c>
      <c r="F1162" s="12" t="str">
        <f>IFERROR(__xludf.DUMMYFUNCTION("GOOGLETRANSLATE(B1162,""zh_cn"",""vi"")"),"trở lại")</f>
        <v>trở lại</v>
      </c>
      <c r="G1162" s="20" t="s">
        <v>10021</v>
      </c>
      <c r="H1162" s="6"/>
      <c r="I1162" s="11" t="b">
        <f t="shared" si="2"/>
        <v>0</v>
      </c>
      <c r="J1162" s="24"/>
      <c r="K1162" s="11" t="b">
        <f t="shared" si="3"/>
        <v>0</v>
      </c>
    </row>
    <row r="1163" ht="22.5" customHeight="1">
      <c r="A1163" s="12">
        <f t="shared" si="4"/>
        <v>3161</v>
      </c>
      <c r="B1163" s="30" t="s">
        <v>10022</v>
      </c>
      <c r="C1163" s="7" t="str">
        <f t="shared" si="6"/>
        <v>🔊</v>
      </c>
      <c r="D1163" s="8" t="s">
        <v>10023</v>
      </c>
      <c r="E1163" s="6" t="s">
        <v>13</v>
      </c>
      <c r="F1163" s="12" t="str">
        <f>IFERROR(__xludf.DUMMYFUNCTION("GOOGLETRANSLATE(B1163,""zh_cn"",""vi"")"),"gợi ý")</f>
        <v>gợi ý</v>
      </c>
      <c r="G1163" s="20" t="s">
        <v>10024</v>
      </c>
      <c r="H1163" s="6"/>
      <c r="I1163" s="11" t="b">
        <f t="shared" si="2"/>
        <v>0</v>
      </c>
      <c r="J1163" s="24"/>
      <c r="K1163" s="11" t="b">
        <f t="shared" si="3"/>
        <v>0</v>
      </c>
    </row>
    <row r="1164" ht="22.5" customHeight="1">
      <c r="A1164" s="12">
        <f t="shared" si="4"/>
        <v>3162</v>
      </c>
      <c r="B1164" s="30" t="s">
        <v>10025</v>
      </c>
      <c r="C1164" s="7" t="str">
        <f t="shared" si="6"/>
        <v>🔊</v>
      </c>
      <c r="D1164" s="8" t="s">
        <v>10026</v>
      </c>
      <c r="E1164" s="6" t="s">
        <v>13</v>
      </c>
      <c r="F1164" s="12" t="str">
        <f>IFERROR(__xludf.DUMMYFUNCTION("GOOGLETRANSLATE(B1164,""zh_cn"",""vi"")"),"Nâng cao")</f>
        <v>Nâng cao</v>
      </c>
      <c r="G1164" s="20" t="s">
        <v>10027</v>
      </c>
      <c r="H1164" s="6"/>
      <c r="I1164" s="11" t="b">
        <f t="shared" si="2"/>
        <v>0</v>
      </c>
      <c r="J1164" s="24"/>
      <c r="K1164" s="11" t="b">
        <f t="shared" si="3"/>
        <v>0</v>
      </c>
    </row>
    <row r="1165" ht="22.5" customHeight="1">
      <c r="A1165" s="12">
        <f t="shared" si="4"/>
        <v>3163</v>
      </c>
      <c r="B1165" s="30" t="s">
        <v>10028</v>
      </c>
      <c r="C1165" s="7" t="str">
        <f t="shared" si="6"/>
        <v>🔊</v>
      </c>
      <c r="D1165" s="8" t="s">
        <v>10029</v>
      </c>
      <c r="E1165" s="6" t="s">
        <v>13</v>
      </c>
      <c r="F1165" s="12" t="str">
        <f>IFERROR(__xludf.DUMMYFUNCTION("GOOGLETRANSLATE(B1165,""zh_cn"",""vi"")"),"về hưu")</f>
        <v>về hưu</v>
      </c>
      <c r="G1165" s="20" t="s">
        <v>10030</v>
      </c>
      <c r="H1165" s="6"/>
      <c r="I1165" s="11" t="b">
        <f t="shared" si="2"/>
        <v>0</v>
      </c>
      <c r="J1165" s="24"/>
      <c r="K1165" s="11" t="b">
        <f t="shared" si="3"/>
        <v>0</v>
      </c>
    </row>
    <row r="1166" ht="22.5" customHeight="1">
      <c r="A1166" s="12">
        <f t="shared" si="4"/>
        <v>3164</v>
      </c>
      <c r="B1166" s="30" t="s">
        <v>10031</v>
      </c>
      <c r="C1166" s="7" t="str">
        <f t="shared" si="6"/>
        <v>🔊</v>
      </c>
      <c r="D1166" s="8" t="s">
        <v>10032</v>
      </c>
      <c r="E1166" s="6" t="s">
        <v>27</v>
      </c>
      <c r="F1166" s="12" t="str">
        <f>IFERROR(__xludf.DUMMYFUNCTION("GOOGLETRANSLATE(B1166,""zh_cn"",""vi"")"),"dép đi trong nhà")</f>
        <v>dép đi trong nhà</v>
      </c>
      <c r="G1166" s="20" t="s">
        <v>10033</v>
      </c>
      <c r="H1166" s="6"/>
      <c r="I1166" s="11" t="b">
        <f t="shared" si="2"/>
        <v>0</v>
      </c>
      <c r="J1166" s="24"/>
      <c r="K1166" s="11" t="b">
        <f t="shared" si="3"/>
        <v>0</v>
      </c>
    </row>
    <row r="1167" ht="22.5" customHeight="1">
      <c r="A1167" s="12">
        <f t="shared" si="4"/>
        <v>3165</v>
      </c>
      <c r="B1167" s="30" t="s">
        <v>10034</v>
      </c>
      <c r="C1167" s="7" t="str">
        <f t="shared" si="6"/>
        <v>🔊</v>
      </c>
      <c r="D1167" s="8" t="s">
        <v>10035</v>
      </c>
      <c r="E1167" s="6" t="s">
        <v>27</v>
      </c>
      <c r="F1167" s="12" t="str">
        <f>IFERROR(__xludf.DUMMYFUNCTION("GOOGLETRANSLATE(B1167,""zh_cn"",""vi"")"),"sách")</f>
        <v>sách</v>
      </c>
      <c r="G1167" s="20" t="s">
        <v>10036</v>
      </c>
      <c r="H1167" s="6"/>
      <c r="I1167" s="11" t="b">
        <f t="shared" si="2"/>
        <v>0</v>
      </c>
      <c r="J1167" s="24"/>
      <c r="K1167" s="11" t="b">
        <f t="shared" si="3"/>
        <v>0</v>
      </c>
    </row>
    <row r="1168" ht="22.5" customHeight="1">
      <c r="A1168" s="12">
        <f t="shared" si="4"/>
        <v>3166</v>
      </c>
      <c r="B1168" s="30" t="s">
        <v>10037</v>
      </c>
      <c r="C1168" s="7" t="str">
        <f t="shared" si="6"/>
        <v>🔊</v>
      </c>
      <c r="D1168" s="8" t="s">
        <v>10038</v>
      </c>
      <c r="E1168" s="6" t="s">
        <v>27</v>
      </c>
      <c r="F1168" s="12" t="str">
        <f>IFERROR(__xludf.DUMMYFUNCTION("GOOGLETRANSLATE(B1168,""zh_cn"",""vi"")"),"con thỏ")</f>
        <v>con thỏ</v>
      </c>
      <c r="G1168" s="20" t="s">
        <v>10039</v>
      </c>
      <c r="H1168" s="6"/>
      <c r="I1168" s="11" t="b">
        <f t="shared" si="2"/>
        <v>0</v>
      </c>
      <c r="J1168" s="24"/>
      <c r="K1168" s="11" t="b">
        <f t="shared" si="3"/>
        <v>0</v>
      </c>
    </row>
    <row r="1169" ht="22.5" customHeight="1">
      <c r="A1169" s="12">
        <f t="shared" si="4"/>
        <v>3167</v>
      </c>
      <c r="B1169" s="30" t="s">
        <v>10040</v>
      </c>
      <c r="C1169" s="7" t="str">
        <f t="shared" si="6"/>
        <v>🔊</v>
      </c>
      <c r="D1169" s="8" t="s">
        <v>10041</v>
      </c>
      <c r="E1169" s="6" t="s">
        <v>27</v>
      </c>
      <c r="F1169" s="12" t="str">
        <f>IFERROR(__xludf.DUMMYFUNCTION("GOOGLETRANSLATE(B1169,""zh_cn"",""vi"")"),"bên ngoài")</f>
        <v>bên ngoài</v>
      </c>
      <c r="G1169" s="20" t="s">
        <v>10042</v>
      </c>
      <c r="H1169" s="6"/>
      <c r="I1169" s="11" t="b">
        <f t="shared" si="2"/>
        <v>0</v>
      </c>
      <c r="J1169" s="24"/>
      <c r="K1169" s="11" t="b">
        <f t="shared" si="3"/>
        <v>0</v>
      </c>
    </row>
    <row r="1170" ht="22.5" customHeight="1">
      <c r="A1170" s="12">
        <f t="shared" si="4"/>
        <v>3168</v>
      </c>
      <c r="B1170" s="30" t="s">
        <v>10043</v>
      </c>
      <c r="C1170" s="7" t="str">
        <f t="shared" si="6"/>
        <v>🔊</v>
      </c>
      <c r="D1170" s="8" t="s">
        <v>10044</v>
      </c>
      <c r="E1170" s="6" t="s">
        <v>27</v>
      </c>
      <c r="F1170" s="12" t="str">
        <f>IFERROR(__xludf.DUMMYFUNCTION("GOOGLETRANSLATE(B1170,""zh_cn"",""vi"")"),"ông ngoại")</f>
        <v>ông ngoại</v>
      </c>
      <c r="G1170" s="20" t="s">
        <v>10045</v>
      </c>
      <c r="H1170" s="6"/>
      <c r="I1170" s="11" t="b">
        <f t="shared" si="2"/>
        <v>0</v>
      </c>
      <c r="J1170" s="24"/>
      <c r="K1170" s="11" t="b">
        <f t="shared" si="3"/>
        <v>0</v>
      </c>
    </row>
    <row r="1171" ht="22.5" customHeight="1">
      <c r="A1171" s="12">
        <f t="shared" si="4"/>
        <v>3169</v>
      </c>
      <c r="B1171" s="30" t="s">
        <v>10046</v>
      </c>
      <c r="C1171" s="7" t="str">
        <f t="shared" si="6"/>
        <v>🔊</v>
      </c>
      <c r="D1171" s="8" t="s">
        <v>10047</v>
      </c>
      <c r="E1171" s="6" t="s">
        <v>27</v>
      </c>
      <c r="F1171" s="12" t="str">
        <f>IFERROR(__xludf.DUMMYFUNCTION("GOOGLETRANSLATE(B1171,""zh_cn"",""vi"")"),"Vẻ bề ngoài")</f>
        <v>Vẻ bề ngoài</v>
      </c>
      <c r="G1171" s="20" t="s">
        <v>10048</v>
      </c>
      <c r="H1171" s="6"/>
      <c r="I1171" s="11" t="b">
        <f t="shared" si="2"/>
        <v>0</v>
      </c>
      <c r="J1171" s="24"/>
      <c r="K1171" s="11" t="b">
        <f t="shared" si="3"/>
        <v>0</v>
      </c>
    </row>
    <row r="1172" ht="22.5" customHeight="1">
      <c r="A1172" s="12">
        <f t="shared" si="4"/>
        <v>3170</v>
      </c>
      <c r="B1172" s="30" t="s">
        <v>10049</v>
      </c>
      <c r="C1172" s="7" t="str">
        <f t="shared" si="6"/>
        <v>🔊</v>
      </c>
      <c r="D1172" s="8" t="s">
        <v>10050</v>
      </c>
      <c r="E1172" s="6" t="s">
        <v>27</v>
      </c>
      <c r="F1172" s="12" t="str">
        <f>IFERROR(__xludf.DUMMYFUNCTION("GOOGLETRANSLATE(B1172,""zh_cn"",""vi"")"),"bà")</f>
        <v>bà</v>
      </c>
      <c r="G1172" s="20" t="s">
        <v>10051</v>
      </c>
      <c r="H1172" s="6"/>
      <c r="I1172" s="11" t="b">
        <f t="shared" si="2"/>
        <v>0</v>
      </c>
      <c r="J1172" s="24"/>
      <c r="K1172" s="11" t="b">
        <f t="shared" si="3"/>
        <v>0</v>
      </c>
    </row>
    <row r="1173" ht="22.5" customHeight="1">
      <c r="A1173" s="12">
        <f t="shared" si="4"/>
        <v>3171</v>
      </c>
      <c r="B1173" s="30" t="s">
        <v>10052</v>
      </c>
      <c r="C1173" s="7" t="str">
        <f t="shared" si="6"/>
        <v>🔊</v>
      </c>
      <c r="D1173" s="8" t="s">
        <v>10053</v>
      </c>
      <c r="E1173" s="6" t="s">
        <v>27</v>
      </c>
      <c r="F1173" s="12" t="str">
        <f>IFERROR(__xludf.DUMMYFUNCTION("GOOGLETRANSLATE(B1173,""zh_cn"",""vi"")"),"hình dạng")</f>
        <v>hình dạng</v>
      </c>
      <c r="G1173" s="20" t="s">
        <v>10054</v>
      </c>
      <c r="H1173" s="6"/>
      <c r="I1173" s="11" t="b">
        <f t="shared" si="2"/>
        <v>0</v>
      </c>
      <c r="J1173" s="24"/>
      <c r="K1173" s="11" t="b">
        <f t="shared" si="3"/>
        <v>0</v>
      </c>
    </row>
    <row r="1174" ht="22.5" customHeight="1">
      <c r="A1174" s="12">
        <f t="shared" si="4"/>
        <v>3172</v>
      </c>
      <c r="B1174" s="30" t="s">
        <v>10055</v>
      </c>
      <c r="C1174" s="7" t="str">
        <f t="shared" si="6"/>
        <v>🔊</v>
      </c>
      <c r="D1174" s="8" t="s">
        <v>10056</v>
      </c>
      <c r="E1174" s="6" t="s">
        <v>4943</v>
      </c>
      <c r="F1174" s="12" t="str">
        <f>IFERROR(__xludf.DUMMYFUNCTION("GOOGLETRANSLATE(B1174,""zh_cn"",""vi"")"),"uốn cong")</f>
        <v>uốn cong</v>
      </c>
      <c r="G1174" s="20" t="s">
        <v>10057</v>
      </c>
      <c r="H1174" s="6"/>
      <c r="I1174" s="11" t="b">
        <f t="shared" si="2"/>
        <v>0</v>
      </c>
      <c r="J1174" s="24"/>
      <c r="K1174" s="11" t="b">
        <f t="shared" si="3"/>
        <v>0</v>
      </c>
    </row>
    <row r="1175" ht="22.5" customHeight="1">
      <c r="A1175" s="12">
        <f t="shared" si="4"/>
        <v>3173</v>
      </c>
      <c r="B1175" s="30" t="s">
        <v>10058</v>
      </c>
      <c r="C1175" s="7" t="str">
        <f t="shared" si="6"/>
        <v>🔊</v>
      </c>
      <c r="D1175" s="8" t="s">
        <v>10059</v>
      </c>
      <c r="E1175" s="6" t="s">
        <v>13</v>
      </c>
      <c r="F1175" s="12" t="str">
        <f>IFERROR(__xludf.DUMMYFUNCTION("GOOGLETRANSLATE(B1175,""zh_cn"",""vi"")"),"chuyến đi khứ hồi")</f>
        <v>chuyến đi khứ hồi</v>
      </c>
      <c r="G1175" s="20" t="s">
        <v>10060</v>
      </c>
      <c r="H1175" s="6"/>
      <c r="I1175" s="11" t="b">
        <f t="shared" si="2"/>
        <v>0</v>
      </c>
      <c r="J1175" s="24"/>
      <c r="K1175" s="11" t="b">
        <f t="shared" si="3"/>
        <v>0</v>
      </c>
    </row>
    <row r="1176" ht="22.5" customHeight="1">
      <c r="A1176" s="12">
        <f t="shared" si="4"/>
        <v>3174</v>
      </c>
      <c r="B1176" s="30" t="s">
        <v>10061</v>
      </c>
      <c r="C1176" s="7" t="str">
        <f t="shared" si="6"/>
        <v>🔊</v>
      </c>
      <c r="D1176" s="8" t="s">
        <v>10062</v>
      </c>
      <c r="E1176" s="6" t="s">
        <v>27</v>
      </c>
      <c r="F1176" s="12" t="str">
        <f>IFERROR(__xludf.DUMMYFUNCTION("GOOGLETRANSLATE(B1176,""zh_cn"",""vi"")"),"mạng")</f>
        <v>mạng</v>
      </c>
      <c r="G1176" s="20" t="s">
        <v>10063</v>
      </c>
      <c r="H1176" s="6"/>
      <c r="I1176" s="11" t="b">
        <f t="shared" si="2"/>
        <v>0</v>
      </c>
      <c r="J1176" s="24"/>
      <c r="K1176" s="11" t="b">
        <f t="shared" si="3"/>
        <v>0</v>
      </c>
    </row>
    <row r="1177" ht="22.5" customHeight="1">
      <c r="A1177" s="12">
        <f t="shared" si="4"/>
        <v>3175</v>
      </c>
      <c r="B1177" s="30" t="s">
        <v>10064</v>
      </c>
      <c r="C1177" s="7" t="str">
        <f t="shared" si="6"/>
        <v>🔊</v>
      </c>
      <c r="D1177" s="8" t="s">
        <v>10065</v>
      </c>
      <c r="E1177" s="6" t="s">
        <v>27</v>
      </c>
      <c r="F1177" s="12" t="str">
        <f>IFERROR(__xludf.DUMMYFUNCTION("GOOGLETRANSLATE(B1177,""zh_cn"",""vi"")"),"Đồ chơi")</f>
        <v>Đồ chơi</v>
      </c>
      <c r="G1177" s="20" t="s">
        <v>10066</v>
      </c>
      <c r="H1177" s="6"/>
      <c r="I1177" s="11" t="b">
        <f t="shared" si="2"/>
        <v>0</v>
      </c>
      <c r="J1177" s="24"/>
      <c r="K1177" s="11" t="b">
        <f t="shared" si="3"/>
        <v>0</v>
      </c>
    </row>
    <row r="1178" ht="22.5" customHeight="1">
      <c r="A1178" s="12">
        <f t="shared" si="4"/>
        <v>3176</v>
      </c>
      <c r="B1178" s="30" t="s">
        <v>10067</v>
      </c>
      <c r="C1178" s="7" t="str">
        <f t="shared" si="6"/>
        <v>🔊</v>
      </c>
      <c r="D1178" s="8" t="s">
        <v>10068</v>
      </c>
      <c r="E1178" s="6" t="s">
        <v>99</v>
      </c>
      <c r="F1178" s="12" t="str">
        <f>IFERROR(__xludf.DUMMYFUNCTION("GOOGLETRANSLATE(B1178,""zh_cn"",""vi"")"),"Hoàn hảo")</f>
        <v>Hoàn hảo</v>
      </c>
      <c r="G1178" s="20" t="s">
        <v>10069</v>
      </c>
      <c r="H1178" s="6"/>
      <c r="I1178" s="11" t="b">
        <f t="shared" si="2"/>
        <v>0</v>
      </c>
      <c r="J1178" s="24"/>
      <c r="K1178" s="11" t="b">
        <f t="shared" si="3"/>
        <v>0</v>
      </c>
    </row>
    <row r="1179" ht="22.5" customHeight="1">
      <c r="A1179" s="12">
        <f t="shared" si="4"/>
        <v>3177</v>
      </c>
      <c r="B1179" s="30" t="s">
        <v>10070</v>
      </c>
      <c r="C1179" s="7" t="str">
        <f t="shared" si="6"/>
        <v>🔊</v>
      </c>
      <c r="D1179" s="8" t="s">
        <v>10071</v>
      </c>
      <c r="E1179" s="6" t="s">
        <v>416</v>
      </c>
      <c r="F1179" s="12" t="str">
        <f>IFERROR(__xludf.DUMMYFUNCTION("GOOGLETRANSLATE(B1179,""zh_cn"",""vi"")"),"Hoàn thành")</f>
        <v>Hoàn thành</v>
      </c>
      <c r="G1179" s="20" t="s">
        <v>10072</v>
      </c>
      <c r="H1179" s="6"/>
      <c r="I1179" s="11" t="b">
        <f t="shared" si="2"/>
        <v>0</v>
      </c>
      <c r="J1179" s="24"/>
      <c r="K1179" s="11" t="b">
        <f t="shared" si="3"/>
        <v>0</v>
      </c>
    </row>
    <row r="1180" ht="22.5" customHeight="1">
      <c r="A1180" s="12">
        <f t="shared" si="4"/>
        <v>3178</v>
      </c>
      <c r="B1180" s="30" t="s">
        <v>10073</v>
      </c>
      <c r="C1180" s="7" t="str">
        <f t="shared" si="6"/>
        <v>🔊</v>
      </c>
      <c r="D1180" s="8" t="s">
        <v>10074</v>
      </c>
      <c r="E1180" s="6" t="s">
        <v>4544</v>
      </c>
      <c r="F1180" s="12" t="str">
        <f>IFERROR(__xludf.DUMMYFUNCTION("GOOGLETRANSLATE(B1180,""zh_cn"",""vi"")"),"phòng trường hợp")</f>
        <v>phòng trường hợp</v>
      </c>
      <c r="G1180" s="20" t="s">
        <v>10075</v>
      </c>
      <c r="H1180" s="6"/>
      <c r="I1180" s="11" t="b">
        <f t="shared" si="2"/>
        <v>0</v>
      </c>
      <c r="J1180" s="24"/>
      <c r="K1180" s="11" t="b">
        <f t="shared" si="3"/>
        <v>0</v>
      </c>
    </row>
    <row r="1181" ht="22.5" customHeight="1">
      <c r="A1181" s="12">
        <f t="shared" si="4"/>
        <v>3179</v>
      </c>
      <c r="B1181" s="30" t="s">
        <v>10076</v>
      </c>
      <c r="C1181" s="7" t="str">
        <f t="shared" si="6"/>
        <v>🔊</v>
      </c>
      <c r="D1181" s="8" t="s">
        <v>10077</v>
      </c>
      <c r="E1181" s="6" t="s">
        <v>99</v>
      </c>
      <c r="F1181" s="12" t="str">
        <f>IFERROR(__xludf.DUMMYFUNCTION("GOOGLETRANSLATE(B1181,""zh_cn"",""vi"")"),"trọn")</f>
        <v>trọn</v>
      </c>
      <c r="G1181" s="20" t="s">
        <v>10078</v>
      </c>
      <c r="H1181" s="6"/>
      <c r="I1181" s="11" t="b">
        <f t="shared" si="2"/>
        <v>0</v>
      </c>
      <c r="J1181" s="24"/>
      <c r="K1181" s="11" t="b">
        <f t="shared" si="3"/>
        <v>0</v>
      </c>
    </row>
    <row r="1182" ht="22.5" customHeight="1">
      <c r="A1182" s="12">
        <f t="shared" si="4"/>
        <v>3180</v>
      </c>
      <c r="B1182" s="30" t="s">
        <v>10079</v>
      </c>
      <c r="C1182" s="7" t="str">
        <f t="shared" si="6"/>
        <v>🔊</v>
      </c>
      <c r="D1182" s="8" t="s">
        <v>5868</v>
      </c>
      <c r="E1182" s="6" t="s">
        <v>13</v>
      </c>
      <c r="F1182" s="12" t="str">
        <f>IFERROR(__xludf.DUMMYFUNCTION("GOOGLETRANSLATE(B1182,""zh_cn"",""vi"")"),"Bao vây")</f>
        <v>Bao vây</v>
      </c>
      <c r="G1182" s="20" t="s">
        <v>10080</v>
      </c>
      <c r="H1182" s="6"/>
      <c r="I1182" s="11" t="b">
        <f t="shared" si="2"/>
        <v>0</v>
      </c>
      <c r="J1182" s="24"/>
      <c r="K1182" s="11" t="b">
        <f t="shared" si="3"/>
        <v>0</v>
      </c>
    </row>
    <row r="1183" ht="22.5" customHeight="1">
      <c r="A1183" s="12">
        <f t="shared" si="4"/>
        <v>3181</v>
      </c>
      <c r="B1183" s="30" t="s">
        <v>10081</v>
      </c>
      <c r="C1183" s="7" t="str">
        <f t="shared" si="6"/>
        <v>🔊</v>
      </c>
      <c r="D1183" s="8" t="s">
        <v>5868</v>
      </c>
      <c r="E1183" s="6" t="s">
        <v>1766</v>
      </c>
      <c r="F1183" s="12" t="str">
        <f>IFERROR(__xludf.DUMMYFUNCTION("GOOGLETRANSLATE(B1183,""zh_cn"",""vi"")"),"2")</f>
        <v>2</v>
      </c>
      <c r="G1183" s="20" t="s">
        <v>10082</v>
      </c>
      <c r="H1183" s="6"/>
      <c r="I1183" s="11" t="b">
        <f t="shared" si="2"/>
        <v>0</v>
      </c>
      <c r="J1183" s="24"/>
      <c r="K1183" s="11" t="b">
        <f t="shared" si="3"/>
        <v>0</v>
      </c>
    </row>
    <row r="1184" ht="22.5" customHeight="1">
      <c r="A1184" s="12">
        <f t="shared" si="4"/>
        <v>3182</v>
      </c>
      <c r="B1184" s="30" t="s">
        <v>10083</v>
      </c>
      <c r="C1184" s="7" t="str">
        <f t="shared" si="6"/>
        <v>🔊</v>
      </c>
      <c r="D1184" s="8" t="s">
        <v>746</v>
      </c>
      <c r="E1184" s="6" t="s">
        <v>27</v>
      </c>
      <c r="F1184" s="12" t="str">
        <f>IFERROR(__xludf.DUMMYFUNCTION("GOOGLETRANSLATE(B1184,""zh_cn"",""vi"")"),"Cái bụng")</f>
        <v>Cái bụng</v>
      </c>
      <c r="G1184" s="20" t="s">
        <v>10084</v>
      </c>
      <c r="H1184" s="6"/>
      <c r="I1184" s="11" t="b">
        <f t="shared" si="2"/>
        <v>0</v>
      </c>
      <c r="J1184" s="24"/>
      <c r="K1184" s="11" t="b">
        <f t="shared" si="3"/>
        <v>0</v>
      </c>
    </row>
    <row r="1185" ht="22.5" customHeight="1">
      <c r="A1185" s="12">
        <f t="shared" si="4"/>
        <v>3183</v>
      </c>
      <c r="B1185" s="30" t="s">
        <v>10085</v>
      </c>
      <c r="C1185" s="7" t="str">
        <f t="shared" si="6"/>
        <v>🔊</v>
      </c>
      <c r="D1185" s="8" t="s">
        <v>746</v>
      </c>
      <c r="E1185" s="6" t="s">
        <v>13</v>
      </c>
      <c r="F1185" s="12" t="str">
        <f>IFERROR(__xludf.DUMMYFUNCTION("GOOGLETRANSLATE(B1185,""zh_cn"",""vi"")"),"Thức ăn 2")</f>
        <v>Thức ăn 2</v>
      </c>
      <c r="G1185" s="20" t="s">
        <v>10086</v>
      </c>
      <c r="H1185" s="6"/>
      <c r="I1185" s="11" t="b">
        <f t="shared" si="2"/>
        <v>0</v>
      </c>
      <c r="J1185" s="24"/>
      <c r="K1185" s="11" t="b">
        <f t="shared" si="3"/>
        <v>0</v>
      </c>
    </row>
    <row r="1186" ht="22.5" customHeight="1">
      <c r="A1186" s="12">
        <f t="shared" si="4"/>
        <v>3184</v>
      </c>
      <c r="B1186" s="30" t="s">
        <v>10087</v>
      </c>
      <c r="C1186" s="7" t="str">
        <f t="shared" si="6"/>
        <v>🔊</v>
      </c>
      <c r="D1186" s="8" t="s">
        <v>10088</v>
      </c>
      <c r="E1186" s="6" t="s">
        <v>27</v>
      </c>
      <c r="F1186" s="12" t="str">
        <f>IFERROR(__xludf.DUMMYFUNCTION("GOOGLETRANSLATE(B1186,""zh_cn"",""vi"")"),"Đuôi")</f>
        <v>Đuôi</v>
      </c>
      <c r="G1186" s="20" t="s">
        <v>10089</v>
      </c>
      <c r="H1186" s="6"/>
      <c r="I1186" s="11" t="b">
        <f t="shared" si="2"/>
        <v>0</v>
      </c>
      <c r="J1186" s="24"/>
      <c r="K1186" s="11" t="b">
        <f t="shared" si="3"/>
        <v>0</v>
      </c>
    </row>
    <row r="1187" ht="22.5" customHeight="1">
      <c r="A1187" s="12">
        <f t="shared" si="4"/>
        <v>3185</v>
      </c>
      <c r="B1187" s="30" t="s">
        <v>10090</v>
      </c>
      <c r="C1187" s="7" t="str">
        <f t="shared" si="6"/>
        <v>🔊</v>
      </c>
      <c r="D1187" s="8" t="s">
        <v>10091</v>
      </c>
      <c r="E1187" s="6" t="s">
        <v>13</v>
      </c>
      <c r="F1187" s="12" t="str">
        <f>IFERROR(__xludf.DUMMYFUNCTION("GOOGLETRANSLATE(B1187,""zh_cn"",""vi"")"),"duy trì")</f>
        <v>duy trì</v>
      </c>
      <c r="G1187" s="20" t="s">
        <v>10092</v>
      </c>
      <c r="H1187" s="6"/>
      <c r="I1187" s="11" t="b">
        <f t="shared" si="2"/>
        <v>0</v>
      </c>
      <c r="J1187" s="24"/>
      <c r="K1187" s="11" t="b">
        <f t="shared" si="3"/>
        <v>0</v>
      </c>
    </row>
    <row r="1188" ht="22.5" customHeight="1">
      <c r="A1188" s="12">
        <f t="shared" si="4"/>
        <v>3186</v>
      </c>
      <c r="B1188" s="30" t="s">
        <v>10093</v>
      </c>
      <c r="C1188" s="7" t="str">
        <f t="shared" si="6"/>
        <v>🔊</v>
      </c>
      <c r="D1188" s="8" t="s">
        <v>10094</v>
      </c>
      <c r="E1188" s="6" t="s">
        <v>99</v>
      </c>
      <c r="F1188" s="12" t="str">
        <f>IFERROR(__xludf.DUMMYFUNCTION("GOOGLETRANSLATE(B1188,""zh_cn"",""vi"")"),"Tuyệt")</f>
        <v>Tuyệt</v>
      </c>
      <c r="G1188" s="20" t="s">
        <v>10095</v>
      </c>
      <c r="H1188" s="6"/>
      <c r="I1188" s="11" t="b">
        <f t="shared" si="2"/>
        <v>0</v>
      </c>
      <c r="J1188" s="24"/>
      <c r="K1188" s="11" t="b">
        <f t="shared" si="3"/>
        <v>0</v>
      </c>
    </row>
    <row r="1189" ht="22.5" customHeight="1">
      <c r="A1189" s="12">
        <f t="shared" si="4"/>
        <v>3187</v>
      </c>
      <c r="B1189" s="30" t="s">
        <v>10096</v>
      </c>
      <c r="C1189" s="7" t="str">
        <f t="shared" si="6"/>
        <v>🔊</v>
      </c>
      <c r="D1189" s="8" t="s">
        <v>10097</v>
      </c>
      <c r="E1189" s="6" t="s">
        <v>13</v>
      </c>
      <c r="F1189" s="12" t="str">
        <f>IFERROR(__xludf.DUMMYFUNCTION("GOOGLETRANSLATE(B1189,""zh_cn"",""vi"")"),"bất hợp pháp")</f>
        <v>bất hợp pháp</v>
      </c>
      <c r="G1189" s="20" t="s">
        <v>10098</v>
      </c>
      <c r="H1189" s="6"/>
      <c r="I1189" s="11" t="b">
        <f t="shared" si="2"/>
        <v>0</v>
      </c>
      <c r="J1189" s="24"/>
      <c r="K1189" s="11" t="b">
        <f t="shared" si="3"/>
        <v>0</v>
      </c>
    </row>
    <row r="1190" ht="22.5" customHeight="1">
      <c r="A1190" s="12">
        <f t="shared" si="4"/>
        <v>3188</v>
      </c>
      <c r="B1190" s="30" t="s">
        <v>10099</v>
      </c>
      <c r="C1190" s="7" t="str">
        <f t="shared" si="6"/>
        <v>🔊</v>
      </c>
      <c r="D1190" s="8" t="s">
        <v>10100</v>
      </c>
      <c r="E1190" s="6" t="s">
        <v>13</v>
      </c>
      <c r="F1190" s="12" t="str">
        <f>IFERROR(__xludf.DUMMYFUNCTION("GOOGLETRANSLATE(B1190,""zh_cn"",""vi"")"),"vi phạm")</f>
        <v>vi phạm</v>
      </c>
      <c r="G1190" s="20" t="s">
        <v>10101</v>
      </c>
      <c r="H1190" s="6"/>
      <c r="I1190" s="11" t="b">
        <f t="shared" si="2"/>
        <v>0</v>
      </c>
      <c r="J1190" s="24"/>
      <c r="K1190" s="11" t="b">
        <f t="shared" si="3"/>
        <v>0</v>
      </c>
    </row>
    <row r="1191" ht="22.5" customHeight="1">
      <c r="A1191" s="12">
        <f t="shared" si="4"/>
        <v>3189</v>
      </c>
      <c r="B1191" s="30" t="s">
        <v>10102</v>
      </c>
      <c r="C1191" s="7" t="str">
        <f t="shared" si="6"/>
        <v>🔊</v>
      </c>
      <c r="D1191" s="8" t="s">
        <v>10103</v>
      </c>
      <c r="E1191" s="6" t="s">
        <v>13</v>
      </c>
      <c r="F1191" s="12" t="str">
        <f>IFERROR(__xludf.DUMMYFUNCTION("GOOGLETRANSLATE(B1191,""zh_cn"",""vi"")"),"làm hại")</f>
        <v>làm hại</v>
      </c>
      <c r="G1191" s="20" t="s">
        <v>10104</v>
      </c>
      <c r="H1191" s="6"/>
      <c r="I1191" s="11" t="b">
        <f t="shared" si="2"/>
        <v>0</v>
      </c>
      <c r="J1191" s="24"/>
      <c r="K1191" s="11" t="b">
        <f t="shared" si="3"/>
        <v>0</v>
      </c>
    </row>
    <row r="1192" ht="22.5" customHeight="1">
      <c r="A1192" s="12">
        <f t="shared" si="4"/>
        <v>3190</v>
      </c>
      <c r="B1192" s="30" t="s">
        <v>10105</v>
      </c>
      <c r="C1192" s="7" t="str">
        <f t="shared" si="6"/>
        <v>🔊</v>
      </c>
      <c r="D1192" s="8" t="s">
        <v>10106</v>
      </c>
      <c r="E1192" s="6" t="s">
        <v>27</v>
      </c>
      <c r="F1192" s="12" t="str">
        <f>IFERROR(__xludf.DUMMYFUNCTION("GOOGLETRANSLATE(B1192,""zh_cn"",""vi"")"),"khăn quàng cổ")</f>
        <v>khăn quàng cổ</v>
      </c>
      <c r="G1192" s="20" t="s">
        <v>10107</v>
      </c>
      <c r="H1192" s="6"/>
      <c r="I1192" s="11" t="b">
        <f t="shared" si="2"/>
        <v>0</v>
      </c>
      <c r="J1192" s="24"/>
      <c r="K1192" s="11" t="b">
        <f t="shared" si="3"/>
        <v>0</v>
      </c>
    </row>
    <row r="1193" ht="22.5" customHeight="1">
      <c r="A1193" s="12">
        <f t="shared" si="4"/>
        <v>3191</v>
      </c>
      <c r="B1193" s="30" t="s">
        <v>10108</v>
      </c>
      <c r="C1193" s="7" t="str">
        <f t="shared" si="6"/>
        <v>🔊</v>
      </c>
      <c r="D1193" s="8" t="s">
        <v>10109</v>
      </c>
      <c r="E1193" s="6" t="s">
        <v>1164</v>
      </c>
      <c r="F1193" s="12" t="str">
        <f>IFERROR(__xludf.DUMMYFUNCTION("GOOGLETRANSLATE(B1193,""zh_cn"",""vi"")"),"tương lai")</f>
        <v>tương lai</v>
      </c>
      <c r="G1193" s="20" t="s">
        <v>10110</v>
      </c>
      <c r="H1193" s="6"/>
      <c r="I1193" s="11" t="b">
        <f t="shared" si="2"/>
        <v>0</v>
      </c>
      <c r="J1193" s="24"/>
      <c r="K1193" s="11" t="b">
        <f t="shared" si="3"/>
        <v>0</v>
      </c>
    </row>
    <row r="1194" ht="22.5" customHeight="1">
      <c r="A1194" s="12">
        <f t="shared" si="4"/>
        <v>3192</v>
      </c>
      <c r="B1194" s="30" t="s">
        <v>10111</v>
      </c>
      <c r="C1194" s="7" t="str">
        <f t="shared" si="6"/>
        <v>🔊</v>
      </c>
      <c r="D1194" s="8" t="s">
        <v>10112</v>
      </c>
      <c r="E1194" s="6" t="s">
        <v>13</v>
      </c>
      <c r="F1194" s="12" t="str">
        <f>IFERROR(__xludf.DUMMYFUNCTION("GOOGLETRANSLATE(B1194,""zh_cn"",""vi"")"),"xung quanh")</f>
        <v>xung quanh</v>
      </c>
      <c r="G1194" s="20" t="s">
        <v>10113</v>
      </c>
      <c r="H1194" s="6"/>
      <c r="I1194" s="11" t="b">
        <f t="shared" si="2"/>
        <v>0</v>
      </c>
      <c r="J1194" s="24"/>
      <c r="K1194" s="11" t="b">
        <f t="shared" si="3"/>
        <v>0</v>
      </c>
    </row>
    <row r="1195" ht="22.5" customHeight="1">
      <c r="A1195" s="12">
        <f t="shared" si="4"/>
        <v>3193</v>
      </c>
      <c r="B1195" s="30" t="s">
        <v>10114</v>
      </c>
      <c r="C1195" s="7" t="str">
        <f t="shared" si="6"/>
        <v>🔊</v>
      </c>
      <c r="D1195" s="8" t="s">
        <v>10115</v>
      </c>
      <c r="E1195" s="6" t="s">
        <v>232</v>
      </c>
      <c r="F1195" s="12" t="str">
        <f>IFERROR(__xludf.DUMMYFUNCTION("GOOGLETRANSLATE(B1195,""zh_cn"",""vi"")"),"Nụ cười")</f>
        <v>Nụ cười</v>
      </c>
      <c r="G1195" s="20" t="s">
        <v>10116</v>
      </c>
      <c r="H1195" s="6"/>
      <c r="I1195" s="11" t="b">
        <f t="shared" si="2"/>
        <v>0</v>
      </c>
      <c r="J1195" s="24"/>
      <c r="K1195" s="11" t="b">
        <f t="shared" si="3"/>
        <v>0</v>
      </c>
    </row>
    <row r="1196" ht="22.5" customHeight="1">
      <c r="A1196" s="12">
        <f t="shared" si="4"/>
        <v>3194</v>
      </c>
      <c r="B1196" s="30" t="s">
        <v>10117</v>
      </c>
      <c r="C1196" s="7" t="str">
        <f t="shared" si="6"/>
        <v>🔊</v>
      </c>
      <c r="D1196" s="8" t="s">
        <v>10118</v>
      </c>
      <c r="E1196" s="6" t="s">
        <v>13</v>
      </c>
      <c r="F1196" s="12" t="str">
        <f>IFERROR(__xludf.DUMMYFUNCTION("GOOGLETRANSLATE(B1196,""zh_cn"",""vi"")"),"hăm dọa")</f>
        <v>hăm dọa</v>
      </c>
      <c r="G1196" s="20" t="s">
        <v>10119</v>
      </c>
      <c r="H1196" s="6"/>
      <c r="I1196" s="11" t="b">
        <f t="shared" si="2"/>
        <v>0</v>
      </c>
      <c r="J1196" s="24"/>
      <c r="K1196" s="11" t="b">
        <f t="shared" si="3"/>
        <v>0</v>
      </c>
    </row>
    <row r="1197" ht="22.5" customHeight="1">
      <c r="A1197" s="12">
        <f t="shared" si="4"/>
        <v>3195</v>
      </c>
      <c r="B1197" s="30" t="s">
        <v>10120</v>
      </c>
      <c r="C1197" s="7" t="str">
        <f t="shared" si="6"/>
        <v>🔊</v>
      </c>
      <c r="D1197" s="8" t="s">
        <v>10121</v>
      </c>
      <c r="E1197" s="6" t="s">
        <v>13</v>
      </c>
      <c r="F1197" s="12" t="str">
        <f>IFERROR(__xludf.DUMMYFUNCTION("GOOGLETRANSLATE(B1197,""zh_cn"",""vi"")"),"Sửa chữa")</f>
        <v>Sửa chữa</v>
      </c>
      <c r="G1197" s="20" t="s">
        <v>10122</v>
      </c>
      <c r="H1197" s="6"/>
      <c r="I1197" s="11" t="b">
        <f t="shared" si="2"/>
        <v>0</v>
      </c>
      <c r="J1197" s="24"/>
      <c r="K1197" s="11" t="b">
        <f t="shared" si="3"/>
        <v>0</v>
      </c>
    </row>
    <row r="1198" ht="22.5" customHeight="1">
      <c r="A1198" s="12">
        <f t="shared" si="4"/>
        <v>3196</v>
      </c>
      <c r="B1198" s="30" t="s">
        <v>10123</v>
      </c>
      <c r="C1198" s="7" t="str">
        <f t="shared" si="6"/>
        <v>🔊</v>
      </c>
      <c r="D1198" s="8" t="s">
        <v>10124</v>
      </c>
      <c r="E1198" s="6" t="s">
        <v>99</v>
      </c>
      <c r="F1198" s="12" t="str">
        <f>IFERROR(__xludf.DUMMYFUNCTION("GOOGLETRANSLATE(B1198,""zh_cn"",""vi"")"),"chỉ một")</f>
        <v>chỉ một</v>
      </c>
      <c r="G1198" s="20" t="s">
        <v>10125</v>
      </c>
      <c r="H1198" s="6"/>
      <c r="I1198" s="11" t="b">
        <f t="shared" si="2"/>
        <v>0</v>
      </c>
      <c r="J1198" s="24"/>
      <c r="K1198" s="11" t="b">
        <f t="shared" si="3"/>
        <v>0</v>
      </c>
    </row>
    <row r="1199" ht="22.5" customHeight="1">
      <c r="A1199" s="12">
        <f t="shared" si="4"/>
        <v>3197</v>
      </c>
      <c r="B1199" s="30" t="s">
        <v>10126</v>
      </c>
      <c r="C1199" s="7" t="str">
        <f t="shared" si="6"/>
        <v>🔊</v>
      </c>
      <c r="D1199" s="8" t="s">
        <v>10127</v>
      </c>
      <c r="E1199" s="6" t="s">
        <v>13</v>
      </c>
      <c r="F1199" s="12" t="str">
        <f>IFERROR(__xludf.DUMMYFUNCTION("GOOGLETRANSLATE(B1199,""zh_cn"",""vi"")"),"nằm trong")</f>
        <v>nằm trong</v>
      </c>
      <c r="G1199" s="20" t="s">
        <v>10128</v>
      </c>
      <c r="H1199" s="6"/>
      <c r="I1199" s="11" t="b">
        <f t="shared" si="2"/>
        <v>0</v>
      </c>
      <c r="J1199" s="24"/>
      <c r="K1199" s="11" t="b">
        <f t="shared" si="3"/>
        <v>0</v>
      </c>
    </row>
    <row r="1200" ht="22.5" customHeight="1">
      <c r="A1200" s="12">
        <f t="shared" si="4"/>
        <v>3198</v>
      </c>
      <c r="B1200" s="30" t="s">
        <v>10129</v>
      </c>
      <c r="C1200" s="7" t="str">
        <f t="shared" si="6"/>
        <v>🔊</v>
      </c>
      <c r="D1200" s="8" t="s">
        <v>10130</v>
      </c>
      <c r="E1200" s="6" t="s">
        <v>27</v>
      </c>
      <c r="F1200" s="12" t="str">
        <f>IFERROR(__xludf.DUMMYFUNCTION("GOOGLETRANSLATE(B1200,""zh_cn"",""vi"")"),"Vị trí")</f>
        <v>Vị trí</v>
      </c>
      <c r="G1200" s="20" t="s">
        <v>10131</v>
      </c>
      <c r="H1200" s="6"/>
      <c r="I1200" s="11" t="b">
        <f t="shared" si="2"/>
        <v>0</v>
      </c>
      <c r="J1200" s="24"/>
      <c r="K1200" s="11" t="b">
        <f t="shared" si="3"/>
        <v>0</v>
      </c>
    </row>
    <row r="1201" ht="22.5" customHeight="1">
      <c r="A1201" s="12">
        <f t="shared" si="4"/>
        <v>3199</v>
      </c>
      <c r="B1201" s="30" t="s">
        <v>10132</v>
      </c>
      <c r="C1201" s="7" t="str">
        <f t="shared" si="6"/>
        <v>🔊</v>
      </c>
      <c r="D1201" s="8" t="s">
        <v>10133</v>
      </c>
      <c r="E1201" s="6" t="s">
        <v>416</v>
      </c>
      <c r="F1201" s="12" t="str">
        <f>IFERROR(__xludf.DUMMYFUNCTION("GOOGLETRANSLATE(B1201,""zh_cn"",""vi"")"),"Ổn định")</f>
        <v>Ổn định</v>
      </c>
      <c r="G1201" s="20" t="s">
        <v>10134</v>
      </c>
      <c r="H1201" s="6"/>
      <c r="I1201" s="11" t="b">
        <f t="shared" si="2"/>
        <v>0</v>
      </c>
      <c r="J1201" s="24"/>
      <c r="K1201" s="11" t="b">
        <f t="shared" si="3"/>
        <v>0</v>
      </c>
    </row>
    <row r="1202" ht="22.5" customHeight="1">
      <c r="A1202" s="12">
        <f t="shared" si="4"/>
        <v>3200</v>
      </c>
      <c r="B1202" s="30" t="s">
        <v>10135</v>
      </c>
      <c r="C1202" s="7" t="str">
        <f t="shared" si="6"/>
        <v>🔊</v>
      </c>
      <c r="D1202" s="8" t="s">
        <v>10136</v>
      </c>
      <c r="E1202" s="6" t="s">
        <v>27</v>
      </c>
      <c r="F1202" s="12" t="str">
        <f>IFERROR(__xludf.DUMMYFUNCTION("GOOGLETRANSLATE(B1202,""zh_cn"",""vi"")"),"Bảng câu hỏi")</f>
        <v>Bảng câu hỏi</v>
      </c>
      <c r="G1202" s="20" t="s">
        <v>10137</v>
      </c>
      <c r="H1202" s="6"/>
      <c r="I1202" s="11" t="b">
        <f t="shared" si="2"/>
        <v>0</v>
      </c>
      <c r="J1202" s="24"/>
      <c r="K1202" s="11" t="b">
        <f t="shared" si="3"/>
        <v>0</v>
      </c>
    </row>
    <row r="1203" ht="22.5" customHeight="1">
      <c r="A1203" s="12">
        <f t="shared" si="4"/>
        <v>3201</v>
      </c>
      <c r="B1203" s="30" t="s">
        <v>10138</v>
      </c>
      <c r="C1203" s="7" t="str">
        <f t="shared" si="6"/>
        <v>🔊</v>
      </c>
      <c r="D1203" s="8" t="s">
        <v>10139</v>
      </c>
      <c r="E1203" s="6" t="s">
        <v>416</v>
      </c>
      <c r="F1203" s="12" t="str">
        <f>IFERROR(__xludf.DUMMYFUNCTION("GOOGLETRANSLATE(B1203,""zh_cn"",""vi"")"),"sự ấm áp")</f>
        <v>sự ấm áp</v>
      </c>
      <c r="G1203" s="20" t="s">
        <v>10140</v>
      </c>
      <c r="H1203" s="6"/>
      <c r="I1203" s="11" t="b">
        <f t="shared" si="2"/>
        <v>0</v>
      </c>
      <c r="J1203" s="24"/>
      <c r="K1203" s="11" t="b">
        <f t="shared" si="3"/>
        <v>0</v>
      </c>
    </row>
    <row r="1204" ht="22.5" customHeight="1">
      <c r="A1204" s="12">
        <f t="shared" si="4"/>
        <v>3202</v>
      </c>
      <c r="B1204" s="30" t="s">
        <v>10141</v>
      </c>
      <c r="C1204" s="7" t="str">
        <f t="shared" si="6"/>
        <v>🔊</v>
      </c>
      <c r="D1204" s="8" t="s">
        <v>10142</v>
      </c>
      <c r="E1204" s="6" t="s">
        <v>27</v>
      </c>
      <c r="F1204" s="12" t="str">
        <f>IFERROR(__xludf.DUMMYFUNCTION("GOOGLETRANSLATE(B1204,""zh_cn"",""vi"")"),"văn học")</f>
        <v>văn học</v>
      </c>
      <c r="G1204" s="20" t="s">
        <v>10143</v>
      </c>
      <c r="H1204" s="6"/>
      <c r="I1204" s="11" t="b">
        <f t="shared" si="2"/>
        <v>0</v>
      </c>
      <c r="J1204" s="24"/>
      <c r="K1204" s="11" t="b">
        <f t="shared" si="3"/>
        <v>0</v>
      </c>
    </row>
    <row r="1205" ht="22.5" customHeight="1">
      <c r="A1205" s="12">
        <f t="shared" si="4"/>
        <v>3203</v>
      </c>
      <c r="B1205" s="30" t="s">
        <v>10144</v>
      </c>
      <c r="C1205" s="7" t="str">
        <f t="shared" si="6"/>
        <v>🔊</v>
      </c>
      <c r="D1205" s="8" t="s">
        <v>10145</v>
      </c>
      <c r="E1205" s="6" t="s">
        <v>13</v>
      </c>
      <c r="F1205" s="12" t="str">
        <f>IFERROR(__xludf.DUMMYFUNCTION("GOOGLETRANSLATE(B1205,""zh_cn"",""vi"")"),"va li")</f>
        <v>va li</v>
      </c>
      <c r="G1205" s="20" t="s">
        <v>10146</v>
      </c>
      <c r="H1205" s="6"/>
      <c r="I1205" s="11" t="b">
        <f t="shared" si="2"/>
        <v>0</v>
      </c>
      <c r="J1205" s="24"/>
      <c r="K1205" s="11" t="b">
        <f t="shared" si="3"/>
        <v>0</v>
      </c>
    </row>
    <row r="1206" ht="22.5" customHeight="1">
      <c r="A1206" s="12">
        <f t="shared" si="4"/>
        <v>3204</v>
      </c>
      <c r="B1206" s="30" t="s">
        <v>10147</v>
      </c>
      <c r="C1206" s="7" t="str">
        <f t="shared" si="6"/>
        <v>🔊</v>
      </c>
      <c r="D1206" s="8" t="s">
        <v>10148</v>
      </c>
      <c r="E1206" s="6" t="s">
        <v>27</v>
      </c>
      <c r="F1206" s="12" t="str">
        <f>IFERROR(__xludf.DUMMYFUNCTION("GOOGLETRANSLATE(B1206,""zh_cn"",""vi"")"),"phòng ngủ")</f>
        <v>phòng ngủ</v>
      </c>
      <c r="G1206" s="20" t="s">
        <v>10149</v>
      </c>
      <c r="H1206" s="6"/>
      <c r="I1206" s="11" t="b">
        <f t="shared" si="2"/>
        <v>0</v>
      </c>
      <c r="J1206" s="24"/>
      <c r="K1206" s="11" t="b">
        <f t="shared" si="3"/>
        <v>0</v>
      </c>
    </row>
    <row r="1207" ht="22.5" customHeight="1">
      <c r="A1207" s="12">
        <f t="shared" si="4"/>
        <v>3205</v>
      </c>
      <c r="B1207" s="30" t="s">
        <v>10150</v>
      </c>
      <c r="C1207" s="7" t="str">
        <f t="shared" si="6"/>
        <v>🔊</v>
      </c>
      <c r="D1207" s="8" t="s">
        <v>10151</v>
      </c>
      <c r="E1207" s="6" t="s">
        <v>13</v>
      </c>
      <c r="F1207" s="12" t="str">
        <f>IFERROR(__xludf.DUMMYFUNCTION("GOOGLETRANSLATE(B1207,""zh_cn"",""vi"")"),"bắt tay")</f>
        <v>bắt tay</v>
      </c>
      <c r="G1207" s="20" t="s">
        <v>10152</v>
      </c>
      <c r="H1207" s="6"/>
      <c r="I1207" s="11" t="b">
        <f t="shared" si="2"/>
        <v>0</v>
      </c>
      <c r="J1207" s="24"/>
      <c r="K1207" s="11" t="b">
        <f t="shared" si="3"/>
        <v>0</v>
      </c>
    </row>
    <row r="1208" ht="22.5" customHeight="1">
      <c r="A1208" s="12">
        <f t="shared" si="4"/>
        <v>3206</v>
      </c>
      <c r="B1208" s="30" t="s">
        <v>10153</v>
      </c>
      <c r="C1208" s="7" t="str">
        <f t="shared" si="6"/>
        <v>🔊</v>
      </c>
      <c r="D1208" s="8" t="s">
        <v>10154</v>
      </c>
      <c r="E1208" s="6" t="s">
        <v>27</v>
      </c>
      <c r="F1208" s="12" t="str">
        <f>IFERROR(__xludf.DUMMYFUNCTION("GOOGLETRANSLATE(B1208,""zh_cn"",""vi"")"),"sương mù")</f>
        <v>sương mù</v>
      </c>
      <c r="G1208" s="20" t="s">
        <v>10155</v>
      </c>
      <c r="H1208" s="6"/>
      <c r="I1208" s="11" t="b">
        <f t="shared" si="2"/>
        <v>0</v>
      </c>
      <c r="J1208" s="24"/>
      <c r="K1208" s="11" t="b">
        <f t="shared" si="3"/>
        <v>0</v>
      </c>
    </row>
    <row r="1209" ht="22.5" customHeight="1">
      <c r="A1209" s="12">
        <f t="shared" si="4"/>
        <v>3207</v>
      </c>
      <c r="B1209" s="30" t="s">
        <v>10156</v>
      </c>
      <c r="C1209" s="7" t="str">
        <f t="shared" si="6"/>
        <v>🔊</v>
      </c>
      <c r="D1209" s="8" t="s">
        <v>10157</v>
      </c>
      <c r="E1209" s="6" t="s">
        <v>27</v>
      </c>
      <c r="F1209" s="12" t="str">
        <f>IFERROR(__xludf.DUMMYFUNCTION("GOOGLETRANSLATE(B1209,""zh_cn"",""vi"")"),"nhảy")</f>
        <v>nhảy</v>
      </c>
      <c r="G1209" s="20" t="s">
        <v>10158</v>
      </c>
      <c r="H1209" s="6"/>
      <c r="I1209" s="11" t="b">
        <f t="shared" si="2"/>
        <v>0</v>
      </c>
      <c r="J1209" s="24"/>
      <c r="K1209" s="11" t="b">
        <f t="shared" si="3"/>
        <v>0</v>
      </c>
    </row>
    <row r="1210" ht="22.5" customHeight="1">
      <c r="A1210" s="12">
        <f t="shared" si="4"/>
        <v>3208</v>
      </c>
      <c r="B1210" s="30" t="s">
        <v>10159</v>
      </c>
      <c r="C1210" s="7" t="str">
        <f t="shared" si="6"/>
        <v>🔊</v>
      </c>
      <c r="D1210" s="8" t="s">
        <v>10160</v>
      </c>
      <c r="E1210" s="6" t="s">
        <v>13</v>
      </c>
      <c r="F1210" s="12" t="str">
        <f>IFERROR(__xludf.DUMMYFUNCTION("GOOGLETRANSLATE(B1210,""zh_cn"",""vi"")"),"không liên quan")</f>
        <v>không liên quan</v>
      </c>
      <c r="G1210" s="20" t="s">
        <v>10161</v>
      </c>
      <c r="H1210" s="6"/>
      <c r="I1210" s="11" t="b">
        <f t="shared" si="2"/>
        <v>0</v>
      </c>
      <c r="J1210" s="24"/>
      <c r="K1210" s="11" t="b">
        <f t="shared" si="3"/>
        <v>0</v>
      </c>
    </row>
    <row r="1211" ht="22.5" customHeight="1">
      <c r="A1211" s="12">
        <f t="shared" si="4"/>
        <v>3209</v>
      </c>
      <c r="B1211" s="30" t="s">
        <v>10162</v>
      </c>
      <c r="C1211" s="7" t="str">
        <f t="shared" si="6"/>
        <v>🔊</v>
      </c>
      <c r="D1211" s="8" t="s">
        <v>10163</v>
      </c>
      <c r="E1211" s="6" t="s">
        <v>27</v>
      </c>
      <c r="F1211" s="12" t="str">
        <f>IFERROR(__xludf.DUMMYFUNCTION("GOOGLETRANSLATE(B1211,""zh_cn"",""vi"")"),"Giá cả")</f>
        <v>Giá cả</v>
      </c>
      <c r="G1211" s="20" t="s">
        <v>10164</v>
      </c>
      <c r="H1211" s="6"/>
      <c r="I1211" s="11" t="b">
        <f t="shared" si="2"/>
        <v>0</v>
      </c>
      <c r="J1211" s="24"/>
      <c r="K1211" s="11" t="b">
        <f t="shared" si="3"/>
        <v>0</v>
      </c>
    </row>
    <row r="1212" ht="22.5" customHeight="1">
      <c r="A1212" s="12">
        <f t="shared" si="4"/>
        <v>3210</v>
      </c>
      <c r="B1212" s="30" t="s">
        <v>10165</v>
      </c>
      <c r="C1212" s="7" t="str">
        <f t="shared" si="6"/>
        <v>🔊</v>
      </c>
      <c r="D1212" s="8" t="s">
        <v>10166</v>
      </c>
      <c r="E1212" s="6" t="s">
        <v>27</v>
      </c>
      <c r="F1212" s="12" t="str">
        <f>IFERROR(__xludf.DUMMYFUNCTION("GOOGLETRANSLATE(B1212,""zh_cn"",""vi"")"),"vật lý")</f>
        <v>vật lý</v>
      </c>
      <c r="G1212" s="20" t="s">
        <v>10167</v>
      </c>
      <c r="H1212" s="6"/>
      <c r="I1212" s="11" t="b">
        <f t="shared" si="2"/>
        <v>0</v>
      </c>
      <c r="J1212" s="24"/>
      <c r="K1212" s="11" t="b">
        <f t="shared" si="3"/>
        <v>0</v>
      </c>
    </row>
    <row r="1213" ht="22.5" customHeight="1">
      <c r="A1213" s="12">
        <f t="shared" si="4"/>
        <v>3211</v>
      </c>
      <c r="B1213" s="30" t="s">
        <v>10168</v>
      </c>
      <c r="C1213" s="7" t="str">
        <f t="shared" si="6"/>
        <v>🔊</v>
      </c>
      <c r="D1213" s="8" t="s">
        <v>10169</v>
      </c>
      <c r="E1213" s="6" t="s">
        <v>6324</v>
      </c>
      <c r="F1213" s="12" t="str">
        <f>IFERROR(__xludf.DUMMYFUNCTION("GOOGLETRANSLATE(B1213,""zh_cn"",""vi"")"),"không có sự lựa chọn")</f>
        <v>không có sự lựa chọn</v>
      </c>
      <c r="G1213" s="20" t="s">
        <v>10170</v>
      </c>
      <c r="H1213" s="6"/>
      <c r="I1213" s="11" t="b">
        <f t="shared" si="2"/>
        <v>0</v>
      </c>
      <c r="J1213" s="24"/>
      <c r="K1213" s="11" t="b">
        <f t="shared" si="3"/>
        <v>0</v>
      </c>
    </row>
    <row r="1214" ht="22.5" customHeight="1">
      <c r="A1214" s="12">
        <f t="shared" si="4"/>
        <v>3212</v>
      </c>
      <c r="B1214" s="30" t="s">
        <v>10171</v>
      </c>
      <c r="C1214" s="7" t="str">
        <f t="shared" si="6"/>
        <v>🔊</v>
      </c>
      <c r="D1214" s="8" t="s">
        <v>10172</v>
      </c>
      <c r="E1214" s="6" t="s">
        <v>27</v>
      </c>
      <c r="F1214" s="12" t="str">
        <f>IFERROR(__xludf.DUMMYFUNCTION("GOOGLETRANSLATE(B1214,""zh_cn"",""vi"")"),"điều")</f>
        <v>điều</v>
      </c>
      <c r="G1214" s="20" t="s">
        <v>10173</v>
      </c>
      <c r="H1214" s="6"/>
      <c r="I1214" s="11" t="b">
        <f t="shared" si="2"/>
        <v>0</v>
      </c>
      <c r="J1214" s="24"/>
      <c r="K1214" s="11" t="b">
        <f t="shared" si="3"/>
        <v>0</v>
      </c>
    </row>
    <row r="1215" ht="22.5" customHeight="1">
      <c r="A1215" s="12">
        <f t="shared" si="4"/>
        <v>3213</v>
      </c>
      <c r="B1215" s="30" t="s">
        <v>10174</v>
      </c>
      <c r="C1215" s="7" t="str">
        <f t="shared" si="6"/>
        <v>🔊</v>
      </c>
      <c r="D1215" s="8" t="s">
        <v>10175</v>
      </c>
      <c r="E1215" s="6" t="s">
        <v>99</v>
      </c>
      <c r="F1215" s="12" t="str">
        <f>IFERROR(__xludf.DUMMYFUNCTION("GOOGLETRANSLATE(B1215,""zh_cn"",""vi"")"),"vô số")</f>
        <v>vô số</v>
      </c>
      <c r="G1215" s="20" t="s">
        <v>10176</v>
      </c>
      <c r="H1215" s="6"/>
      <c r="I1215" s="11" t="b">
        <f t="shared" si="2"/>
        <v>0</v>
      </c>
      <c r="J1215" s="24"/>
      <c r="K1215" s="11" t="b">
        <f t="shared" si="3"/>
        <v>0</v>
      </c>
    </row>
    <row r="1216" ht="22.5" customHeight="1">
      <c r="A1216" s="12">
        <f t="shared" si="4"/>
        <v>3214</v>
      </c>
      <c r="B1216" s="30" t="s">
        <v>10177</v>
      </c>
      <c r="C1216" s="7" t="str">
        <f t="shared" si="6"/>
        <v>🔊</v>
      </c>
      <c r="D1216" s="8" t="s">
        <v>10178</v>
      </c>
      <c r="E1216" s="6" t="s">
        <v>27</v>
      </c>
      <c r="F1216" s="12" t="str">
        <f>IFERROR(__xludf.DUMMYFUNCTION("GOOGLETRANSLATE(B1216,""zh_cn"",""vi"")"),"võ thuật")</f>
        <v>võ thuật</v>
      </c>
      <c r="G1216" s="20" t="s">
        <v>10179</v>
      </c>
      <c r="H1216" s="6"/>
      <c r="I1216" s="11" t="b">
        <f t="shared" si="2"/>
        <v>0</v>
      </c>
      <c r="J1216" s="24"/>
      <c r="K1216" s="11" t="b">
        <f t="shared" si="3"/>
        <v>0</v>
      </c>
    </row>
    <row r="1217" ht="22.5" customHeight="1">
      <c r="A1217" s="12">
        <f t="shared" si="4"/>
        <v>3215</v>
      </c>
      <c r="B1217" s="30" t="s">
        <v>10180</v>
      </c>
      <c r="C1217" s="7" t="str">
        <f t="shared" si="6"/>
        <v>🔊</v>
      </c>
      <c r="D1217" s="8" t="s">
        <v>10181</v>
      </c>
      <c r="E1217" s="6" t="s">
        <v>27</v>
      </c>
      <c r="F1217" s="12" t="str">
        <f>IFERROR(__xludf.DUMMYFUNCTION("GOOGLETRANSLATE(B1217,""zh_cn"",""vi"")"),"sân khấu")</f>
        <v>sân khấu</v>
      </c>
      <c r="G1217" s="20" t="s">
        <v>10182</v>
      </c>
      <c r="H1217" s="6"/>
      <c r="I1217" s="11" t="b">
        <f t="shared" si="2"/>
        <v>0</v>
      </c>
      <c r="J1217" s="24"/>
      <c r="K1217" s="11" t="b">
        <f t="shared" si="3"/>
        <v>0</v>
      </c>
    </row>
    <row r="1218" ht="22.5" customHeight="1">
      <c r="A1218" s="12">
        <f t="shared" si="4"/>
        <v>3216</v>
      </c>
      <c r="B1218" s="30" t="s">
        <v>10183</v>
      </c>
      <c r="C1218" s="7" t="str">
        <f t="shared" si="6"/>
        <v>🔊</v>
      </c>
      <c r="D1218" s="8" t="s">
        <v>10184</v>
      </c>
      <c r="E1218" s="6" t="s">
        <v>99</v>
      </c>
      <c r="F1218" s="12" t="str">
        <f>IFERROR(__xludf.DUMMYFUNCTION("GOOGLETRANSLATE(B1218,""zh_cn"",""vi"")"),"không giới hạn")</f>
        <v>không giới hạn</v>
      </c>
      <c r="G1218" s="20" t="s">
        <v>10185</v>
      </c>
      <c r="H1218" s="6"/>
      <c r="I1218" s="11" t="b">
        <f t="shared" si="2"/>
        <v>0</v>
      </c>
      <c r="J1218" s="24"/>
      <c r="K1218" s="11" t="b">
        <f t="shared" si="3"/>
        <v>0</v>
      </c>
    </row>
    <row r="1219" ht="22.5" customHeight="1">
      <c r="A1219" s="12">
        <f t="shared" si="4"/>
        <v>3217</v>
      </c>
      <c r="B1219" s="30" t="s">
        <v>10186</v>
      </c>
      <c r="C1219" s="7" t="str">
        <f t="shared" si="6"/>
        <v>🔊</v>
      </c>
      <c r="D1219" s="8" t="s">
        <v>10187</v>
      </c>
      <c r="E1219" s="6" t="s">
        <v>13</v>
      </c>
      <c r="F1219" s="12" t="str">
        <f>IFERROR(__xludf.DUMMYFUNCTION("GOOGLETRANSLATE(B1219,""zh_cn"",""vi"")"),"không hợp lệ")</f>
        <v>không hợp lệ</v>
      </c>
      <c r="G1219" s="20" t="s">
        <v>10188</v>
      </c>
      <c r="H1219" s="6"/>
      <c r="I1219" s="11" t="b">
        <f t="shared" si="2"/>
        <v>0</v>
      </c>
      <c r="J1219" s="24"/>
      <c r="K1219" s="11" t="b">
        <f t="shared" si="3"/>
        <v>0</v>
      </c>
    </row>
    <row r="1220" ht="22.5" customHeight="1">
      <c r="A1220" s="12">
        <f t="shared" si="4"/>
        <v>3218</v>
      </c>
      <c r="B1220" s="30" t="s">
        <v>10189</v>
      </c>
      <c r="C1220" s="7" t="str">
        <f t="shared" si="6"/>
        <v>🔊</v>
      </c>
      <c r="D1220" s="8" t="s">
        <v>10190</v>
      </c>
      <c r="E1220" s="14"/>
      <c r="F1220" s="12" t="str">
        <f>IFERROR(__xludf.DUMMYFUNCTION("GOOGLETRANSLATE(B1220,""zh_cn"",""vi"")"),"đầy màu sắc")</f>
        <v>đầy màu sắc</v>
      </c>
      <c r="G1220" s="20" t="s">
        <v>10191</v>
      </c>
      <c r="H1220" s="6"/>
      <c r="I1220" s="11" t="b">
        <f t="shared" si="2"/>
        <v>0</v>
      </c>
      <c r="J1220" s="24"/>
      <c r="K1220" s="11" t="b">
        <f t="shared" si="3"/>
        <v>0</v>
      </c>
    </row>
    <row r="1221" ht="22.5" customHeight="1">
      <c r="A1221" s="12">
        <f t="shared" si="4"/>
        <v>3219</v>
      </c>
      <c r="B1221" s="30" t="s">
        <v>10192</v>
      </c>
      <c r="C1221" s="7" t="str">
        <f t="shared" si="6"/>
        <v>🔊</v>
      </c>
      <c r="D1221" s="8" t="s">
        <v>10193</v>
      </c>
      <c r="E1221" s="6" t="s">
        <v>27</v>
      </c>
      <c r="F1221" s="12" t="str">
        <f>IFERROR(__xludf.DUMMYFUNCTION("GOOGLETRANSLATE(B1221,""zh_cn"",""vi"")"),"Tài sản")</f>
        <v>Tài sản</v>
      </c>
      <c r="G1221" s="20" t="s">
        <v>10194</v>
      </c>
      <c r="H1221" s="6"/>
      <c r="I1221" s="11" t="b">
        <f t="shared" si="2"/>
        <v>0</v>
      </c>
      <c r="J1221" s="24"/>
      <c r="K1221" s="11" t="b">
        <f t="shared" si="3"/>
        <v>0</v>
      </c>
    </row>
    <row r="1222" ht="22.5" customHeight="1">
      <c r="A1222" s="12">
        <f t="shared" si="4"/>
        <v>3220</v>
      </c>
      <c r="B1222" s="30" t="s">
        <v>10195</v>
      </c>
      <c r="C1222" s="7" t="str">
        <f t="shared" si="6"/>
        <v>🔊</v>
      </c>
      <c r="D1222" s="8" t="s">
        <v>10196</v>
      </c>
      <c r="E1222" s="6" t="s">
        <v>27</v>
      </c>
      <c r="F1222" s="12" t="str">
        <f>IFERROR(__xludf.DUMMYFUNCTION("GOOGLETRANSLATE(B1222,""zh_cn"",""vi"")"),"chất")</f>
        <v>chất</v>
      </c>
      <c r="G1222" s="20" t="s">
        <v>10197</v>
      </c>
      <c r="H1222" s="6"/>
      <c r="I1222" s="11" t="b">
        <f t="shared" si="2"/>
        <v>0</v>
      </c>
      <c r="J1222" s="24"/>
      <c r="K1222" s="11" t="b">
        <f t="shared" si="3"/>
        <v>0</v>
      </c>
    </row>
    <row r="1223" ht="22.5" customHeight="1">
      <c r="A1223" s="12">
        <f t="shared" si="4"/>
        <v>3221</v>
      </c>
      <c r="B1223" s="30" t="s">
        <v>10198</v>
      </c>
      <c r="C1223" s="7" t="str">
        <f t="shared" si="6"/>
        <v>🔊</v>
      </c>
      <c r="D1223" s="8" t="s">
        <v>5923</v>
      </c>
      <c r="E1223" s="6" t="s">
        <v>27</v>
      </c>
      <c r="F1223" s="12" t="str">
        <f>IFERROR(__xludf.DUMMYFUNCTION("GOOGLETRANSLATE(B1223,""zh_cn"",""vi"")"),"chơi")</f>
        <v>chơi</v>
      </c>
      <c r="G1223" s="20" t="s">
        <v>10199</v>
      </c>
      <c r="H1223" s="6"/>
      <c r="I1223" s="11" t="b">
        <f t="shared" si="2"/>
        <v>0</v>
      </c>
      <c r="J1223" s="24"/>
      <c r="K1223" s="11" t="b">
        <f t="shared" si="3"/>
        <v>0</v>
      </c>
    </row>
    <row r="1224" ht="22.5" customHeight="1">
      <c r="A1224" s="12">
        <f t="shared" si="4"/>
        <v>3222</v>
      </c>
      <c r="B1224" s="30" t="s">
        <v>8165</v>
      </c>
      <c r="C1224" s="7" t="str">
        <f t="shared" si="6"/>
        <v>🔊</v>
      </c>
      <c r="D1224" s="8" t="s">
        <v>5923</v>
      </c>
      <c r="E1224" s="6" t="s">
        <v>27</v>
      </c>
      <c r="F1224" s="12" t="str">
        <f>IFERROR(__xludf.DUMMYFUNCTION("GOOGLETRANSLATE(B1224,""zh_cn"",""vi"")"),"Cà vạt")</f>
        <v>Cà vạt</v>
      </c>
      <c r="G1224" s="20" t="s">
        <v>10200</v>
      </c>
      <c r="H1224" s="6"/>
      <c r="I1224" s="11" t="b">
        <f t="shared" si="2"/>
        <v>0</v>
      </c>
      <c r="J1224" s="24"/>
      <c r="K1224" s="11" t="b">
        <f t="shared" si="3"/>
        <v>0</v>
      </c>
    </row>
    <row r="1225" ht="22.5" customHeight="1">
      <c r="A1225" s="12">
        <f t="shared" si="4"/>
        <v>3223</v>
      </c>
      <c r="B1225" s="30" t="s">
        <v>10201</v>
      </c>
      <c r="C1225" s="7" t="str">
        <f t="shared" si="6"/>
        <v>🔊</v>
      </c>
      <c r="D1225" s="8" t="s">
        <v>5933</v>
      </c>
      <c r="E1225" s="6" t="s">
        <v>99</v>
      </c>
      <c r="F1225" s="12" t="str">
        <f>IFERROR(__xludf.DUMMYFUNCTION("GOOGLETRANSLATE(B1225,""zh_cn"",""vi"")"),"nhàn rỗi")</f>
        <v>nhàn rỗi</v>
      </c>
      <c r="G1225" s="20" t="s">
        <v>10202</v>
      </c>
      <c r="H1225" s="6"/>
      <c r="I1225" s="11" t="b">
        <f t="shared" si="2"/>
        <v>0</v>
      </c>
      <c r="J1225" s="24"/>
      <c r="K1225" s="11" t="b">
        <f t="shared" si="3"/>
        <v>0</v>
      </c>
    </row>
    <row r="1226" ht="22.5" customHeight="1">
      <c r="A1226" s="12">
        <f t="shared" si="4"/>
        <v>3224</v>
      </c>
      <c r="B1226" s="30" t="s">
        <v>10203</v>
      </c>
      <c r="C1226" s="7" t="str">
        <f t="shared" si="6"/>
        <v>🔊</v>
      </c>
      <c r="D1226" s="8" t="s">
        <v>10204</v>
      </c>
      <c r="E1226" s="6" t="s">
        <v>27</v>
      </c>
      <c r="F1226" s="12" t="str">
        <f>IFERROR(__xludf.DUMMYFUNCTION("GOOGLETRANSLATE(B1226,""zh_cn"",""vi"")"),"quận")</f>
        <v>quận</v>
      </c>
      <c r="G1226" s="20" t="s">
        <v>10205</v>
      </c>
      <c r="H1226" s="6"/>
      <c r="I1226" s="11" t="b">
        <f t="shared" si="2"/>
        <v>0</v>
      </c>
      <c r="J1226" s="24"/>
      <c r="K1226" s="11" t="b">
        <f t="shared" si="3"/>
        <v>0</v>
      </c>
    </row>
    <row r="1227" ht="22.5" customHeight="1">
      <c r="A1227" s="12">
        <f t="shared" si="4"/>
        <v>3225</v>
      </c>
      <c r="B1227" s="30" t="s">
        <v>10206</v>
      </c>
      <c r="C1227" s="7" t="str">
        <f t="shared" si="6"/>
        <v>🔊</v>
      </c>
      <c r="D1227" s="8" t="s">
        <v>10207</v>
      </c>
      <c r="E1227" s="6" t="s">
        <v>27</v>
      </c>
      <c r="F1227" s="12" t="str">
        <f>IFERROR(__xludf.DUMMYFUNCTION("GOOGLETRANSLATE(B1227,""zh_cn"",""vi"")"),"tại chỗ")</f>
        <v>tại chỗ</v>
      </c>
      <c r="G1227" s="20" t="s">
        <v>10208</v>
      </c>
      <c r="H1227" s="6"/>
      <c r="I1227" s="11" t="b">
        <f t="shared" si="2"/>
        <v>0</v>
      </c>
      <c r="J1227" s="24"/>
      <c r="K1227" s="11" t="b">
        <f t="shared" si="3"/>
        <v>0</v>
      </c>
    </row>
    <row r="1228" ht="22.5" customHeight="1">
      <c r="A1228" s="12">
        <f t="shared" si="4"/>
        <v>3226</v>
      </c>
      <c r="B1228" s="30" t="s">
        <v>10209</v>
      </c>
      <c r="C1228" s="7" t="str">
        <f t="shared" si="6"/>
        <v>🔊</v>
      </c>
      <c r="D1228" s="8" t="s">
        <v>10210</v>
      </c>
      <c r="E1228" s="6" t="s">
        <v>3430</v>
      </c>
      <c r="F1228" s="12" t="str">
        <f>IFERROR(__xludf.DUMMYFUNCTION("GOOGLETRANSLATE(B1228,""zh_cn"",""vi"")"),"hiện đại")</f>
        <v>hiện đại</v>
      </c>
      <c r="G1228" s="20" t="s">
        <v>10211</v>
      </c>
      <c r="H1228" s="6"/>
      <c r="I1228" s="11" t="b">
        <f t="shared" si="2"/>
        <v>0</v>
      </c>
      <c r="J1228" s="24"/>
      <c r="K1228" s="11" t="b">
        <f t="shared" si="3"/>
        <v>0</v>
      </c>
    </row>
    <row r="1229" ht="22.5" customHeight="1">
      <c r="A1229" s="12">
        <f t="shared" si="4"/>
        <v>3227</v>
      </c>
      <c r="B1229" s="30" t="s">
        <v>10212</v>
      </c>
      <c r="C1229" s="7" t="str">
        <f t="shared" si="6"/>
        <v>🔊</v>
      </c>
      <c r="D1229" s="8" t="s">
        <v>10213</v>
      </c>
      <c r="E1229" s="6" t="s">
        <v>13</v>
      </c>
      <c r="F1229" s="12" t="str">
        <f>IFERROR(__xludf.DUMMYFUNCTION("GOOGLETRANSLATE(B1229,""zh_cn"",""vi"")"),"hiện đại hóa")</f>
        <v>hiện đại hóa</v>
      </c>
      <c r="G1229" s="20" t="s">
        <v>10214</v>
      </c>
      <c r="H1229" s="6"/>
      <c r="I1229" s="11" t="b">
        <f t="shared" si="2"/>
        <v>0</v>
      </c>
      <c r="J1229" s="24"/>
      <c r="K1229" s="11" t="b">
        <f t="shared" si="3"/>
        <v>0</v>
      </c>
    </row>
    <row r="1230" ht="22.5" customHeight="1">
      <c r="A1230" s="12">
        <f t="shared" si="4"/>
        <v>3228</v>
      </c>
      <c r="B1230" s="30" t="s">
        <v>10215</v>
      </c>
      <c r="C1230" s="7" t="str">
        <f t="shared" si="6"/>
        <v>🔊</v>
      </c>
      <c r="D1230" s="8" t="s">
        <v>10216</v>
      </c>
      <c r="E1230" s="6" t="s">
        <v>13</v>
      </c>
      <c r="F1230" s="12" t="str">
        <f>IFERROR(__xludf.DUMMYFUNCTION("GOOGLETRANSLATE(B1230,""zh_cn"",""vi"")"),"Có vẻ như vậy")</f>
        <v>Có vẻ như vậy</v>
      </c>
      <c r="G1230" s="20" t="s">
        <v>10217</v>
      </c>
      <c r="H1230" s="6"/>
      <c r="I1230" s="11" t="b">
        <f t="shared" si="2"/>
        <v>0</v>
      </c>
      <c r="J1230" s="24"/>
      <c r="K1230" s="11" t="b">
        <f t="shared" si="3"/>
        <v>0</v>
      </c>
    </row>
    <row r="1231" ht="22.5" customHeight="1">
      <c r="A1231" s="12">
        <f t="shared" si="4"/>
        <v>3229</v>
      </c>
      <c r="B1231" s="30" t="s">
        <v>10218</v>
      </c>
      <c r="C1231" s="7" t="str">
        <f t="shared" si="6"/>
        <v>🔊</v>
      </c>
      <c r="D1231" s="8" t="s">
        <v>5943</v>
      </c>
      <c r="E1231" s="6" t="s">
        <v>27</v>
      </c>
      <c r="F1231" s="12" t="str">
        <f>IFERROR(__xludf.DUMMYFUNCTION("GOOGLETRANSLATE(B1231,""zh_cn"",""vi"")"),"Thị trấn")</f>
        <v>Thị trấn</v>
      </c>
      <c r="G1231" s="20" t="s">
        <v>10219</v>
      </c>
      <c r="H1231" s="6"/>
      <c r="I1231" s="11" t="b">
        <f t="shared" si="2"/>
        <v>0</v>
      </c>
      <c r="J1231" s="24"/>
      <c r="K1231" s="11" t="b">
        <f t="shared" si="3"/>
        <v>0</v>
      </c>
    </row>
    <row r="1232" ht="22.5" customHeight="1">
      <c r="A1232" s="12">
        <f t="shared" si="4"/>
        <v>3230</v>
      </c>
      <c r="B1232" s="30" t="s">
        <v>10220</v>
      </c>
      <c r="C1232" s="7" t="str">
        <f t="shared" si="6"/>
        <v>🔊</v>
      </c>
      <c r="D1232" s="8" t="s">
        <v>10221</v>
      </c>
      <c r="E1232" s="6" t="s">
        <v>27</v>
      </c>
      <c r="F1232" s="12" t="str">
        <f>IFERROR(__xludf.DUMMYFUNCTION("GOOGLETRANSLATE(B1232,""zh_cn"",""vi"")"),"Album ảnh")</f>
        <v>Album ảnh</v>
      </c>
      <c r="G1232" s="20" t="s">
        <v>10222</v>
      </c>
      <c r="H1232" s="6"/>
      <c r="I1232" s="11" t="b">
        <f t="shared" si="2"/>
        <v>0</v>
      </c>
      <c r="J1232" s="24"/>
      <c r="K1232" s="11" t="b">
        <f t="shared" si="3"/>
        <v>0</v>
      </c>
    </row>
    <row r="1233" ht="22.5" customHeight="1">
      <c r="A1233" s="12">
        <f t="shared" si="4"/>
        <v>3231</v>
      </c>
      <c r="B1233" s="30" t="s">
        <v>10223</v>
      </c>
      <c r="C1233" s="7" t="str">
        <f t="shared" si="6"/>
        <v>🔊</v>
      </c>
      <c r="D1233" s="8" t="s">
        <v>10224</v>
      </c>
      <c r="E1233" s="6" t="s">
        <v>13</v>
      </c>
      <c r="F1233" s="12" t="str">
        <f>IFERROR(__xludf.DUMMYFUNCTION("GOOGLETRANSLATE(B1233,""zh_cn"",""vi"")"),"hòa thuận")</f>
        <v>hòa thuận</v>
      </c>
      <c r="G1233" s="20" t="s">
        <v>10225</v>
      </c>
      <c r="H1233" s="6"/>
      <c r="I1233" s="11" t="b">
        <f t="shared" si="2"/>
        <v>0</v>
      </c>
      <c r="J1233" s="24"/>
      <c r="K1233" s="11" t="b">
        <f t="shared" si="3"/>
        <v>0</v>
      </c>
    </row>
    <row r="1234" ht="22.5" customHeight="1">
      <c r="A1234" s="12">
        <f t="shared" si="4"/>
        <v>3232</v>
      </c>
      <c r="B1234" s="30" t="s">
        <v>10226</v>
      </c>
      <c r="C1234" s="7" t="str">
        <f t="shared" si="6"/>
        <v>🔊</v>
      </c>
      <c r="D1234" s="8" t="s">
        <v>10227</v>
      </c>
      <c r="E1234" s="6" t="s">
        <v>27</v>
      </c>
      <c r="F1234" s="12" t="str">
        <f>IFERROR(__xludf.DUMMYFUNCTION("GOOGLETRANSLATE(B1234,""zh_cn"",""vi"")"),"nông thôn")</f>
        <v>nông thôn</v>
      </c>
      <c r="G1234" s="20" t="s">
        <v>10228</v>
      </c>
      <c r="H1234" s="6"/>
      <c r="I1234" s="11" t="b">
        <f t="shared" si="2"/>
        <v>0</v>
      </c>
      <c r="J1234" s="24"/>
      <c r="K1234" s="11" t="b">
        <f t="shared" si="3"/>
        <v>0</v>
      </c>
    </row>
    <row r="1235" ht="22.5" customHeight="1">
      <c r="A1235" s="12">
        <f t="shared" si="4"/>
        <v>3233</v>
      </c>
      <c r="B1235" s="30" t="s">
        <v>10229</v>
      </c>
      <c r="C1235" s="7" t="str">
        <f t="shared" si="6"/>
        <v>🔊</v>
      </c>
      <c r="D1235" s="8" t="s">
        <v>10230</v>
      </c>
      <c r="E1235" s="6" t="s">
        <v>433</v>
      </c>
      <c r="F1235" s="12" t="str">
        <f>IFERROR(__xludf.DUMMYFUNCTION("GOOGLETRANSLATE(B1235,""zh_cn"",""vi"")"),"khá")</f>
        <v>khá</v>
      </c>
      <c r="G1235" s="20" t="s">
        <v>10231</v>
      </c>
      <c r="H1235" s="6"/>
      <c r="I1235" s="11" t="b">
        <f t="shared" si="2"/>
        <v>0</v>
      </c>
      <c r="J1235" s="24"/>
      <c r="K1235" s="11" t="b">
        <f t="shared" si="3"/>
        <v>0</v>
      </c>
    </row>
    <row r="1236" ht="22.5" customHeight="1">
      <c r="A1236" s="12">
        <f t="shared" si="4"/>
        <v>3234</v>
      </c>
      <c r="B1236" s="30" t="s">
        <v>10232</v>
      </c>
      <c r="C1236" s="7" t="str">
        <f t="shared" si="6"/>
        <v>🔊</v>
      </c>
      <c r="D1236" s="8" t="s">
        <v>10233</v>
      </c>
      <c r="E1236" s="6" t="s">
        <v>368</v>
      </c>
      <c r="F1236" s="12" t="str">
        <f>IFERROR(__xludf.DUMMYFUNCTION("GOOGLETRANSLATE(B1236,""zh_cn"",""vi"")"),"tương đối")</f>
        <v>tương đối</v>
      </c>
      <c r="G1236" s="20" t="s">
        <v>10234</v>
      </c>
      <c r="H1236" s="6"/>
      <c r="I1236" s="11" t="b">
        <f t="shared" si="2"/>
        <v>0</v>
      </c>
      <c r="J1236" s="24"/>
      <c r="K1236" s="11" t="b">
        <f t="shared" si="3"/>
        <v>0</v>
      </c>
    </row>
    <row r="1237" ht="22.5" customHeight="1">
      <c r="A1237" s="12">
        <f t="shared" si="4"/>
        <v>3235</v>
      </c>
      <c r="B1237" s="30" t="s">
        <v>10235</v>
      </c>
      <c r="C1237" s="7" t="str">
        <f t="shared" si="6"/>
        <v>🔊</v>
      </c>
      <c r="D1237" s="8" t="s">
        <v>10236</v>
      </c>
      <c r="E1237" s="6" t="s">
        <v>13</v>
      </c>
      <c r="F1237" s="12" t="str">
        <f>IFERROR(__xludf.DUMMYFUNCTION("GOOGLETRANSLATE(B1237,""zh_cn"",""vi"")"),"Có liên quan")</f>
        <v>Có liên quan</v>
      </c>
      <c r="G1237" s="20" t="s">
        <v>10237</v>
      </c>
      <c r="H1237" s="6"/>
      <c r="I1237" s="11" t="b">
        <f t="shared" si="2"/>
        <v>0</v>
      </c>
      <c r="J1237" s="24"/>
      <c r="K1237" s="11" t="b">
        <f t="shared" si="3"/>
        <v>0</v>
      </c>
    </row>
    <row r="1238" ht="22.5" customHeight="1">
      <c r="A1238" s="12">
        <f t="shared" si="4"/>
        <v>3236</v>
      </c>
      <c r="B1238" s="30" t="s">
        <v>10238</v>
      </c>
      <c r="C1238" s="7" t="str">
        <f t="shared" si="6"/>
        <v>🔊</v>
      </c>
      <c r="D1238" s="8" t="s">
        <v>10239</v>
      </c>
      <c r="E1238" s="6" t="s">
        <v>27</v>
      </c>
      <c r="F1238" s="12" t="str">
        <f>IFERROR(__xludf.DUMMYFUNCTION("GOOGLETRANSLATE(B1238,""zh_cn"",""vi"")"),"dự án")</f>
        <v>dự án</v>
      </c>
      <c r="G1238" s="20" t="s">
        <v>10240</v>
      </c>
      <c r="H1238" s="6"/>
      <c r="I1238" s="11" t="b">
        <f t="shared" si="2"/>
        <v>0</v>
      </c>
      <c r="J1238" s="24"/>
      <c r="K1238" s="11" t="b">
        <f t="shared" si="3"/>
        <v>0</v>
      </c>
    </row>
    <row r="1239" ht="22.5" customHeight="1">
      <c r="A1239" s="12">
        <f t="shared" si="4"/>
        <v>3237</v>
      </c>
      <c r="B1239" s="30" t="s">
        <v>10241</v>
      </c>
      <c r="C1239" s="7" t="str">
        <f t="shared" si="6"/>
        <v>🔊</v>
      </c>
      <c r="D1239" s="8" t="s">
        <v>10242</v>
      </c>
      <c r="E1239" s="6" t="s">
        <v>13</v>
      </c>
      <c r="F1239" s="12" t="str">
        <f>IFERROR(__xludf.DUMMYFUNCTION("GOOGLETRANSLATE(B1239,""zh_cn"",""vi"")"),"cô")</f>
        <v>cô</v>
      </c>
      <c r="G1239" s="20" t="s">
        <v>10243</v>
      </c>
      <c r="H1239" s="6"/>
      <c r="I1239" s="11" t="b">
        <f t="shared" si="2"/>
        <v>0</v>
      </c>
      <c r="J1239" s="24"/>
      <c r="K1239" s="11" t="b">
        <f t="shared" si="3"/>
        <v>0</v>
      </c>
    </row>
    <row r="1240" ht="22.5" customHeight="1">
      <c r="A1240" s="12">
        <f t="shared" si="4"/>
        <v>3238</v>
      </c>
      <c r="B1240" s="30" t="s">
        <v>10244</v>
      </c>
      <c r="C1240" s="7" t="str">
        <f t="shared" si="6"/>
        <v>🔊</v>
      </c>
      <c r="D1240" s="8" t="s">
        <v>10245</v>
      </c>
      <c r="E1240" s="6" t="s">
        <v>27</v>
      </c>
      <c r="F1240" s="12" t="str">
        <f>IFERROR(__xludf.DUMMYFUNCTION("GOOGLETRANSLATE(B1240,""zh_cn"",""vi"")"),"cục tẩy")</f>
        <v>cục tẩy</v>
      </c>
      <c r="G1240" s="20" t="s">
        <v>10246</v>
      </c>
      <c r="H1240" s="6"/>
      <c r="I1240" s="11" t="b">
        <f t="shared" si="2"/>
        <v>0</v>
      </c>
      <c r="J1240" s="24"/>
      <c r="K1240" s="11" t="b">
        <f t="shared" si="3"/>
        <v>0</v>
      </c>
    </row>
    <row r="1241" ht="22.5" customHeight="1">
      <c r="A1241" s="12">
        <f t="shared" si="4"/>
        <v>3239</v>
      </c>
      <c r="B1241" s="30" t="s">
        <v>10247</v>
      </c>
      <c r="C1241" s="7" t="str">
        <f t="shared" si="6"/>
        <v>🔊</v>
      </c>
      <c r="D1241" s="8" t="s">
        <v>10248</v>
      </c>
      <c r="E1241" s="6" t="s">
        <v>13</v>
      </c>
      <c r="F1241" s="12" t="str">
        <f>IFERROR(__xludf.DUMMYFUNCTION("GOOGLETRANSLATE(B1241,""zh_cn"",""vi"")"),"hướng lên")</f>
        <v>hướng lên</v>
      </c>
      <c r="G1241" s="20" t="s">
        <v>10249</v>
      </c>
      <c r="H1241" s="6"/>
      <c r="I1241" s="11" t="b">
        <f t="shared" si="2"/>
        <v>0</v>
      </c>
      <c r="J1241" s="24"/>
      <c r="K1241" s="11" t="b">
        <f t="shared" si="3"/>
        <v>0</v>
      </c>
    </row>
    <row r="1242" ht="22.5" customHeight="1">
      <c r="A1242" s="12">
        <f t="shared" si="4"/>
        <v>3240</v>
      </c>
      <c r="B1242" s="30" t="s">
        <v>10250</v>
      </c>
      <c r="C1242" s="7" t="str">
        <f t="shared" si="6"/>
        <v>🔊</v>
      </c>
      <c r="D1242" s="8" t="s">
        <v>10251</v>
      </c>
      <c r="E1242" s="6" t="s">
        <v>27</v>
      </c>
      <c r="F1242" s="12" t="str">
        <f>IFERROR(__xludf.DUMMYFUNCTION("GOOGLETRANSLATE(B1242,""zh_cn"",""vi"")"),"âm thanh")</f>
        <v>âm thanh</v>
      </c>
      <c r="G1242" s="20" t="s">
        <v>10252</v>
      </c>
      <c r="H1242" s="6"/>
      <c r="I1242" s="11" t="b">
        <f t="shared" si="2"/>
        <v>0</v>
      </c>
      <c r="J1242" s="24"/>
      <c r="K1242" s="11" t="b">
        <f t="shared" si="3"/>
        <v>0</v>
      </c>
    </row>
    <row r="1243" ht="22.5" customHeight="1">
      <c r="A1243" s="12">
        <f t="shared" si="4"/>
        <v>3241</v>
      </c>
      <c r="B1243" s="30" t="s">
        <v>10253</v>
      </c>
      <c r="C1243" s="7" t="str">
        <f t="shared" si="6"/>
        <v>🔊</v>
      </c>
      <c r="D1243" s="8" t="s">
        <v>10254</v>
      </c>
      <c r="E1243" s="6" t="s">
        <v>13</v>
      </c>
      <c r="F1243" s="12" t="str">
        <f>IFERROR(__xludf.DUMMYFUNCTION("GOOGLETRANSLATE(B1243,""zh_cn"",""vi"")"),"thưởng thức")</f>
        <v>thưởng thức</v>
      </c>
      <c r="G1243" s="20" t="s">
        <v>10255</v>
      </c>
      <c r="H1243" s="6"/>
      <c r="I1243" s="11" t="b">
        <f t="shared" si="2"/>
        <v>0</v>
      </c>
      <c r="J1243" s="24"/>
      <c r="K1243" s="11" t="b">
        <f t="shared" si="3"/>
        <v>0</v>
      </c>
    </row>
    <row r="1244" ht="22.5" customHeight="1">
      <c r="A1244" s="12">
        <f t="shared" si="4"/>
        <v>3242</v>
      </c>
      <c r="B1244" s="30" t="s">
        <v>10256</v>
      </c>
      <c r="C1244" s="7" t="str">
        <f t="shared" si="6"/>
        <v>🔊</v>
      </c>
      <c r="D1244" s="8" t="s">
        <v>10257</v>
      </c>
      <c r="E1244" s="6" t="s">
        <v>99</v>
      </c>
      <c r="F1244" s="12" t="str">
        <f>IFERROR(__xludf.DUMMYFUNCTION("GOOGLETRANSLATE(B1244,""zh_cn"",""vi"")"),"sự giống nhau")</f>
        <v>sự giống nhau</v>
      </c>
      <c r="G1244" s="20" t="s">
        <v>10258</v>
      </c>
      <c r="H1244" s="6"/>
      <c r="I1244" s="11" t="b">
        <f t="shared" si="2"/>
        <v>0</v>
      </c>
      <c r="J1244" s="24"/>
      <c r="K1244" s="11" t="b">
        <f t="shared" si="3"/>
        <v>0</v>
      </c>
    </row>
    <row r="1245" ht="22.5" customHeight="1">
      <c r="A1245" s="12">
        <f t="shared" si="4"/>
        <v>3243</v>
      </c>
      <c r="B1245" s="30" t="s">
        <v>10259</v>
      </c>
      <c r="C1245" s="7" t="str">
        <f t="shared" si="6"/>
        <v>🔊</v>
      </c>
      <c r="D1245" s="8" t="s">
        <v>10260</v>
      </c>
      <c r="E1245" s="6" t="s">
        <v>13</v>
      </c>
      <c r="F1245" s="12" t="str">
        <f>IFERROR(__xludf.DUMMYFUNCTION("GOOGLETRANSLATE(B1245,""zh_cn"",""vi"")"),"Tưởng tượng")</f>
        <v>Tưởng tượng</v>
      </c>
      <c r="G1245" s="20" t="s">
        <v>10261</v>
      </c>
      <c r="H1245" s="6"/>
      <c r="I1245" s="11" t="b">
        <f t="shared" si="2"/>
        <v>0</v>
      </c>
      <c r="J1245" s="24"/>
      <c r="K1245" s="11" t="b">
        <f t="shared" si="3"/>
        <v>0</v>
      </c>
    </row>
    <row r="1246" ht="22.5" customHeight="1">
      <c r="A1246" s="12">
        <f t="shared" si="4"/>
        <v>3244</v>
      </c>
      <c r="B1246" s="30" t="s">
        <v>10262</v>
      </c>
      <c r="C1246" s="7" t="str">
        <f t="shared" si="6"/>
        <v>🔊</v>
      </c>
      <c r="D1246" s="8" t="s">
        <v>10263</v>
      </c>
      <c r="E1246" s="6" t="s">
        <v>232</v>
      </c>
      <c r="F1246" s="12" t="str">
        <f>IFERROR(__xludf.DUMMYFUNCTION("GOOGLETRANSLATE(B1246,""zh_cn"",""vi"")"),"Biểu tượng")</f>
        <v>Biểu tượng</v>
      </c>
      <c r="G1246" s="20" t="s">
        <v>10264</v>
      </c>
      <c r="H1246" s="6"/>
      <c r="I1246" s="11" t="b">
        <f t="shared" si="2"/>
        <v>0</v>
      </c>
      <c r="J1246" s="24"/>
      <c r="K1246" s="11" t="b">
        <f t="shared" si="3"/>
        <v>0</v>
      </c>
    </row>
    <row r="1247" ht="22.5" customHeight="1">
      <c r="A1247" s="12">
        <f t="shared" si="4"/>
        <v>3245</v>
      </c>
      <c r="B1247" s="30" t="s">
        <v>10265</v>
      </c>
      <c r="C1247" s="7" t="str">
        <f t="shared" si="6"/>
        <v>🔊</v>
      </c>
      <c r="D1247" s="8" t="s">
        <v>10266</v>
      </c>
      <c r="E1247" s="6" t="s">
        <v>3089</v>
      </c>
      <c r="F1247" s="12" t="str">
        <f>IFERROR(__xludf.DUMMYFUNCTION("GOOGLETRANSLATE(B1247,""zh_cn"",""vi"")"),"Đầu tiên và cuối cùng")</f>
        <v>Đầu tiên và cuối cùng</v>
      </c>
      <c r="G1247" s="20" t="s">
        <v>10267</v>
      </c>
      <c r="H1247" s="6"/>
      <c r="I1247" s="11" t="b">
        <f t="shared" si="2"/>
        <v>0</v>
      </c>
      <c r="J1247" s="24"/>
      <c r="K1247" s="11" t="b">
        <f t="shared" si="3"/>
        <v>0</v>
      </c>
    </row>
    <row r="1248" ht="22.5" customHeight="1">
      <c r="A1248" s="12">
        <f t="shared" si="4"/>
        <v>3246</v>
      </c>
      <c r="B1248" s="30" t="s">
        <v>10268</v>
      </c>
      <c r="C1248" s="7" t="str">
        <f t="shared" si="6"/>
        <v>🔊</v>
      </c>
      <c r="D1248" s="8" t="s">
        <v>10269</v>
      </c>
      <c r="E1248" s="6" t="s">
        <v>1164</v>
      </c>
      <c r="F1248" s="12" t="str">
        <f>IFERROR(__xludf.DUMMYFUNCTION("GOOGLETRANSLATE(B1248,""zh_cn"",""vi"")"),"trình độ cao")</f>
        <v>trình độ cao</v>
      </c>
      <c r="G1248" s="20" t="s">
        <v>10270</v>
      </c>
      <c r="H1248" s="6"/>
      <c r="I1248" s="11" t="b">
        <f t="shared" si="2"/>
        <v>0</v>
      </c>
      <c r="J1248" s="24"/>
      <c r="K1248" s="11" t="b">
        <f t="shared" si="3"/>
        <v>0</v>
      </c>
    </row>
    <row r="1249" ht="22.5" customHeight="1">
      <c r="A1249" s="12">
        <f t="shared" si="4"/>
        <v>3247</v>
      </c>
      <c r="B1249" s="30" t="s">
        <v>10271</v>
      </c>
      <c r="C1249" s="7" t="str">
        <f t="shared" si="6"/>
        <v>🔊</v>
      </c>
      <c r="D1249" s="8" t="s">
        <v>10272</v>
      </c>
      <c r="E1249" s="6" t="s">
        <v>27</v>
      </c>
      <c r="F1249" s="12" t="str">
        <f>IFERROR(__xludf.DUMMYFUNCTION("GOOGLETRANSLATE(B1249,""zh_cn"",""vi"")"),"đường kẻ")</f>
        <v>đường kẻ</v>
      </c>
      <c r="G1249" s="20" t="s">
        <v>10273</v>
      </c>
      <c r="H1249" s="6"/>
      <c r="I1249" s="11" t="b">
        <f t="shared" si="2"/>
        <v>0</v>
      </c>
      <c r="J1249" s="24"/>
      <c r="K1249" s="11" t="b">
        <f t="shared" si="3"/>
        <v>0</v>
      </c>
    </row>
    <row r="1250" ht="22.5" customHeight="1">
      <c r="A1250" s="12">
        <f t="shared" si="4"/>
        <v>3248</v>
      </c>
      <c r="B1250" s="30" t="s">
        <v>10274</v>
      </c>
      <c r="C1250" s="7" t="str">
        <f t="shared" si="6"/>
        <v>🔊</v>
      </c>
      <c r="D1250" s="8" t="s">
        <v>10275</v>
      </c>
      <c r="E1250" s="6" t="s">
        <v>99</v>
      </c>
      <c r="F1250" s="12" t="str">
        <f>IFERROR(__xludf.DUMMYFUNCTION("GOOGLETRANSLATE(B1250,""zh_cn"",""vi"")"),"Rõ ràng")</f>
        <v>Rõ ràng</v>
      </c>
      <c r="G1250" s="20" t="s">
        <v>10276</v>
      </c>
      <c r="H1250" s="6"/>
      <c r="I1250" s="11" t="b">
        <f t="shared" si="2"/>
        <v>0</v>
      </c>
      <c r="J1250" s="24"/>
      <c r="K1250" s="11" t="b">
        <f t="shared" si="3"/>
        <v>0</v>
      </c>
    </row>
    <row r="1251" ht="22.5" customHeight="1">
      <c r="A1251" s="12">
        <f t="shared" si="4"/>
        <v>3249</v>
      </c>
      <c r="B1251" s="30" t="s">
        <v>10277</v>
      </c>
      <c r="C1251" s="7" t="str">
        <f t="shared" si="6"/>
        <v>🔊</v>
      </c>
      <c r="D1251" s="8" t="s">
        <v>10278</v>
      </c>
      <c r="E1251" s="6" t="s">
        <v>3430</v>
      </c>
      <c r="F1251" s="12" t="str">
        <f>IFERROR(__xludf.DUMMYFUNCTION("GOOGLETRANSLATE(B1251,""zh_cn"",""vi"")"),"Thực tế")</f>
        <v>Thực tế</v>
      </c>
      <c r="G1251" s="20" t="s">
        <v>10279</v>
      </c>
      <c r="H1251" s="6"/>
      <c r="I1251" s="11" t="b">
        <f t="shared" si="2"/>
        <v>0</v>
      </c>
      <c r="J1251" s="24"/>
      <c r="K1251" s="11" t="b">
        <f t="shared" si="3"/>
        <v>0</v>
      </c>
    </row>
    <row r="1252" ht="22.5" customHeight="1">
      <c r="A1252" s="12">
        <f t="shared" si="4"/>
        <v>3250</v>
      </c>
      <c r="B1252" s="30" t="s">
        <v>10280</v>
      </c>
      <c r="C1252" s="7" t="str">
        <f t="shared" si="6"/>
        <v>🔊</v>
      </c>
      <c r="D1252" s="8" t="s">
        <v>10281</v>
      </c>
      <c r="E1252" s="6" t="s">
        <v>13</v>
      </c>
      <c r="F1252" s="12" t="str">
        <f>IFERROR(__xludf.DUMMYFUNCTION("GOOGLETRANSLATE(B1252,""zh_cn"",""vi"")"),"trình diễn")</f>
        <v>trình diễn</v>
      </c>
      <c r="G1252" s="20" t="s">
        <v>10282</v>
      </c>
      <c r="H1252" s="6"/>
      <c r="I1252" s="11" t="b">
        <f t="shared" si="2"/>
        <v>0</v>
      </c>
      <c r="J1252" s="24"/>
      <c r="K1252" s="11" t="b">
        <f t="shared" si="3"/>
        <v>0</v>
      </c>
    </row>
    <row r="1253" ht="22.5" customHeight="1">
      <c r="A1253" s="12">
        <f t="shared" si="4"/>
        <v>3251</v>
      </c>
      <c r="B1253" s="30" t="s">
        <v>10283</v>
      </c>
      <c r="C1253" s="7" t="str">
        <f t="shared" si="6"/>
        <v>🔊</v>
      </c>
      <c r="D1253" s="8" t="s">
        <v>10284</v>
      </c>
      <c r="E1253" s="6" t="s">
        <v>27</v>
      </c>
      <c r="F1253" s="12" t="str">
        <f>IFERROR(__xludf.DUMMYFUNCTION("GOOGLETRANSLATE(B1253,""zh_cn"",""vi"")"),"Hiện tượng")</f>
        <v>Hiện tượng</v>
      </c>
      <c r="G1253" s="20" t="s">
        <v>10285</v>
      </c>
      <c r="H1253" s="6"/>
      <c r="I1253" s="11" t="b">
        <f t="shared" si="2"/>
        <v>0</v>
      </c>
      <c r="J1253" s="24"/>
      <c r="K1253" s="11" t="b">
        <f t="shared" si="3"/>
        <v>0</v>
      </c>
    </row>
    <row r="1254" ht="22.5" customHeight="1">
      <c r="A1254" s="12">
        <f t="shared" si="4"/>
        <v>3252</v>
      </c>
      <c r="B1254" s="30" t="s">
        <v>10286</v>
      </c>
      <c r="C1254" s="7" t="str">
        <f t="shared" si="6"/>
        <v>🔊</v>
      </c>
      <c r="D1254" s="8" t="s">
        <v>10287</v>
      </c>
      <c r="E1254" s="6" t="s">
        <v>232</v>
      </c>
      <c r="F1254" s="12" t="str">
        <f>IFERROR(__xludf.DUMMYFUNCTION("GOOGLETRANSLATE(B1254,""zh_cn"",""vi"")"),"giới hạn")</f>
        <v>giới hạn</v>
      </c>
      <c r="G1254" s="20" t="s">
        <v>10288</v>
      </c>
      <c r="H1254" s="6"/>
      <c r="I1254" s="11" t="b">
        <f t="shared" si="2"/>
        <v>0</v>
      </c>
      <c r="J1254" s="24"/>
      <c r="K1254" s="11" t="b">
        <f t="shared" si="3"/>
        <v>0</v>
      </c>
    </row>
    <row r="1255" ht="22.5" customHeight="1">
      <c r="A1255" s="12">
        <f t="shared" si="4"/>
        <v>3253</v>
      </c>
      <c r="B1255" s="30" t="s">
        <v>10289</v>
      </c>
      <c r="C1255" s="7" t="str">
        <f t="shared" si="6"/>
        <v>🔊</v>
      </c>
      <c r="D1255" s="8" t="s">
        <v>10290</v>
      </c>
      <c r="E1255" s="6" t="s">
        <v>27</v>
      </c>
      <c r="F1255" s="12" t="str">
        <f>IFERROR(__xludf.DUMMYFUNCTION("GOOGLETRANSLATE(B1255,""zh_cn"",""vi"")"),"hiện trạng")</f>
        <v>hiện trạng</v>
      </c>
      <c r="G1255" s="20" t="s">
        <v>10291</v>
      </c>
      <c r="H1255" s="6"/>
      <c r="I1255" s="11" t="b">
        <f t="shared" si="2"/>
        <v>0</v>
      </c>
      <c r="J1255" s="24"/>
      <c r="K1255" s="11" t="b">
        <f t="shared" si="3"/>
        <v>0</v>
      </c>
    </row>
    <row r="1256" ht="22.5" customHeight="1">
      <c r="A1256" s="12">
        <f t="shared" si="4"/>
        <v>3254</v>
      </c>
      <c r="B1256" s="30" t="s">
        <v>10292</v>
      </c>
      <c r="C1256" s="7" t="str">
        <f t="shared" si="6"/>
        <v>🔊</v>
      </c>
      <c r="D1256" s="8" t="s">
        <v>10293</v>
      </c>
      <c r="E1256" s="6" t="s">
        <v>13</v>
      </c>
      <c r="F1256" s="12" t="str">
        <f>IFERROR(__xludf.DUMMYFUNCTION("GOOGLETRANSLATE(B1256,""zh_cn"",""vi"")"),"Sự tiêu thụ")</f>
        <v>Sự tiêu thụ</v>
      </c>
      <c r="G1256" s="20" t="s">
        <v>10294</v>
      </c>
      <c r="H1256" s="6"/>
      <c r="I1256" s="11" t="b">
        <f t="shared" si="2"/>
        <v>0</v>
      </c>
      <c r="J1256" s="24"/>
      <c r="K1256" s="11" t="b">
        <f t="shared" si="3"/>
        <v>0</v>
      </c>
    </row>
    <row r="1257" ht="22.5" customHeight="1">
      <c r="A1257" s="12">
        <f t="shared" si="4"/>
        <v>3255</v>
      </c>
      <c r="B1257" s="30" t="s">
        <v>10295</v>
      </c>
      <c r="C1257" s="7" t="str">
        <f t="shared" si="6"/>
        <v>🔊</v>
      </c>
      <c r="D1257" s="8" t="s">
        <v>10296</v>
      </c>
      <c r="E1257" s="6" t="s">
        <v>27</v>
      </c>
      <c r="F1257" s="12" t="str">
        <f>IFERROR(__xludf.DUMMYFUNCTION("GOOGLETRANSLATE(B1257,""zh_cn"",""vi"")"),"người tiêu dùng")</f>
        <v>người tiêu dùng</v>
      </c>
      <c r="G1257" s="20" t="s">
        <v>10297</v>
      </c>
      <c r="H1257" s="6"/>
      <c r="I1257" s="11" t="b">
        <f t="shared" si="2"/>
        <v>0</v>
      </c>
      <c r="J1257" s="24"/>
      <c r="K1257" s="11" t="b">
        <f t="shared" si="3"/>
        <v>0</v>
      </c>
    </row>
    <row r="1258" ht="22.5" customHeight="1">
      <c r="A1258" s="12">
        <f t="shared" si="4"/>
        <v>3256</v>
      </c>
      <c r="B1258" s="30" t="s">
        <v>10298</v>
      </c>
      <c r="C1258" s="7" t="str">
        <f t="shared" si="6"/>
        <v>🔊</v>
      </c>
      <c r="D1258" s="8" t="s">
        <v>10299</v>
      </c>
      <c r="E1258" s="6" t="s">
        <v>13</v>
      </c>
      <c r="F1258" s="12" t="str">
        <f>IFERROR(__xludf.DUMMYFUNCTION("GOOGLETRANSLATE(B1258,""zh_cn"",""vi"")"),"Tiêu hóa")</f>
        <v>Tiêu hóa</v>
      </c>
      <c r="G1258" s="20" t="s">
        <v>10300</v>
      </c>
      <c r="H1258" s="6"/>
      <c r="I1258" s="11" t="b">
        <f t="shared" si="2"/>
        <v>0</v>
      </c>
      <c r="J1258" s="24"/>
      <c r="K1258" s="11" t="b">
        <f t="shared" si="3"/>
        <v>0</v>
      </c>
    </row>
    <row r="1259" ht="22.5" customHeight="1">
      <c r="A1259" s="12">
        <f t="shared" si="4"/>
        <v>3257</v>
      </c>
      <c r="B1259" s="30" t="s">
        <v>10301</v>
      </c>
      <c r="C1259" s="7" t="str">
        <f t="shared" si="6"/>
        <v>🔊</v>
      </c>
      <c r="D1259" s="8" t="s">
        <v>10302</v>
      </c>
      <c r="E1259" s="6" t="s">
        <v>99</v>
      </c>
      <c r="F1259" s="12" t="str">
        <f>IFERROR(__xludf.DUMMYFUNCTION("GOOGLETRANSLATE(B1259,""zh_cn"",""vi"")"),"tiêu cực")</f>
        <v>tiêu cực</v>
      </c>
      <c r="G1259" s="20" t="s">
        <v>10303</v>
      </c>
      <c r="H1259" s="6"/>
      <c r="I1259" s="11" t="b">
        <f t="shared" si="2"/>
        <v>0</v>
      </c>
      <c r="J1259" s="24"/>
      <c r="K1259" s="11" t="b">
        <f t="shared" si="3"/>
        <v>0</v>
      </c>
    </row>
    <row r="1260" ht="22.5" customHeight="1">
      <c r="A1260" s="12">
        <f t="shared" si="4"/>
        <v>3258</v>
      </c>
      <c r="B1260" s="30" t="s">
        <v>10304</v>
      </c>
      <c r="C1260" s="7" t="str">
        <f t="shared" si="6"/>
        <v>🔊</v>
      </c>
      <c r="D1260" s="8" t="s">
        <v>10305</v>
      </c>
      <c r="E1260" s="6" t="s">
        <v>27</v>
      </c>
      <c r="F1260" s="12" t="str">
        <f>IFERROR(__xludf.DUMMYFUNCTION("GOOGLETRANSLATE(B1260,""zh_cn"",""vi"")"),"Cô")</f>
        <v>Cô</v>
      </c>
      <c r="G1260" s="20" t="s">
        <v>10306</v>
      </c>
      <c r="H1260" s="6"/>
      <c r="I1260" s="11" t="b">
        <f t="shared" si="2"/>
        <v>0</v>
      </c>
      <c r="J1260" s="24"/>
      <c r="K1260" s="11" t="b">
        <f t="shared" si="3"/>
        <v>0</v>
      </c>
    </row>
    <row r="1261" ht="22.5" customHeight="1">
      <c r="A1261" s="12">
        <f t="shared" si="4"/>
        <v>3259</v>
      </c>
      <c r="B1261" s="30" t="s">
        <v>10307</v>
      </c>
      <c r="C1261" s="7" t="str">
        <f t="shared" si="6"/>
        <v>🔊</v>
      </c>
      <c r="D1261" s="8" t="s">
        <v>10308</v>
      </c>
      <c r="E1261" s="6" t="s">
        <v>27</v>
      </c>
      <c r="F1261" s="12" t="str">
        <f>IFERROR(__xludf.DUMMYFUNCTION("GOOGLETRANSLATE(B1261,""zh_cn"",""vi"")"),"Việc bán hàng")</f>
        <v>Việc bán hàng</v>
      </c>
      <c r="G1261" s="20" t="s">
        <v>10309</v>
      </c>
      <c r="H1261" s="6"/>
      <c r="I1261" s="11" t="b">
        <f t="shared" si="2"/>
        <v>0</v>
      </c>
      <c r="J1261" s="24"/>
      <c r="K1261" s="11" t="b">
        <f t="shared" si="3"/>
        <v>0</v>
      </c>
    </row>
    <row r="1262" ht="22.5" customHeight="1">
      <c r="A1262" s="12">
        <f t="shared" si="4"/>
        <v>3260</v>
      </c>
      <c r="B1262" s="30" t="s">
        <v>10310</v>
      </c>
      <c r="C1262" s="7" t="str">
        <f t="shared" si="6"/>
        <v>🔊</v>
      </c>
      <c r="D1262" s="8" t="s">
        <v>10311</v>
      </c>
      <c r="E1262" s="6" t="s">
        <v>27</v>
      </c>
      <c r="F1262" s="12" t="str">
        <f>IFERROR(__xludf.DUMMYFUNCTION("GOOGLETRANSLATE(B1262,""zh_cn"",""vi"")"),"hiệu quả")</f>
        <v>hiệu quả</v>
      </c>
      <c r="G1262" s="20" t="s">
        <v>10312</v>
      </c>
      <c r="H1262" s="6"/>
      <c r="I1262" s="11" t="b">
        <f t="shared" si="2"/>
        <v>0</v>
      </c>
      <c r="J1262" s="24"/>
      <c r="K1262" s="11" t="b">
        <f t="shared" si="3"/>
        <v>0</v>
      </c>
    </row>
    <row r="1263" ht="22.5" customHeight="1">
      <c r="A1263" s="12">
        <f t="shared" si="4"/>
        <v>3261</v>
      </c>
      <c r="B1263" s="30" t="s">
        <v>10313</v>
      </c>
      <c r="C1263" s="7" t="str">
        <f t="shared" si="6"/>
        <v>🔊</v>
      </c>
      <c r="D1263" s="8" t="s">
        <v>10314</v>
      </c>
      <c r="E1263" s="6" t="s">
        <v>13</v>
      </c>
      <c r="F1263" s="12" t="str">
        <f>IFERROR(__xludf.DUMMYFUNCTION("GOOGLETRANSLATE(B1263,""zh_cn"",""vi"")"),"biến mất")</f>
        <v>biến mất</v>
      </c>
      <c r="G1263" s="20" t="s">
        <v>10315</v>
      </c>
      <c r="H1263" s="6"/>
      <c r="I1263" s="11" t="b">
        <f t="shared" si="2"/>
        <v>0</v>
      </c>
      <c r="J1263" s="24"/>
      <c r="K1263" s="11" t="b">
        <f t="shared" si="3"/>
        <v>0</v>
      </c>
    </row>
    <row r="1264" ht="22.5" customHeight="1">
      <c r="A1264" s="12">
        <f t="shared" si="4"/>
        <v>3262</v>
      </c>
      <c r="B1264" s="30" t="s">
        <v>10316</v>
      </c>
      <c r="C1264" s="7" t="str">
        <f t="shared" si="6"/>
        <v>🔊</v>
      </c>
      <c r="D1264" s="8" t="s">
        <v>10317</v>
      </c>
      <c r="E1264" s="6" t="s">
        <v>13</v>
      </c>
      <c r="F1264" s="12" t="str">
        <f>IFERROR(__xludf.DUMMYFUNCTION("GOOGLETRANSLATE(B1264,""zh_cn"",""vi"")"),"Doanh thu")</f>
        <v>Doanh thu</v>
      </c>
      <c r="G1264" s="20" t="s">
        <v>10318</v>
      </c>
      <c r="H1264" s="6"/>
      <c r="I1264" s="11" t="b">
        <f t="shared" si="2"/>
        <v>0</v>
      </c>
      <c r="J1264" s="24"/>
      <c r="K1264" s="11" t="b">
        <f t="shared" si="3"/>
        <v>0</v>
      </c>
    </row>
    <row r="1265" ht="22.5" customHeight="1">
      <c r="A1265" s="12">
        <f t="shared" si="4"/>
        <v>3263</v>
      </c>
      <c r="B1265" s="30" t="s">
        <v>10319</v>
      </c>
      <c r="C1265" s="7" t="str">
        <f t="shared" si="6"/>
        <v>🔊</v>
      </c>
      <c r="D1265" s="8" t="s">
        <v>10320</v>
      </c>
      <c r="E1265" s="6" t="s">
        <v>99</v>
      </c>
      <c r="F1265" s="12" t="str">
        <f>IFERROR(__xludf.DUMMYFUNCTION("GOOGLETRANSLATE(B1265,""zh_cn"",""vi"")"),"bé nhỏ")</f>
        <v>bé nhỏ</v>
      </c>
      <c r="G1265" s="20" t="s">
        <v>10321</v>
      </c>
      <c r="H1265" s="6"/>
      <c r="I1265" s="11" t="b">
        <f t="shared" si="2"/>
        <v>0</v>
      </c>
      <c r="J1265" s="24"/>
      <c r="K1265" s="11" t="b">
        <f t="shared" si="3"/>
        <v>0</v>
      </c>
    </row>
    <row r="1266" ht="22.5" customHeight="1">
      <c r="A1266" s="12">
        <f t="shared" si="4"/>
        <v>3264</v>
      </c>
      <c r="B1266" s="30" t="s">
        <v>10322</v>
      </c>
      <c r="C1266" s="7" t="str">
        <f t="shared" si="6"/>
        <v>🔊</v>
      </c>
      <c r="D1266" s="8" t="s">
        <v>10323</v>
      </c>
      <c r="E1266" s="6" t="s">
        <v>13</v>
      </c>
      <c r="F1266" s="12" t="str">
        <f>IFERROR(__xludf.DUMMYFUNCTION("GOOGLETRANSLATE(B1266,""zh_cn"",""vi"")"),"Ít hơn")</f>
        <v>Ít hơn</v>
      </c>
      <c r="G1266" s="20" t="s">
        <v>10324</v>
      </c>
      <c r="H1266" s="6"/>
      <c r="I1266" s="11" t="b">
        <f t="shared" si="2"/>
        <v>0</v>
      </c>
      <c r="J1266" s="24"/>
      <c r="K1266" s="11" t="b">
        <f t="shared" si="3"/>
        <v>0</v>
      </c>
    </row>
    <row r="1267" ht="22.5" customHeight="1">
      <c r="A1267" s="12">
        <f t="shared" si="4"/>
        <v>3265</v>
      </c>
      <c r="B1267" s="30" t="s">
        <v>10325</v>
      </c>
      <c r="C1267" s="7" t="str">
        <f t="shared" si="6"/>
        <v>🔊</v>
      </c>
      <c r="D1267" s="8" t="s">
        <v>10326</v>
      </c>
      <c r="E1267" s="6" t="s">
        <v>13</v>
      </c>
      <c r="F1267" s="12" t="str">
        <f>IFERROR(__xludf.DUMMYFUNCTION("GOOGLETRANSLATE(B1267,""zh_cn"",""vi"")"),"tải xuống")</f>
        <v>tải xuống</v>
      </c>
      <c r="G1267" s="20" t="s">
        <v>10327</v>
      </c>
      <c r="H1267" s="6"/>
      <c r="I1267" s="11" t="b">
        <f t="shared" si="2"/>
        <v>0</v>
      </c>
      <c r="J1267" s="24"/>
      <c r="K1267" s="11" t="b">
        <f t="shared" si="3"/>
        <v>0</v>
      </c>
    </row>
    <row r="1268" ht="22.5" customHeight="1">
      <c r="A1268" s="12">
        <f t="shared" si="4"/>
        <v>3266</v>
      </c>
      <c r="B1268" s="30" t="s">
        <v>10328</v>
      </c>
      <c r="C1268" s="7" t="str">
        <f t="shared" si="6"/>
        <v>🔊</v>
      </c>
      <c r="D1268" s="8" t="s">
        <v>10329</v>
      </c>
      <c r="E1268" s="6" t="s">
        <v>27</v>
      </c>
      <c r="F1268" s="12" t="str">
        <f>IFERROR(__xludf.DUMMYFUNCTION("GOOGLETRANSLATE(B1268,""zh_cn"",""vi"")"),"Thức ăn phương Tây")</f>
        <v>Thức ăn phương Tây</v>
      </c>
      <c r="G1268" s="20" t="s">
        <v>10330</v>
      </c>
      <c r="H1268" s="6"/>
      <c r="I1268" s="11" t="b">
        <f t="shared" si="2"/>
        <v>0</v>
      </c>
      <c r="J1268" s="24"/>
      <c r="K1268" s="11" t="b">
        <f t="shared" si="3"/>
        <v>0</v>
      </c>
    </row>
    <row r="1269" ht="22.5" customHeight="1">
      <c r="A1269" s="12">
        <f t="shared" si="4"/>
        <v>3267</v>
      </c>
      <c r="B1269" s="30" t="s">
        <v>10331</v>
      </c>
      <c r="C1269" s="7" t="str">
        <f t="shared" si="6"/>
        <v>🔊</v>
      </c>
      <c r="D1269" s="8" t="s">
        <v>2982</v>
      </c>
      <c r="E1269" s="6" t="s">
        <v>416</v>
      </c>
      <c r="F1269" s="12" t="str">
        <f>IFERROR(__xludf.DUMMYFUNCTION("GOOGLETRANSLATE(B1269,""zh_cn"",""vi"")"),"độ dốc")</f>
        <v>độ dốc</v>
      </c>
      <c r="G1269" s="20" t="s">
        <v>10332</v>
      </c>
      <c r="H1269" s="6"/>
      <c r="I1269" s="11" t="b">
        <f t="shared" si="2"/>
        <v>0</v>
      </c>
      <c r="J1269" s="24"/>
      <c r="K1269" s="11" t="b">
        <f t="shared" si="3"/>
        <v>0</v>
      </c>
    </row>
    <row r="1270" ht="22.5" customHeight="1">
      <c r="A1270" s="12">
        <f t="shared" si="4"/>
        <v>3268</v>
      </c>
      <c r="B1270" s="30" t="s">
        <v>10333</v>
      </c>
      <c r="C1270" s="7" t="str">
        <f t="shared" si="6"/>
        <v>🔊</v>
      </c>
      <c r="D1270" s="8" t="s">
        <v>10334</v>
      </c>
      <c r="E1270" s="6" t="s">
        <v>232</v>
      </c>
      <c r="F1270" s="12" t="str">
        <f>IFERROR(__xludf.DUMMYFUNCTION("GOOGLETRANSLATE(B1270,""zh_cn"",""vi"")"),"giao thức")</f>
        <v>giao thức</v>
      </c>
      <c r="G1270" s="20" t="s">
        <v>10335</v>
      </c>
      <c r="H1270" s="6"/>
      <c r="I1270" s="11" t="b">
        <f t="shared" si="2"/>
        <v>0</v>
      </c>
      <c r="J1270" s="24"/>
      <c r="K1270" s="11" t="b">
        <f t="shared" si="3"/>
        <v>0</v>
      </c>
    </row>
    <row r="1271" ht="22.5" customHeight="1">
      <c r="A1271" s="12">
        <f t="shared" si="4"/>
        <v>3269</v>
      </c>
      <c r="B1271" s="30" t="s">
        <v>10336</v>
      </c>
      <c r="C1271" s="7" t="str">
        <f t="shared" si="6"/>
        <v>🔊</v>
      </c>
      <c r="D1271" s="8" t="s">
        <v>10337</v>
      </c>
      <c r="E1271" s="6" t="s">
        <v>13</v>
      </c>
      <c r="F1271" s="12" t="str">
        <f>IFERROR(__xludf.DUMMYFUNCTION("GOOGLETRANSLATE(B1271,""zh_cn"",""vi"")"),"viết")</f>
        <v>viết</v>
      </c>
      <c r="G1271" s="20" t="s">
        <v>10338</v>
      </c>
      <c r="H1271" s="6"/>
      <c r="I1271" s="11" t="b">
        <f t="shared" si="2"/>
        <v>0</v>
      </c>
      <c r="J1271" s="24"/>
      <c r="K1271" s="11" t="b">
        <f t="shared" si="3"/>
        <v>0</v>
      </c>
    </row>
    <row r="1272" ht="22.5" customHeight="1">
      <c r="A1272" s="12">
        <f t="shared" si="4"/>
        <v>3270</v>
      </c>
      <c r="B1272" s="30" t="s">
        <v>10339</v>
      </c>
      <c r="C1272" s="7" t="str">
        <f t="shared" si="6"/>
        <v>🔊</v>
      </c>
      <c r="D1272" s="8" t="s">
        <v>10340</v>
      </c>
      <c r="E1272" s="6" t="s">
        <v>27</v>
      </c>
      <c r="F1272" s="12" t="str">
        <f>IFERROR(__xludf.DUMMYFUNCTION("GOOGLETRANSLATE(B1272,""zh_cn"",""vi"")"),"rơm")</f>
        <v>rơm</v>
      </c>
      <c r="G1272" s="20" t="s">
        <v>10341</v>
      </c>
      <c r="H1272" s="6"/>
      <c r="I1272" s="11" t="b">
        <f t="shared" si="2"/>
        <v>0</v>
      </c>
      <c r="J1272" s="24"/>
      <c r="K1272" s="11" t="b">
        <f t="shared" si="3"/>
        <v>0</v>
      </c>
    </row>
    <row r="1273" ht="22.5" customHeight="1">
      <c r="A1273" s="12">
        <f t="shared" si="4"/>
        <v>3271</v>
      </c>
      <c r="B1273" s="30" t="s">
        <v>10342</v>
      </c>
      <c r="C1273" s="7" t="str">
        <f t="shared" si="6"/>
        <v>🔊</v>
      </c>
      <c r="D1273" s="8" t="s">
        <v>10343</v>
      </c>
      <c r="E1273" s="6" t="s">
        <v>27</v>
      </c>
      <c r="F1273" s="12" t="str">
        <f>IFERROR(__xludf.DUMMYFUNCTION("GOOGLETRANSLATE(B1273,""zh_cn"",""vi"")"),"chi tiết")</f>
        <v>chi tiết</v>
      </c>
      <c r="G1273" s="20" t="s">
        <v>10344</v>
      </c>
      <c r="H1273" s="6"/>
      <c r="I1273" s="11" t="b">
        <f t="shared" si="2"/>
        <v>0</v>
      </c>
      <c r="J1273" s="24"/>
      <c r="K1273" s="11" t="b">
        <f t="shared" si="3"/>
        <v>0</v>
      </c>
    </row>
    <row r="1274" ht="22.5" customHeight="1">
      <c r="A1274" s="12">
        <f t="shared" si="4"/>
        <v>3272</v>
      </c>
      <c r="B1274" s="30" t="s">
        <v>10345</v>
      </c>
      <c r="C1274" s="7" t="str">
        <f t="shared" si="6"/>
        <v>🔊</v>
      </c>
      <c r="D1274" s="8" t="s">
        <v>10346</v>
      </c>
      <c r="E1274" s="6" t="s">
        <v>27</v>
      </c>
      <c r="F1274" s="12" t="str">
        <f>IFERROR(__xludf.DUMMYFUNCTION("GOOGLETRANSLATE(B1274,""zh_cn"",""vi"")"),"kịch")</f>
        <v>kịch</v>
      </c>
      <c r="G1274" s="20" t="s">
        <v>10347</v>
      </c>
      <c r="H1274" s="6"/>
      <c r="I1274" s="11" t="b">
        <f t="shared" si="2"/>
        <v>0</v>
      </c>
      <c r="J1274" s="24"/>
      <c r="K1274" s="11" t="b">
        <f t="shared" si="3"/>
        <v>0</v>
      </c>
    </row>
    <row r="1275" ht="22.5" customHeight="1">
      <c r="A1275" s="12">
        <f t="shared" si="4"/>
        <v>3273</v>
      </c>
      <c r="B1275" s="30" t="s">
        <v>10348</v>
      </c>
      <c r="C1275" s="7" t="str">
        <f t="shared" si="6"/>
        <v>🔊</v>
      </c>
      <c r="D1275" s="8" t="s">
        <v>10349</v>
      </c>
      <c r="E1275" s="6" t="s">
        <v>27</v>
      </c>
      <c r="F1275" s="12" t="str">
        <f>IFERROR(__xludf.DUMMYFUNCTION("GOOGLETRANSLATE(B1275,""zh_cn"",""vi"")"),"phong bì")</f>
        <v>phong bì</v>
      </c>
      <c r="G1275" s="20" t="s">
        <v>10350</v>
      </c>
      <c r="H1275" s="6"/>
      <c r="I1275" s="11" t="b">
        <f t="shared" si="2"/>
        <v>0</v>
      </c>
      <c r="J1275" s="24"/>
      <c r="K1275" s="11" t="b">
        <f t="shared" si="3"/>
        <v>0</v>
      </c>
    </row>
    <row r="1276" ht="22.5" customHeight="1">
      <c r="A1276" s="12">
        <f t="shared" si="4"/>
        <v>3274</v>
      </c>
      <c r="B1276" s="30" t="s">
        <v>10351</v>
      </c>
      <c r="C1276" s="7" t="str">
        <f t="shared" si="6"/>
        <v>🔊</v>
      </c>
      <c r="D1276" s="8" t="s">
        <v>10352</v>
      </c>
      <c r="E1276" s="6" t="s">
        <v>27</v>
      </c>
      <c r="F1276" s="12" t="str">
        <f>IFERROR(__xludf.DUMMYFUNCTION("GOOGLETRANSLATE(B1276,""zh_cn"",""vi"")"),"hành trình")</f>
        <v>hành trình</v>
      </c>
      <c r="G1276" s="20" t="s">
        <v>10353</v>
      </c>
      <c r="H1276" s="6"/>
      <c r="I1276" s="11" t="b">
        <f t="shared" si="2"/>
        <v>0</v>
      </c>
      <c r="J1276" s="24"/>
      <c r="K1276" s="11" t="b">
        <f t="shared" si="3"/>
        <v>0</v>
      </c>
    </row>
    <row r="1277" ht="22.5" customHeight="1">
      <c r="A1277" s="12">
        <f t="shared" si="4"/>
        <v>3275</v>
      </c>
      <c r="B1277" s="30" t="s">
        <v>10354</v>
      </c>
      <c r="C1277" s="7" t="str">
        <f t="shared" si="6"/>
        <v>🔊</v>
      </c>
      <c r="D1277" s="8" t="s">
        <v>10352</v>
      </c>
      <c r="E1277" s="6" t="s">
        <v>13</v>
      </c>
      <c r="F1277" s="12" t="str">
        <f>IFERROR(__xludf.DUMMYFUNCTION("GOOGLETRANSLATE(B1277,""zh_cn"",""vi"")"),"hình thức")</f>
        <v>hình thức</v>
      </c>
      <c r="G1277" s="20" t="s">
        <v>10355</v>
      </c>
      <c r="H1277" s="6"/>
      <c r="I1277" s="11" t="b">
        <f t="shared" si="2"/>
        <v>0</v>
      </c>
      <c r="J1277" s="24"/>
      <c r="K1277" s="11" t="b">
        <f t="shared" si="3"/>
        <v>0</v>
      </c>
    </row>
    <row r="1278" ht="22.5" customHeight="1">
      <c r="A1278" s="12">
        <f t="shared" si="4"/>
        <v>3276</v>
      </c>
      <c r="B1278" s="30" t="s">
        <v>10356</v>
      </c>
      <c r="C1278" s="7" t="str">
        <f t="shared" si="6"/>
        <v>🔊</v>
      </c>
      <c r="D1278" s="8" t="s">
        <v>10357</v>
      </c>
      <c r="E1278" s="6" t="s">
        <v>232</v>
      </c>
      <c r="F1278" s="12" t="str">
        <f>IFERROR(__xludf.DUMMYFUNCTION("GOOGLETRANSLATE(B1278,""zh_cn"",""vi"")"),"hoạt động")</f>
        <v>hoạt động</v>
      </c>
      <c r="G1278" s="20" t="s">
        <v>10358</v>
      </c>
      <c r="H1278" s="6"/>
      <c r="I1278" s="11" t="b">
        <f t="shared" si="2"/>
        <v>0</v>
      </c>
      <c r="J1278" s="24"/>
      <c r="K1278" s="11" t="b">
        <f t="shared" si="3"/>
        <v>0</v>
      </c>
    </row>
    <row r="1279" ht="22.5" customHeight="1">
      <c r="A1279" s="12">
        <f t="shared" si="4"/>
        <v>3277</v>
      </c>
      <c r="B1279" s="30" t="s">
        <v>10359</v>
      </c>
      <c r="C1279" s="7" t="str">
        <f t="shared" si="6"/>
        <v>🔊</v>
      </c>
      <c r="D1279" s="8" t="s">
        <v>10360</v>
      </c>
      <c r="E1279" s="6" t="s">
        <v>27</v>
      </c>
      <c r="F1279" s="12" t="str">
        <f>IFERROR(__xludf.DUMMYFUNCTION("GOOGLETRANSLATE(B1279,""zh_cn"",""vi"")"),"đi bộ")</f>
        <v>đi bộ</v>
      </c>
      <c r="G1279" s="20" t="s">
        <v>10361</v>
      </c>
      <c r="H1279" s="6"/>
      <c r="I1279" s="11" t="b">
        <f t="shared" si="2"/>
        <v>0</v>
      </c>
      <c r="J1279" s="24"/>
      <c r="K1279" s="11" t="b">
        <f t="shared" si="3"/>
        <v>0</v>
      </c>
    </row>
    <row r="1280" ht="22.5" customHeight="1">
      <c r="A1280" s="12">
        <f t="shared" si="4"/>
        <v>3278</v>
      </c>
      <c r="B1280" s="30" t="s">
        <v>10362</v>
      </c>
      <c r="C1280" s="7" t="str">
        <f t="shared" si="6"/>
        <v>🔊</v>
      </c>
      <c r="D1280" s="8" t="s">
        <v>10363</v>
      </c>
      <c r="E1280" s="6" t="s">
        <v>13</v>
      </c>
      <c r="F1280" s="12" t="str">
        <f>IFERROR(__xludf.DUMMYFUNCTION("GOOGLETRANSLATE(B1280,""zh_cn"",""vi"")"),"mô tả")</f>
        <v>mô tả</v>
      </c>
      <c r="G1280" s="20" t="s">
        <v>10364</v>
      </c>
      <c r="H1280" s="6"/>
      <c r="I1280" s="11" t="b">
        <f t="shared" si="2"/>
        <v>0</v>
      </c>
      <c r="J1280" s="24"/>
      <c r="K1280" s="11" t="b">
        <f t="shared" si="3"/>
        <v>0</v>
      </c>
    </row>
    <row r="1281" ht="22.5" customHeight="1">
      <c r="A1281" s="12">
        <f t="shared" si="4"/>
        <v>3279</v>
      </c>
      <c r="B1281" s="30" t="s">
        <v>10365</v>
      </c>
      <c r="C1281" s="7" t="str">
        <f t="shared" si="6"/>
        <v>🔊</v>
      </c>
      <c r="D1281" s="8" t="s">
        <v>10366</v>
      </c>
      <c r="E1281" s="6" t="s">
        <v>27</v>
      </c>
      <c r="F1281" s="12" t="str">
        <f>IFERROR(__xludf.DUMMYFUNCTION("GOOGLETRANSLATE(B1281,""zh_cn"",""vi"")"),"hình thức")</f>
        <v>hình thức</v>
      </c>
      <c r="G1281" s="20" t="s">
        <v>10367</v>
      </c>
      <c r="H1281" s="6"/>
      <c r="I1281" s="11" t="b">
        <f t="shared" si="2"/>
        <v>0</v>
      </c>
      <c r="J1281" s="24"/>
      <c r="K1281" s="11" t="b">
        <f t="shared" si="3"/>
        <v>0</v>
      </c>
    </row>
    <row r="1282" ht="22.5" customHeight="1">
      <c r="A1282" s="12">
        <f t="shared" si="4"/>
        <v>3280</v>
      </c>
      <c r="B1282" s="30" t="s">
        <v>10368</v>
      </c>
      <c r="C1282" s="7" t="str">
        <f t="shared" si="6"/>
        <v>🔊</v>
      </c>
      <c r="D1282" s="8" t="s">
        <v>10366</v>
      </c>
      <c r="E1282" s="6" t="s">
        <v>27</v>
      </c>
      <c r="F1282" s="12" t="str">
        <f>IFERROR(__xludf.DUMMYFUNCTION("GOOGLETRANSLATE(B1282,""zh_cn"",""vi"")"),"tình huống")</f>
        <v>tình huống</v>
      </c>
      <c r="G1282" s="20" t="s">
        <v>10369</v>
      </c>
      <c r="H1282" s="6"/>
      <c r="I1282" s="11" t="b">
        <f t="shared" si="2"/>
        <v>0</v>
      </c>
      <c r="J1282" s="24"/>
      <c r="K1282" s="11" t="b">
        <f t="shared" si="3"/>
        <v>0</v>
      </c>
    </row>
    <row r="1283" ht="22.5" customHeight="1">
      <c r="A1283" s="12">
        <f t="shared" si="4"/>
        <v>3281</v>
      </c>
      <c r="B1283" s="30" t="s">
        <v>10370</v>
      </c>
      <c r="C1283" s="7" t="str">
        <f t="shared" si="6"/>
        <v>🔊</v>
      </c>
      <c r="D1283" s="8" t="s">
        <v>10371</v>
      </c>
      <c r="E1283" s="6" t="s">
        <v>13</v>
      </c>
      <c r="F1283" s="12" t="str">
        <f>IFERROR(__xludf.DUMMYFUNCTION("GOOGLETRANSLATE(B1283,""zh_cn"",""vi"")"),"lái xe")</f>
        <v>lái xe</v>
      </c>
      <c r="G1283" s="20" t="s">
        <v>10372</v>
      </c>
      <c r="H1283" s="6"/>
      <c r="I1283" s="11" t="b">
        <f t="shared" si="2"/>
        <v>0</v>
      </c>
      <c r="J1283" s="24"/>
      <c r="K1283" s="11" t="b">
        <f t="shared" si="3"/>
        <v>0</v>
      </c>
    </row>
    <row r="1284" ht="22.5" customHeight="1">
      <c r="A1284" s="12">
        <f t="shared" si="4"/>
        <v>3282</v>
      </c>
      <c r="B1284" s="30" t="s">
        <v>10373</v>
      </c>
      <c r="C1284" s="7" t="str">
        <f t="shared" si="6"/>
        <v>🔊</v>
      </c>
      <c r="D1284" s="8" t="s">
        <v>10374</v>
      </c>
      <c r="E1284" s="6" t="s">
        <v>27</v>
      </c>
      <c r="F1284" s="12" t="str">
        <f>IFERROR(__xludf.DUMMYFUNCTION("GOOGLETRANSLATE(B1284,""zh_cn"",""vi"")"),"Hành vi")</f>
        <v>Hành vi</v>
      </c>
      <c r="G1284" s="20" t="s">
        <v>10375</v>
      </c>
      <c r="H1284" s="6"/>
      <c r="I1284" s="11" t="b">
        <f t="shared" si="2"/>
        <v>0</v>
      </c>
      <c r="J1284" s="24"/>
      <c r="K1284" s="11" t="b">
        <f t="shared" si="3"/>
        <v>0</v>
      </c>
    </row>
    <row r="1285" ht="22.5" customHeight="1">
      <c r="A1285" s="12">
        <f t="shared" si="4"/>
        <v>3283</v>
      </c>
      <c r="B1285" s="30" t="s">
        <v>10376</v>
      </c>
      <c r="C1285" s="7" t="str">
        <f t="shared" si="6"/>
        <v>🔊</v>
      </c>
      <c r="D1285" s="8" t="s">
        <v>10377</v>
      </c>
      <c r="E1285" s="6" t="s">
        <v>3430</v>
      </c>
      <c r="F1285" s="12" t="str">
        <f>IFERROR(__xludf.DUMMYFUNCTION("GOOGLETRANSLATE(B1285,""zh_cn"",""vi"")"),"Hình ảnh")</f>
        <v>Hình ảnh</v>
      </c>
      <c r="G1285" s="20" t="s">
        <v>10378</v>
      </c>
      <c r="H1285" s="6"/>
      <c r="I1285" s="11" t="b">
        <f t="shared" si="2"/>
        <v>0</v>
      </c>
      <c r="J1285" s="24"/>
      <c r="K1285" s="11" t="b">
        <f t="shared" si="3"/>
        <v>0</v>
      </c>
    </row>
    <row r="1286" ht="22.5" customHeight="1">
      <c r="A1286" s="12">
        <f t="shared" si="4"/>
        <v>3284</v>
      </c>
      <c r="B1286" s="30" t="s">
        <v>10379</v>
      </c>
      <c r="C1286" s="7" t="str">
        <f t="shared" si="6"/>
        <v>🔊</v>
      </c>
      <c r="D1286" s="8" t="s">
        <v>10380</v>
      </c>
      <c r="E1286" s="6" t="s">
        <v>3430</v>
      </c>
      <c r="F1286" s="12" t="str">
        <f>IFERROR(__xludf.DUMMYFUNCTION("GOOGLETRANSLATE(B1286,""zh_cn"",""vi"")"),"May mắn")</f>
        <v>May mắn</v>
      </c>
      <c r="G1286" s="20" t="s">
        <v>10381</v>
      </c>
      <c r="H1286" s="6"/>
      <c r="I1286" s="11" t="b">
        <f t="shared" si="2"/>
        <v>0</v>
      </c>
      <c r="J1286" s="24"/>
      <c r="K1286" s="11" t="b">
        <f t="shared" si="3"/>
        <v>0</v>
      </c>
    </row>
    <row r="1287" ht="22.5" customHeight="1">
      <c r="A1287" s="12">
        <f t="shared" si="4"/>
        <v>3285</v>
      </c>
      <c r="B1287" s="30" t="s">
        <v>10382</v>
      </c>
      <c r="C1287" s="7" t="str">
        <f t="shared" si="6"/>
        <v>🔊</v>
      </c>
      <c r="D1287" s="8" t="s">
        <v>10383</v>
      </c>
      <c r="E1287" s="6" t="s">
        <v>27</v>
      </c>
      <c r="F1287" s="12" t="str">
        <f>IFERROR(__xludf.DUMMYFUNCTION("GOOGLETRANSLATE(B1287,""zh_cn"",""vi"")"),"thiên nhiên")</f>
        <v>thiên nhiên</v>
      </c>
      <c r="G1287" s="20" t="s">
        <v>10384</v>
      </c>
      <c r="H1287" s="6"/>
      <c r="I1287" s="11" t="b">
        <f t="shared" si="2"/>
        <v>0</v>
      </c>
      <c r="J1287" s="24"/>
      <c r="K1287" s="11" t="b">
        <f t="shared" si="3"/>
        <v>0</v>
      </c>
    </row>
    <row r="1288" ht="22.5" customHeight="1">
      <c r="A1288" s="12">
        <f t="shared" si="4"/>
        <v>3286</v>
      </c>
      <c r="B1288" s="30" t="s">
        <v>10385</v>
      </c>
      <c r="C1288" s="7" t="str">
        <f t="shared" si="6"/>
        <v>🔊</v>
      </c>
      <c r="D1288" s="8" t="s">
        <v>10386</v>
      </c>
      <c r="E1288" s="6" t="s">
        <v>27</v>
      </c>
      <c r="F1288" s="12" t="str">
        <f>IFERROR(__xludf.DUMMYFUNCTION("GOOGLETRANSLATE(B1288,""zh_cn"",""vi"")"),"hình dạng")</f>
        <v>hình dạng</v>
      </c>
      <c r="G1288" s="20" t="s">
        <v>10387</v>
      </c>
      <c r="H1288" s="6"/>
      <c r="I1288" s="11" t="b">
        <f t="shared" si="2"/>
        <v>0</v>
      </c>
      <c r="J1288" s="24"/>
      <c r="K1288" s="11" t="b">
        <f t="shared" si="3"/>
        <v>0</v>
      </c>
    </row>
    <row r="1289" ht="22.5" customHeight="1">
      <c r="A1289" s="12">
        <f t="shared" si="4"/>
        <v>3287</v>
      </c>
      <c r="B1289" s="30" t="s">
        <v>10388</v>
      </c>
      <c r="C1289" s="7" t="str">
        <f t="shared" si="6"/>
        <v>🔊</v>
      </c>
      <c r="D1289" s="8" t="s">
        <v>10389</v>
      </c>
      <c r="E1289" s="6" t="s">
        <v>13</v>
      </c>
      <c r="F1289" s="12" t="str">
        <f>IFERROR(__xludf.DUMMYFUNCTION("GOOGLETRANSLATE(B1289,""zh_cn"",""vi"")"),"đi bộ")</f>
        <v>đi bộ</v>
      </c>
      <c r="G1289" s="20" t="s">
        <v>10390</v>
      </c>
      <c r="H1289" s="6"/>
      <c r="I1289" s="11" t="b">
        <f t="shared" si="2"/>
        <v>0</v>
      </c>
      <c r="J1289" s="24"/>
      <c r="K1289" s="11" t="b">
        <f t="shared" si="3"/>
        <v>0</v>
      </c>
    </row>
    <row r="1290" ht="22.5" customHeight="1">
      <c r="A1290" s="12">
        <f t="shared" si="4"/>
        <v>3288</v>
      </c>
      <c r="B1290" s="30" t="s">
        <v>10391</v>
      </c>
      <c r="C1290" s="7" t="str">
        <f t="shared" si="6"/>
        <v>🔊</v>
      </c>
      <c r="D1290" s="8" t="s">
        <v>10392</v>
      </c>
      <c r="E1290" s="6" t="s">
        <v>27</v>
      </c>
      <c r="F1290" s="12" t="str">
        <f>IFERROR(__xludf.DUMMYFUNCTION("GOOGLETRANSLATE(B1290,""zh_cn"",""vi"")"),"chú rể")</f>
        <v>chú rể</v>
      </c>
      <c r="G1290" s="20" t="s">
        <v>10393</v>
      </c>
      <c r="H1290" s="6"/>
      <c r="I1290" s="11" t="b">
        <f t="shared" si="2"/>
        <v>0</v>
      </c>
      <c r="J1290" s="24"/>
      <c r="K1290" s="11" t="b">
        <f t="shared" si="3"/>
        <v>0</v>
      </c>
    </row>
    <row r="1291" ht="22.5" customHeight="1">
      <c r="A1291" s="12">
        <f t="shared" si="4"/>
        <v>3289</v>
      </c>
      <c r="B1291" s="30" t="s">
        <v>10394</v>
      </c>
      <c r="C1291" s="7" t="str">
        <f t="shared" si="6"/>
        <v>🔊</v>
      </c>
      <c r="D1291" s="8" t="s">
        <v>3010</v>
      </c>
      <c r="E1291" s="6" t="s">
        <v>27</v>
      </c>
      <c r="F1291" s="12" t="str">
        <f>IFERROR(__xludf.DUMMYFUNCTION("GOOGLETRANSLATE(B1291,""zh_cn"",""vi"")"),"tâm lý")</f>
        <v>tâm lý</v>
      </c>
      <c r="G1291" s="20" t="s">
        <v>10395</v>
      </c>
      <c r="H1291" s="6"/>
      <c r="I1291" s="11" t="b">
        <f t="shared" si="2"/>
        <v>0</v>
      </c>
      <c r="J1291" s="24"/>
      <c r="K1291" s="11" t="b">
        <f t="shared" si="3"/>
        <v>0</v>
      </c>
    </row>
    <row r="1292" ht="22.5" customHeight="1">
      <c r="A1292" s="12">
        <f t="shared" si="4"/>
        <v>3290</v>
      </c>
      <c r="B1292" s="30" t="s">
        <v>10396</v>
      </c>
      <c r="C1292" s="7" t="str">
        <f t="shared" si="6"/>
        <v>🔊</v>
      </c>
      <c r="D1292" s="8" t="s">
        <v>10397</v>
      </c>
      <c r="E1292" s="6" t="s">
        <v>27</v>
      </c>
      <c r="F1292" s="12" t="str">
        <f>IFERROR(__xludf.DUMMYFUNCTION("GOOGLETRANSLATE(B1292,""zh_cn"",""vi"")"),"cô dâu")</f>
        <v>cô dâu</v>
      </c>
      <c r="G1292" s="20" t="s">
        <v>10398</v>
      </c>
      <c r="H1292" s="6"/>
      <c r="I1292" s="11" t="b">
        <f t="shared" si="2"/>
        <v>0</v>
      </c>
      <c r="J1292" s="24"/>
      <c r="K1292" s="11" t="b">
        <f t="shared" si="3"/>
        <v>0</v>
      </c>
    </row>
    <row r="1293" ht="22.5" customHeight="1">
      <c r="A1293" s="12">
        <f t="shared" si="4"/>
        <v>3291</v>
      </c>
      <c r="B1293" s="30" t="s">
        <v>10399</v>
      </c>
      <c r="C1293" s="7" t="str">
        <f t="shared" si="6"/>
        <v>🔊</v>
      </c>
      <c r="D1293" s="8" t="s">
        <v>10400</v>
      </c>
      <c r="E1293" s="6" t="s">
        <v>13</v>
      </c>
      <c r="F1293" s="12" t="str">
        <f>IFERROR(__xludf.DUMMYFUNCTION("GOOGLETRANSLATE(B1293,""zh_cn"",""vi"")"),"lòng tin")</f>
        <v>lòng tin</v>
      </c>
      <c r="G1293" s="20" t="s">
        <v>10401</v>
      </c>
      <c r="H1293" s="6"/>
      <c r="I1293" s="11" t="b">
        <f t="shared" si="2"/>
        <v>0</v>
      </c>
      <c r="J1293" s="24"/>
      <c r="K1293" s="11" t="b">
        <f t="shared" si="3"/>
        <v>0</v>
      </c>
    </row>
    <row r="1294" ht="22.5" customHeight="1">
      <c r="A1294" s="12">
        <f t="shared" si="4"/>
        <v>3292</v>
      </c>
      <c r="B1294" s="30" t="s">
        <v>10402</v>
      </c>
      <c r="C1294" s="7" t="str">
        <f t="shared" si="6"/>
        <v>🔊</v>
      </c>
      <c r="D1294" s="8" t="s">
        <v>10403</v>
      </c>
      <c r="E1294" s="6" t="s">
        <v>27</v>
      </c>
      <c r="F1294" s="12" t="str">
        <f>IFERROR(__xludf.DUMMYFUNCTION("GOOGLETRANSLATE(B1294,""zh_cn"",""vi"")"),"Người mới")</f>
        <v>Người mới</v>
      </c>
      <c r="G1294" s="20" t="s">
        <v>10404</v>
      </c>
      <c r="H1294" s="6"/>
      <c r="I1294" s="11" t="b">
        <f t="shared" si="2"/>
        <v>0</v>
      </c>
      <c r="J1294" s="24"/>
      <c r="K1294" s="11" t="b">
        <f t="shared" si="3"/>
        <v>0</v>
      </c>
    </row>
    <row r="1295" ht="22.5" customHeight="1">
      <c r="A1295" s="12">
        <f t="shared" si="4"/>
        <v>3293</v>
      </c>
      <c r="B1295" s="30" t="s">
        <v>10405</v>
      </c>
      <c r="C1295" s="7" t="str">
        <f t="shared" si="6"/>
        <v>🔊</v>
      </c>
      <c r="D1295" s="8" t="s">
        <v>10406</v>
      </c>
      <c r="E1295" s="6" t="s">
        <v>13</v>
      </c>
      <c r="F1295" s="12" t="str">
        <f>IFERROR(__xludf.DUMMYFUNCTION("GOOGLETRANSLATE(B1295,""zh_cn"",""vi"")"),"đánh giá")</f>
        <v>đánh giá</v>
      </c>
      <c r="G1295" s="20" t="s">
        <v>10407</v>
      </c>
      <c r="H1295" s="6"/>
      <c r="I1295" s="11" t="b">
        <f t="shared" si="2"/>
        <v>0</v>
      </c>
      <c r="J1295" s="24"/>
      <c r="K1295" s="11" t="b">
        <f t="shared" si="3"/>
        <v>0</v>
      </c>
    </row>
    <row r="1296" ht="22.5" customHeight="1">
      <c r="A1296" s="12">
        <f t="shared" si="4"/>
        <v>3294</v>
      </c>
      <c r="B1296" s="30" t="s">
        <v>10408</v>
      </c>
      <c r="C1296" s="7" t="str">
        <f t="shared" si="6"/>
        <v>🔊</v>
      </c>
      <c r="D1296" s="8" t="s">
        <v>10409</v>
      </c>
      <c r="E1296" s="6" t="s">
        <v>27</v>
      </c>
      <c r="F1296" s="12" t="str">
        <f>IFERROR(__xludf.DUMMYFUNCTION("GOOGLETRANSLATE(B1296,""zh_cn"",""vi"")"),"tư duy")</f>
        <v>tư duy</v>
      </c>
      <c r="G1296" s="20" t="s">
        <v>10410</v>
      </c>
      <c r="H1296" s="6"/>
      <c r="I1296" s="11" t="b">
        <f t="shared" si="2"/>
        <v>0</v>
      </c>
      <c r="J1296" s="24"/>
      <c r="K1296" s="11" t="b">
        <f t="shared" si="3"/>
        <v>0</v>
      </c>
    </row>
    <row r="1297" ht="22.5" customHeight="1">
      <c r="A1297" s="12">
        <f t="shared" si="4"/>
        <v>3295</v>
      </c>
      <c r="B1297" s="30" t="s">
        <v>10411</v>
      </c>
      <c r="C1297" s="7" t="str">
        <f t="shared" si="6"/>
        <v>🔊</v>
      </c>
      <c r="D1297" s="8" t="s">
        <v>10412</v>
      </c>
      <c r="E1297" s="6" t="s">
        <v>99</v>
      </c>
      <c r="F1297" s="12" t="str">
        <f>IFERROR(__xludf.DUMMYFUNCTION("GOOGLETRANSLATE(B1297,""zh_cn"",""vi"")"),"Mới")</f>
        <v>Mới</v>
      </c>
      <c r="G1297" s="20" t="s">
        <v>10413</v>
      </c>
      <c r="H1297" s="6"/>
      <c r="I1297" s="11" t="b">
        <f t="shared" si="2"/>
        <v>0</v>
      </c>
      <c r="J1297" s="24"/>
      <c r="K1297" s="11" t="b">
        <f t="shared" si="3"/>
        <v>0</v>
      </c>
    </row>
    <row r="1298" ht="22.5" customHeight="1">
      <c r="A1298" s="12">
        <f t="shared" si="4"/>
        <v>3296</v>
      </c>
      <c r="B1298" s="30" t="s">
        <v>10414</v>
      </c>
      <c r="C1298" s="7" t="str">
        <f t="shared" si="6"/>
        <v>🔊</v>
      </c>
      <c r="D1298" s="8" t="s">
        <v>10415</v>
      </c>
      <c r="E1298" s="6" t="s">
        <v>27</v>
      </c>
      <c r="F1298" s="12" t="str">
        <f>IFERROR(__xludf.DUMMYFUNCTION("GOOGLETRANSLATE(B1298,""zh_cn"",""vi"")"),"Tín dụng")</f>
        <v>Tín dụng</v>
      </c>
      <c r="G1298" s="20" t="s">
        <v>10416</v>
      </c>
      <c r="H1298" s="6"/>
      <c r="I1298" s="11" t="b">
        <f t="shared" si="2"/>
        <v>0</v>
      </c>
      <c r="J1298" s="24"/>
      <c r="K1298" s="11" t="b">
        <f t="shared" si="3"/>
        <v>0</v>
      </c>
    </row>
    <row r="1299" ht="22.5" customHeight="1">
      <c r="A1299" s="12">
        <f t="shared" si="4"/>
        <v>3297</v>
      </c>
      <c r="B1299" s="30" t="s">
        <v>10417</v>
      </c>
      <c r="C1299" s="7" t="str">
        <f t="shared" si="6"/>
        <v>🔊</v>
      </c>
      <c r="D1299" s="8" t="s">
        <v>10418</v>
      </c>
      <c r="E1299" s="6" t="s">
        <v>13</v>
      </c>
      <c r="F1299" s="12" t="str">
        <f>IFERROR(__xludf.DUMMYFUNCTION("GOOGLETRANSLATE(B1299,""zh_cn"",""vi"")"),"hấp thụ")</f>
        <v>hấp thụ</v>
      </c>
      <c r="G1299" s="20" t="s">
        <v>10419</v>
      </c>
      <c r="H1299" s="6"/>
      <c r="I1299" s="11" t="b">
        <f t="shared" si="2"/>
        <v>0</v>
      </c>
      <c r="J1299" s="24"/>
      <c r="K1299" s="11" t="b">
        <f t="shared" si="3"/>
        <v>0</v>
      </c>
    </row>
    <row r="1300" ht="22.5" customHeight="1">
      <c r="A1300" s="12">
        <f t="shared" si="4"/>
        <v>3298</v>
      </c>
      <c r="B1300" s="30" t="s">
        <v>10420</v>
      </c>
      <c r="C1300" s="7" t="str">
        <f t="shared" si="6"/>
        <v>🔊</v>
      </c>
      <c r="D1300" s="8" t="s">
        <v>10421</v>
      </c>
      <c r="E1300" s="6" t="s">
        <v>3430</v>
      </c>
      <c r="F1300" s="12" t="str">
        <f>IFERROR(__xludf.DUMMYFUNCTION("GOOGLETRANSLATE(B1300,""zh_cn"",""vi"")"),"hệ thống")</f>
        <v>hệ thống</v>
      </c>
      <c r="G1300" s="20" t="s">
        <v>10422</v>
      </c>
      <c r="H1300" s="6"/>
      <c r="I1300" s="11" t="b">
        <f t="shared" si="2"/>
        <v>0</v>
      </c>
      <c r="J1300" s="24"/>
      <c r="K1300" s="11" t="b">
        <f t="shared" si="3"/>
        <v>0</v>
      </c>
    </row>
    <row r="1301" ht="22.5" customHeight="1">
      <c r="A1301" s="12">
        <f t="shared" si="4"/>
        <v>3299</v>
      </c>
      <c r="B1301" s="30" t="s">
        <v>10423</v>
      </c>
      <c r="C1301" s="7" t="str">
        <f t="shared" si="6"/>
        <v>🔊</v>
      </c>
      <c r="D1301" s="8" t="s">
        <v>10424</v>
      </c>
      <c r="E1301" s="6" t="s">
        <v>13</v>
      </c>
      <c r="F1301" s="12" t="str">
        <f>IFERROR(__xludf.DUMMYFUNCTION("GOOGLETRANSLATE(B1301,""zh_cn"",""vi"")"),"Ôn lại")</f>
        <v>Ôn lại</v>
      </c>
      <c r="G1301" s="20" t="s">
        <v>10425</v>
      </c>
      <c r="H1301" s="6"/>
      <c r="I1301" s="11" t="b">
        <f t="shared" si="2"/>
        <v>0</v>
      </c>
      <c r="J1301" s="24"/>
      <c r="K1301" s="11" t="b">
        <f t="shared" si="3"/>
        <v>0</v>
      </c>
    </row>
    <row r="1302" ht="22.5" customHeight="1">
      <c r="A1302" s="12">
        <f t="shared" si="4"/>
        <v>3300</v>
      </c>
      <c r="B1302" s="30" t="s">
        <v>10426</v>
      </c>
      <c r="C1302" s="7" t="str">
        <f t="shared" si="6"/>
        <v>🔊</v>
      </c>
      <c r="D1302" s="8" t="s">
        <v>10427</v>
      </c>
      <c r="E1302" s="6" t="s">
        <v>13</v>
      </c>
      <c r="F1302" s="12" t="str">
        <f>IFERROR(__xludf.DUMMYFUNCTION("GOOGLETRANSLATE(B1302,""zh_cn"",""vi"")"),"Sự thi công")</f>
        <v>Sự thi công</v>
      </c>
      <c r="G1302" s="20" t="s">
        <v>10428</v>
      </c>
      <c r="H1302" s="6"/>
      <c r="I1302" s="11" t="b">
        <f t="shared" si="2"/>
        <v>0</v>
      </c>
      <c r="J1302" s="24"/>
      <c r="K1302" s="11" t="b">
        <f t="shared" si="3"/>
        <v>0</v>
      </c>
    </row>
    <row r="1303" ht="22.5" customHeight="1">
      <c r="A1303" s="12">
        <f t="shared" si="4"/>
        <v>3301</v>
      </c>
      <c r="B1303" s="30" t="s">
        <v>10429</v>
      </c>
      <c r="C1303" s="7" t="str">
        <f t="shared" si="6"/>
        <v>🔊</v>
      </c>
      <c r="D1303" s="8" t="s">
        <v>10430</v>
      </c>
      <c r="E1303" s="6" t="s">
        <v>13</v>
      </c>
      <c r="F1303" s="12" t="str">
        <f>IFERROR(__xludf.DUMMYFUNCTION("GOOGLETRANSLATE(B1303,""zh_cn"",""vi"")"),"Thời gian rảnh rỗi")</f>
        <v>Thời gian rảnh rỗi</v>
      </c>
      <c r="G1303" s="20" t="s">
        <v>10431</v>
      </c>
      <c r="H1303" s="6"/>
      <c r="I1303" s="11" t="b">
        <f t="shared" si="2"/>
        <v>0</v>
      </c>
      <c r="J1303" s="24"/>
      <c r="K1303" s="11" t="b">
        <f t="shared" si="3"/>
        <v>0</v>
      </c>
    </row>
    <row r="1304" ht="22.5" customHeight="1">
      <c r="A1304" s="12">
        <f t="shared" si="4"/>
        <v>3302</v>
      </c>
      <c r="B1304" s="30" t="s">
        <v>10432</v>
      </c>
      <c r="C1304" s="7" t="str">
        <f t="shared" si="6"/>
        <v>🔊</v>
      </c>
      <c r="D1304" s="8" t="s">
        <v>10433</v>
      </c>
      <c r="E1304" s="6" t="s">
        <v>27</v>
      </c>
      <c r="F1304" s="12" t="str">
        <f>IFERROR(__xludf.DUMMYFUNCTION("GOOGLETRANSLATE(B1304,""zh_cn"",""vi"")"),"Bộ đồ")</f>
        <v>Bộ đồ</v>
      </c>
      <c r="G1304" s="20" t="s">
        <v>10434</v>
      </c>
      <c r="H1304" s="6"/>
      <c r="I1304" s="11" t="b">
        <f t="shared" si="2"/>
        <v>0</v>
      </c>
      <c r="J1304" s="24"/>
      <c r="K1304" s="11" t="b">
        <f t="shared" si="3"/>
        <v>0</v>
      </c>
    </row>
    <row r="1305" ht="22.5" customHeight="1">
      <c r="A1305" s="12">
        <f t="shared" si="4"/>
        <v>3303</v>
      </c>
      <c r="B1305" s="30" t="s">
        <v>10435</v>
      </c>
      <c r="C1305" s="7" t="str">
        <f t="shared" si="6"/>
        <v>🔊</v>
      </c>
      <c r="D1305" s="8" t="s">
        <v>10436</v>
      </c>
      <c r="E1305" s="6" t="s">
        <v>13</v>
      </c>
      <c r="F1305" s="12" t="str">
        <f>IFERROR(__xludf.DUMMYFUNCTION("GOOGLETRANSLATE(B1305,""zh_cn"",""vi"")"),"nhu cầu")</f>
        <v>nhu cầu</v>
      </c>
      <c r="G1305" s="20" t="s">
        <v>10437</v>
      </c>
      <c r="H1305" s="6"/>
      <c r="I1305" s="11" t="b">
        <f t="shared" si="2"/>
        <v>0</v>
      </c>
      <c r="J1305" s="24"/>
      <c r="K1305" s="11" t="b">
        <f t="shared" si="3"/>
        <v>0</v>
      </c>
    </row>
    <row r="1306" ht="22.5" customHeight="1">
      <c r="A1306" s="12">
        <f t="shared" si="4"/>
        <v>3304</v>
      </c>
      <c r="B1306" s="30" t="s">
        <v>10438</v>
      </c>
      <c r="C1306" s="7" t="str">
        <f t="shared" si="6"/>
        <v>🔊</v>
      </c>
      <c r="D1306" s="8" t="s">
        <v>10439</v>
      </c>
      <c r="E1306" s="6" t="s">
        <v>13</v>
      </c>
      <c r="F1306" s="12" t="str">
        <f>IFERROR(__xludf.DUMMYFUNCTION("GOOGLETRANSLATE(B1306,""zh_cn"",""vi"")"),"Thông báo")</f>
        <v>Thông báo</v>
      </c>
      <c r="G1306" s="20" t="s">
        <v>10440</v>
      </c>
      <c r="H1306" s="6"/>
      <c r="I1306" s="11" t="b">
        <f t="shared" si="2"/>
        <v>0</v>
      </c>
      <c r="J1306" s="24"/>
      <c r="K1306" s="11" t="b">
        <f t="shared" si="3"/>
        <v>0</v>
      </c>
    </row>
    <row r="1307" ht="22.5" customHeight="1">
      <c r="A1307" s="12">
        <f t="shared" si="4"/>
        <v>3305</v>
      </c>
      <c r="B1307" s="30" t="s">
        <v>10441</v>
      </c>
      <c r="C1307" s="7" t="str">
        <f t="shared" si="6"/>
        <v>🔊</v>
      </c>
      <c r="D1307" s="8" t="s">
        <v>10442</v>
      </c>
      <c r="E1307" s="6" t="s">
        <v>13</v>
      </c>
      <c r="F1307" s="12" t="str">
        <f>IFERROR(__xludf.DUMMYFUNCTION("GOOGLETRANSLATE(B1307,""zh_cn"",""vi"")"),"quảng cáo")</f>
        <v>quảng cáo</v>
      </c>
      <c r="G1307" s="20" t="s">
        <v>10443</v>
      </c>
      <c r="H1307" s="6"/>
      <c r="I1307" s="11" t="b">
        <f t="shared" si="2"/>
        <v>0</v>
      </c>
      <c r="J1307" s="24"/>
      <c r="K1307" s="11" t="b">
        <f t="shared" si="3"/>
        <v>0</v>
      </c>
    </row>
    <row r="1308" ht="22.5" customHeight="1">
      <c r="A1308" s="12">
        <f t="shared" si="4"/>
        <v>3306</v>
      </c>
      <c r="B1308" s="30" t="s">
        <v>10444</v>
      </c>
      <c r="C1308" s="7" t="str">
        <f t="shared" si="6"/>
        <v>🔊</v>
      </c>
      <c r="D1308" s="8" t="s">
        <v>10445</v>
      </c>
      <c r="E1308" s="6" t="s">
        <v>27</v>
      </c>
      <c r="F1308" s="12" t="str">
        <f>IFERROR(__xludf.DUMMYFUNCTION("GOOGLETRANSLATE(B1308,""zh_cn"",""vi"")"),"các thí sinh")</f>
        <v>các thí sinh</v>
      </c>
      <c r="G1308" s="20" t="s">
        <v>10446</v>
      </c>
      <c r="H1308" s="6"/>
      <c r="I1308" s="11" t="b">
        <f t="shared" si="2"/>
        <v>0</v>
      </c>
      <c r="J1308" s="24"/>
      <c r="K1308" s="11" t="b">
        <f t="shared" si="3"/>
        <v>0</v>
      </c>
    </row>
    <row r="1309" ht="22.5" customHeight="1">
      <c r="A1309" s="12">
        <f t="shared" si="4"/>
        <v>3307</v>
      </c>
      <c r="B1309" s="30" t="s">
        <v>10447</v>
      </c>
      <c r="C1309" s="7" t="str">
        <f t="shared" si="6"/>
        <v>🔊</v>
      </c>
      <c r="D1309" s="8" t="s">
        <v>10448</v>
      </c>
      <c r="E1309" s="6" t="s">
        <v>27</v>
      </c>
      <c r="F1309" s="12" t="str">
        <f>IFERROR(__xludf.DUMMYFUNCTION("GOOGLETRANSLATE(B1309,""zh_cn"",""vi"")"),"tín dụng")</f>
        <v>tín dụng</v>
      </c>
      <c r="G1309" s="20" t="s">
        <v>10449</v>
      </c>
      <c r="H1309" s="6"/>
      <c r="I1309" s="11" t="b">
        <f t="shared" si="2"/>
        <v>0</v>
      </c>
      <c r="J1309" s="24"/>
      <c r="K1309" s="11" t="b">
        <f t="shared" si="3"/>
        <v>0</v>
      </c>
    </row>
    <row r="1310" ht="22.5" customHeight="1">
      <c r="A1310" s="12">
        <f t="shared" si="4"/>
        <v>3308</v>
      </c>
      <c r="B1310" s="30" t="s">
        <v>10450</v>
      </c>
      <c r="C1310" s="7" t="str">
        <f t="shared" si="6"/>
        <v>🔊</v>
      </c>
      <c r="D1310" s="8" t="s">
        <v>10451</v>
      </c>
      <c r="E1310" s="6" t="s">
        <v>27</v>
      </c>
      <c r="F1310" s="12" t="str">
        <f>IFERROR(__xludf.DUMMYFUNCTION("GOOGLETRANSLATE(B1310,""zh_cn"",""vi"")"),"kem")</f>
        <v>kem</v>
      </c>
      <c r="G1310" s="20" t="s">
        <v>10452</v>
      </c>
      <c r="H1310" s="6"/>
      <c r="I1310" s="11" t="b">
        <f t="shared" si="2"/>
        <v>0</v>
      </c>
      <c r="J1310" s="24"/>
      <c r="K1310" s="11" t="b">
        <f t="shared" si="3"/>
        <v>0</v>
      </c>
    </row>
    <row r="1311" ht="22.5" customHeight="1">
      <c r="A1311" s="12">
        <f t="shared" si="4"/>
        <v>3309</v>
      </c>
      <c r="B1311" s="30" t="s">
        <v>10453</v>
      </c>
      <c r="C1311" s="7" t="str">
        <f t="shared" si="6"/>
        <v>🔊</v>
      </c>
      <c r="D1311" s="8" t="s">
        <v>10454</v>
      </c>
      <c r="E1311" s="6" t="s">
        <v>27</v>
      </c>
      <c r="F1311" s="12" t="str">
        <f>IFERROR(__xludf.DUMMYFUNCTION("GOOGLETRANSLATE(B1311,""zh_cn"",""vi"")"),"kỷ luật")</f>
        <v>kỷ luật</v>
      </c>
      <c r="G1311" s="20" t="s">
        <v>10455</v>
      </c>
      <c r="H1311" s="6"/>
      <c r="I1311" s="11" t="b">
        <f t="shared" si="2"/>
        <v>0</v>
      </c>
      <c r="J1311" s="24"/>
      <c r="K1311" s="11" t="b">
        <f t="shared" si="3"/>
        <v>0</v>
      </c>
    </row>
    <row r="1312" ht="22.5" customHeight="1">
      <c r="A1312" s="12">
        <f t="shared" si="4"/>
        <v>3310</v>
      </c>
      <c r="B1312" s="30" t="s">
        <v>10456</v>
      </c>
      <c r="C1312" s="7" t="str">
        <f t="shared" si="6"/>
        <v>🔊</v>
      </c>
      <c r="D1312" s="8" t="s">
        <v>10457</v>
      </c>
      <c r="E1312" s="6" t="s">
        <v>27</v>
      </c>
      <c r="F1312" s="12" t="str">
        <f>IFERROR(__xludf.DUMMYFUNCTION("GOOGLETRANSLATE(B1312,""zh_cn"",""vi"")"),"Giáo dục")</f>
        <v>Giáo dục</v>
      </c>
      <c r="G1312" s="20" t="s">
        <v>10458</v>
      </c>
      <c r="H1312" s="6"/>
      <c r="I1312" s="11" t="b">
        <f t="shared" si="2"/>
        <v>0</v>
      </c>
      <c r="J1312" s="24"/>
      <c r="K1312" s="11" t="b">
        <f t="shared" si="3"/>
        <v>0</v>
      </c>
    </row>
    <row r="1313" ht="22.5" customHeight="1">
      <c r="A1313" s="12">
        <f t="shared" si="4"/>
        <v>3311</v>
      </c>
      <c r="B1313" s="30" t="s">
        <v>10459</v>
      </c>
      <c r="C1313" s="7" t="str">
        <f t="shared" si="6"/>
        <v>🔊</v>
      </c>
      <c r="D1313" s="8" t="s">
        <v>10460</v>
      </c>
      <c r="E1313" s="6" t="s">
        <v>27</v>
      </c>
      <c r="F1313" s="12" t="str">
        <f>IFERROR(__xludf.DUMMYFUNCTION("GOOGLETRANSLATE(B1313,""zh_cn"",""vi"")"),"năm học")</f>
        <v>năm học</v>
      </c>
      <c r="G1313" s="20" t="s">
        <v>10461</v>
      </c>
      <c r="H1313" s="6"/>
      <c r="I1313" s="11" t="b">
        <f t="shared" si="2"/>
        <v>0</v>
      </c>
      <c r="J1313" s="24"/>
      <c r="K1313" s="11" t="b">
        <f t="shared" si="3"/>
        <v>0</v>
      </c>
    </row>
    <row r="1314" ht="22.5" customHeight="1">
      <c r="A1314" s="12">
        <f t="shared" si="4"/>
        <v>3312</v>
      </c>
      <c r="B1314" s="30" t="s">
        <v>10462</v>
      </c>
      <c r="C1314" s="7" t="str">
        <f t="shared" si="6"/>
        <v>🔊</v>
      </c>
      <c r="D1314" s="8" t="s">
        <v>10463</v>
      </c>
      <c r="E1314" s="6" t="s">
        <v>27</v>
      </c>
      <c r="F1314" s="12" t="str">
        <f>IFERROR(__xludf.DUMMYFUNCTION("GOOGLETRANSLATE(B1314,""zh_cn"",""vi"")"),"học thuật")</f>
        <v>học thuật</v>
      </c>
      <c r="G1314" s="20" t="s">
        <v>10464</v>
      </c>
      <c r="H1314" s="6"/>
      <c r="I1314" s="11" t="b">
        <f t="shared" si="2"/>
        <v>0</v>
      </c>
      <c r="J1314" s="24"/>
      <c r="K1314" s="11" t="b">
        <f t="shared" si="3"/>
        <v>0</v>
      </c>
    </row>
    <row r="1315" ht="22.5" customHeight="1">
      <c r="A1315" s="12">
        <f t="shared" si="4"/>
        <v>3313</v>
      </c>
      <c r="B1315" s="30" t="s">
        <v>10465</v>
      </c>
      <c r="C1315" s="7" t="str">
        <f t="shared" si="6"/>
        <v>🔊</v>
      </c>
      <c r="D1315" s="8" t="s">
        <v>10466</v>
      </c>
      <c r="E1315" s="6" t="s">
        <v>27</v>
      </c>
      <c r="F1315" s="12" t="str">
        <f>IFERROR(__xludf.DUMMYFUNCTION("GOOGLETRANSLATE(B1315,""zh_cn"",""vi"")"),"học giả")</f>
        <v>học giả</v>
      </c>
      <c r="G1315" s="20" t="s">
        <v>10467</v>
      </c>
      <c r="H1315" s="6"/>
      <c r="I1315" s="11" t="b">
        <f t="shared" si="2"/>
        <v>0</v>
      </c>
      <c r="J1315" s="24"/>
      <c r="K1315" s="11" t="b">
        <f t="shared" si="3"/>
        <v>0</v>
      </c>
    </row>
    <row r="1316" ht="22.5" customHeight="1">
      <c r="A1316" s="12">
        <f t="shared" si="4"/>
        <v>3314</v>
      </c>
      <c r="B1316" s="30" t="s">
        <v>10468</v>
      </c>
      <c r="C1316" s="7" t="str">
        <f t="shared" si="6"/>
        <v>🔊</v>
      </c>
      <c r="D1316" s="8" t="s">
        <v>10469</v>
      </c>
      <c r="E1316" s="6" t="s">
        <v>13</v>
      </c>
      <c r="F1316" s="12" t="str">
        <f>IFERROR(__xludf.DUMMYFUNCTION("GOOGLETRANSLATE(B1316,""zh_cn"",""vi"")"),"xe lửa")</f>
        <v>xe lửa</v>
      </c>
      <c r="G1316" s="20" t="s">
        <v>10470</v>
      </c>
      <c r="H1316" s="6"/>
      <c r="I1316" s="11" t="b">
        <f t="shared" si="2"/>
        <v>0</v>
      </c>
      <c r="J1316" s="24"/>
      <c r="K1316" s="11" t="b">
        <f t="shared" si="3"/>
        <v>0</v>
      </c>
    </row>
    <row r="1317" ht="22.5" customHeight="1">
      <c r="A1317" s="12">
        <f t="shared" si="4"/>
        <v>3315</v>
      </c>
      <c r="B1317" s="30" t="s">
        <v>10471</v>
      </c>
      <c r="C1317" s="7" t="str">
        <f t="shared" si="6"/>
        <v>🔊</v>
      </c>
      <c r="D1317" s="8" t="s">
        <v>10472</v>
      </c>
      <c r="E1317" s="6" t="s">
        <v>99</v>
      </c>
      <c r="F1317" s="12" t="str">
        <f>IFERROR(__xludf.DUMMYFUNCTION("GOOGLETRANSLATE(B1317,""zh_cn"",""vi"")"),"nhanh")</f>
        <v>nhanh</v>
      </c>
      <c r="G1317" s="20" t="s">
        <v>10473</v>
      </c>
      <c r="H1317" s="6"/>
      <c r="I1317" s="11" t="b">
        <f t="shared" si="2"/>
        <v>0</v>
      </c>
      <c r="J1317" s="24"/>
      <c r="K1317" s="11" t="b">
        <f t="shared" si="3"/>
        <v>0</v>
      </c>
    </row>
    <row r="1318" ht="22.5" customHeight="1">
      <c r="A1318" s="12">
        <f t="shared" si="4"/>
        <v>3316</v>
      </c>
      <c r="B1318" s="30" t="s">
        <v>10474</v>
      </c>
      <c r="C1318" s="7" t="str">
        <f t="shared" si="6"/>
        <v>🔊</v>
      </c>
      <c r="D1318" s="8" t="s">
        <v>10475</v>
      </c>
      <c r="E1318" s="6" t="s">
        <v>13</v>
      </c>
      <c r="F1318" s="12" t="str">
        <f>IFERROR(__xludf.DUMMYFUNCTION("GOOGLETRANSLATE(B1318,""zh_cn"",""vi"")"),"hỏi")</f>
        <v>hỏi</v>
      </c>
      <c r="G1318" s="20" t="s">
        <v>10476</v>
      </c>
      <c r="H1318" s="6"/>
      <c r="I1318" s="11" t="b">
        <f t="shared" si="2"/>
        <v>0</v>
      </c>
      <c r="J1318" s="24"/>
      <c r="K1318" s="11" t="b">
        <f t="shared" si="3"/>
        <v>0</v>
      </c>
    </row>
    <row r="1319" ht="22.5" customHeight="1">
      <c r="A1319" s="12">
        <f t="shared" si="4"/>
        <v>3317</v>
      </c>
      <c r="B1319" s="30" t="s">
        <v>10477</v>
      </c>
      <c r="C1319" s="7" t="str">
        <f t="shared" si="6"/>
        <v>🔊</v>
      </c>
      <c r="D1319" s="8" t="s">
        <v>10478</v>
      </c>
      <c r="E1319" s="6" t="s">
        <v>13</v>
      </c>
      <c r="F1319" s="12" t="str">
        <f>IFERROR(__xludf.DUMMYFUNCTION("GOOGLETRANSLATE(B1319,""zh_cn"",""vi"")"),"Tìm kiếm")</f>
        <v>Tìm kiếm</v>
      </c>
      <c r="G1319" s="20" t="s">
        <v>10479</v>
      </c>
      <c r="H1319" s="6"/>
      <c r="I1319" s="11" t="b">
        <f t="shared" si="2"/>
        <v>0</v>
      </c>
      <c r="J1319" s="24"/>
      <c r="K1319" s="11" t="b">
        <f t="shared" si="3"/>
        <v>0</v>
      </c>
    </row>
    <row r="1320" ht="22.5" customHeight="1">
      <c r="A1320" s="12">
        <f t="shared" si="4"/>
        <v>3318</v>
      </c>
      <c r="B1320" s="30" t="s">
        <v>10480</v>
      </c>
      <c r="C1320" s="7" t="str">
        <f t="shared" si="6"/>
        <v>🔊</v>
      </c>
      <c r="D1320" s="8" t="s">
        <v>10481</v>
      </c>
      <c r="E1320" s="6" t="s">
        <v>27</v>
      </c>
      <c r="F1320" s="12" t="str">
        <f>IFERROR(__xludf.DUMMYFUNCTION("GOOGLETRANSLATE(B1320,""zh_cn"",""vi"")"),"nhu cầu")</f>
        <v>nhu cầu</v>
      </c>
      <c r="G1320" s="20" t="s">
        <v>10482</v>
      </c>
      <c r="H1320" s="6"/>
      <c r="I1320" s="11" t="b">
        <f t="shared" si="2"/>
        <v>0</v>
      </c>
      <c r="J1320" s="24"/>
      <c r="K1320" s="11" t="b">
        <f t="shared" si="3"/>
        <v>0</v>
      </c>
    </row>
    <row r="1321" ht="22.5" customHeight="1">
      <c r="A1321" s="12">
        <f t="shared" si="4"/>
        <v>3319</v>
      </c>
      <c r="B1321" s="30" t="s">
        <v>10483</v>
      </c>
      <c r="C1321" s="7" t="str">
        <f t="shared" si="6"/>
        <v>🔊</v>
      </c>
      <c r="D1321" s="8" t="s">
        <v>10484</v>
      </c>
      <c r="E1321" s="6" t="s">
        <v>99</v>
      </c>
      <c r="F1321" s="12" t="str">
        <f>IFERROR(__xludf.DUMMYFUNCTION("GOOGLETRANSLATE(B1321,""zh_cn"",""vi"")"),"Khiêm nhường")</f>
        <v>Khiêm nhường</v>
      </c>
      <c r="G1321" s="20" t="s">
        <v>10485</v>
      </c>
      <c r="H1321" s="6"/>
      <c r="I1321" s="11" t="b">
        <f t="shared" si="2"/>
        <v>0</v>
      </c>
      <c r="J1321" s="24"/>
      <c r="K1321" s="11" t="b">
        <f t="shared" si="3"/>
        <v>0</v>
      </c>
    </row>
    <row r="1322" ht="22.5" customHeight="1">
      <c r="A1322" s="12">
        <f t="shared" si="4"/>
        <v>3320</v>
      </c>
      <c r="B1322" s="30" t="s">
        <v>10486</v>
      </c>
      <c r="C1322" s="7" t="str">
        <f t="shared" si="6"/>
        <v>🔊</v>
      </c>
      <c r="D1322" s="8" t="s">
        <v>6086</v>
      </c>
      <c r="E1322" s="6" t="s">
        <v>747</v>
      </c>
      <c r="F1322" s="12" t="str">
        <f>IFERROR(__xludf.DUMMYFUNCTION("GOOGLETRANSLATE(B1322,""zh_cn"",""vi"")"),"à")</f>
        <v>à</v>
      </c>
      <c r="G1322" s="20" t="s">
        <v>10487</v>
      </c>
      <c r="H1322" s="6"/>
      <c r="I1322" s="11" t="b">
        <f t="shared" si="2"/>
        <v>0</v>
      </c>
      <c r="J1322" s="24"/>
      <c r="K1322" s="11" t="b">
        <f t="shared" si="3"/>
        <v>0</v>
      </c>
    </row>
    <row r="1323" ht="22.5" customHeight="1">
      <c r="A1323" s="12">
        <f t="shared" si="4"/>
        <v>3321</v>
      </c>
      <c r="B1323" s="30" t="s">
        <v>10488</v>
      </c>
      <c r="C1323" s="7" t="str">
        <f t="shared" si="6"/>
        <v>🔊</v>
      </c>
      <c r="D1323" s="8" t="s">
        <v>10489</v>
      </c>
      <c r="E1323" s="6" t="s">
        <v>27</v>
      </c>
      <c r="F1323" s="12" t="str">
        <f>IFERROR(__xludf.DUMMYFUNCTION("GOOGLETRANSLATE(B1323,""zh_cn"",""vi"")"),"răng")</f>
        <v>răng</v>
      </c>
      <c r="G1323" s="20" t="s">
        <v>10490</v>
      </c>
      <c r="H1323" s="6"/>
      <c r="I1323" s="11" t="b">
        <f t="shared" si="2"/>
        <v>0</v>
      </c>
      <c r="J1323" s="24"/>
      <c r="K1323" s="11" t="b">
        <f t="shared" si="3"/>
        <v>0</v>
      </c>
    </row>
    <row r="1324" ht="22.5" customHeight="1">
      <c r="A1324" s="12">
        <f t="shared" si="4"/>
        <v>3322</v>
      </c>
      <c r="B1324" s="30" t="s">
        <v>10491</v>
      </c>
      <c r="C1324" s="7" t="str">
        <f t="shared" si="6"/>
        <v>🔊</v>
      </c>
      <c r="D1324" s="8" t="s">
        <v>10492</v>
      </c>
      <c r="E1324" s="6" t="s">
        <v>27</v>
      </c>
      <c r="F1324" s="12" t="str">
        <f>IFERROR(__xludf.DUMMYFUNCTION("GOOGLETRANSLATE(B1324,""zh_cn"",""vi"")"),"tiền gửi")</f>
        <v>tiền gửi</v>
      </c>
      <c r="G1324" s="20" t="s">
        <v>10493</v>
      </c>
      <c r="H1324" s="6"/>
      <c r="I1324" s="11" t="b">
        <f t="shared" si="2"/>
        <v>0</v>
      </c>
      <c r="J1324" s="24"/>
      <c r="K1324" s="11" t="b">
        <f t="shared" si="3"/>
        <v>0</v>
      </c>
    </row>
    <row r="1325" ht="22.5" customHeight="1">
      <c r="A1325" s="12">
        <f t="shared" si="4"/>
        <v>3323</v>
      </c>
      <c r="B1325" s="30" t="s">
        <v>10494</v>
      </c>
      <c r="C1325" s="7" t="str">
        <f t="shared" si="6"/>
        <v>🔊</v>
      </c>
      <c r="D1325" s="8" t="s">
        <v>6095</v>
      </c>
      <c r="E1325" s="6" t="s">
        <v>10495</v>
      </c>
      <c r="F1325" s="12" t="str">
        <f>IFERROR(__xludf.DUMMYFUNCTION("GOOGLETRANSLATE(B1325,""zh_cn"",""vi"")"),"dọc theo")</f>
        <v>dọc theo</v>
      </c>
      <c r="G1325" s="20" t="s">
        <v>10496</v>
      </c>
      <c r="H1325" s="6"/>
      <c r="I1325" s="11" t="b">
        <f t="shared" si="2"/>
        <v>0</v>
      </c>
      <c r="J1325" s="24"/>
      <c r="K1325" s="11" t="b">
        <f t="shared" si="3"/>
        <v>0</v>
      </c>
    </row>
    <row r="1326" ht="22.5" customHeight="1">
      <c r="A1326" s="12">
        <f t="shared" si="4"/>
        <v>3324</v>
      </c>
      <c r="B1326" s="30" t="s">
        <v>10497</v>
      </c>
      <c r="C1326" s="7" t="str">
        <f t="shared" si="6"/>
        <v>🔊</v>
      </c>
      <c r="D1326" s="8" t="s">
        <v>6098</v>
      </c>
      <c r="E1326" s="6" t="s">
        <v>259</v>
      </c>
      <c r="F1326" s="12" t="str">
        <f>IFERROR(__xludf.DUMMYFUNCTION("GOOGLETRANSLATE(B1326,""zh_cn"",""vi"")"),"Mắt")</f>
        <v>Mắt</v>
      </c>
      <c r="G1326" s="20" t="s">
        <v>10498</v>
      </c>
      <c r="H1326" s="6"/>
      <c r="I1326" s="11" t="b">
        <f t="shared" si="2"/>
        <v>0</v>
      </c>
      <c r="J1326" s="24"/>
      <c r="K1326" s="11" t="b">
        <f t="shared" si="3"/>
        <v>0</v>
      </c>
    </row>
    <row r="1327" ht="22.5" customHeight="1">
      <c r="A1327" s="12">
        <f t="shared" si="4"/>
        <v>3325</v>
      </c>
      <c r="B1327" s="30" t="s">
        <v>10499</v>
      </c>
      <c r="C1327" s="7" t="str">
        <f t="shared" si="6"/>
        <v>🔊</v>
      </c>
      <c r="D1327" s="8" t="s">
        <v>10500</v>
      </c>
      <c r="E1327" s="6" t="s">
        <v>13</v>
      </c>
      <c r="F1327" s="12" t="str">
        <f>IFERROR(__xludf.DUMMYFUNCTION("GOOGLETRANSLATE(B1327,""zh_cn"",""vi"")"),"mở rộng")</f>
        <v>mở rộng</v>
      </c>
      <c r="G1327" s="20" t="s">
        <v>10501</v>
      </c>
      <c r="H1327" s="6"/>
      <c r="I1327" s="11" t="b">
        <f t="shared" si="2"/>
        <v>0</v>
      </c>
      <c r="J1327" s="24"/>
      <c r="K1327" s="11" t="b">
        <f t="shared" si="3"/>
        <v>0</v>
      </c>
    </row>
    <row r="1328" ht="22.5" customHeight="1">
      <c r="A1328" s="12">
        <f t="shared" si="4"/>
        <v>3326</v>
      </c>
      <c r="B1328" s="30" t="s">
        <v>10502</v>
      </c>
      <c r="C1328" s="7" t="str">
        <f t="shared" si="6"/>
        <v>🔊</v>
      </c>
      <c r="D1328" s="8" t="s">
        <v>10503</v>
      </c>
      <c r="E1328" s="6" t="s">
        <v>13</v>
      </c>
      <c r="F1328" s="12" t="str">
        <f>IFERROR(__xludf.DUMMYFUNCTION("GOOGLETRANSLATE(B1328,""zh_cn"",""vi"")"),"Nghiên cứu và phát triển")</f>
        <v>Nghiên cứu và phát triển</v>
      </c>
      <c r="G1328" s="20" t="s">
        <v>10504</v>
      </c>
      <c r="H1328" s="6"/>
      <c r="I1328" s="11" t="b">
        <f t="shared" si="2"/>
        <v>0</v>
      </c>
      <c r="J1328" s="24"/>
      <c r="K1328" s="11" t="b">
        <f t="shared" si="3"/>
        <v>0</v>
      </c>
    </row>
    <row r="1329" ht="22.5" customHeight="1">
      <c r="A1329" s="12">
        <f t="shared" si="4"/>
        <v>3327</v>
      </c>
      <c r="B1329" s="30" t="s">
        <v>10505</v>
      </c>
      <c r="C1329" s="7" t="str">
        <f t="shared" si="6"/>
        <v>🔊</v>
      </c>
      <c r="D1329" s="8" t="s">
        <v>10506</v>
      </c>
      <c r="E1329" s="6" t="s">
        <v>27</v>
      </c>
      <c r="F1329" s="12" t="str">
        <f>IFERROR(__xludf.DUMMYFUNCTION("GOOGLETRANSLATE(B1329,""zh_cn"",""vi"")"),"phong cách")</f>
        <v>phong cách</v>
      </c>
      <c r="G1329" s="20" t="s">
        <v>10507</v>
      </c>
      <c r="H1329" s="6"/>
      <c r="I1329" s="11" t="b">
        <f t="shared" si="2"/>
        <v>0</v>
      </c>
      <c r="J1329" s="24"/>
      <c r="K1329" s="11" t="b">
        <f t="shared" si="3"/>
        <v>0</v>
      </c>
    </row>
    <row r="1330" ht="22.5" customHeight="1">
      <c r="A1330" s="12">
        <f t="shared" si="4"/>
        <v>3328</v>
      </c>
      <c r="B1330" s="30" t="s">
        <v>10508</v>
      </c>
      <c r="C1330" s="7" t="str">
        <f t="shared" si="6"/>
        <v>🔊</v>
      </c>
      <c r="D1330" s="8" t="s">
        <v>10509</v>
      </c>
      <c r="E1330" s="6" t="s">
        <v>27</v>
      </c>
      <c r="F1330" s="12" t="str">
        <f>IFERROR(__xludf.DUMMYFUNCTION("GOOGLETRANSLATE(B1330,""zh_cn"",""vi"")"),"ban công")</f>
        <v>ban công</v>
      </c>
      <c r="G1330" s="20" t="s">
        <v>10510</v>
      </c>
      <c r="H1330" s="6"/>
      <c r="I1330" s="11" t="b">
        <f t="shared" si="2"/>
        <v>0</v>
      </c>
      <c r="J1330" s="24"/>
      <c r="K1330" s="11" t="b">
        <f t="shared" si="3"/>
        <v>0</v>
      </c>
    </row>
    <row r="1331" ht="22.5" customHeight="1">
      <c r="A1331" s="12">
        <f t="shared" si="4"/>
        <v>3329</v>
      </c>
      <c r="B1331" s="30" t="s">
        <v>10511</v>
      </c>
      <c r="C1331" s="7" t="str">
        <f t="shared" si="6"/>
        <v>🔊</v>
      </c>
      <c r="D1331" s="8" t="s">
        <v>10512</v>
      </c>
      <c r="E1331" s="6" t="s">
        <v>13</v>
      </c>
      <c r="F1331" s="12" t="str">
        <f>IFERROR(__xludf.DUMMYFUNCTION("GOOGLETRANSLATE(B1331,""zh_cn"",""vi"")"),"lời nói")</f>
        <v>lời nói</v>
      </c>
      <c r="G1331" s="20" t="s">
        <v>10513</v>
      </c>
      <c r="H1331" s="6"/>
      <c r="I1331" s="11" t="b">
        <f t="shared" si="2"/>
        <v>0</v>
      </c>
      <c r="J1331" s="24"/>
      <c r="K1331" s="11" t="b">
        <f t="shared" si="3"/>
        <v>0</v>
      </c>
    </row>
    <row r="1332" ht="22.5" customHeight="1">
      <c r="A1332" s="12">
        <f t="shared" si="4"/>
        <v>3330</v>
      </c>
      <c r="B1332" s="30" t="s">
        <v>10514</v>
      </c>
      <c r="C1332" s="7" t="str">
        <f t="shared" si="6"/>
        <v>🔊</v>
      </c>
      <c r="D1332" s="8" t="s">
        <v>10515</v>
      </c>
      <c r="E1332" s="6" t="s">
        <v>27</v>
      </c>
      <c r="F1332" s="12" t="str">
        <f>IFERROR(__xludf.DUMMYFUNCTION("GOOGLETRANSLATE(B1332,""zh_cn"",""vi"")"),"Nước mắt")</f>
        <v>Nước mắt</v>
      </c>
      <c r="G1332" s="20" t="s">
        <v>10516</v>
      </c>
      <c r="H1332" s="6"/>
      <c r="I1332" s="11" t="b">
        <f t="shared" si="2"/>
        <v>0</v>
      </c>
      <c r="J1332" s="24"/>
      <c r="K1332" s="11" t="b">
        <f t="shared" si="3"/>
        <v>0</v>
      </c>
    </row>
    <row r="1333" ht="22.5" customHeight="1">
      <c r="A1333" s="12">
        <f t="shared" si="4"/>
        <v>3331</v>
      </c>
      <c r="B1333" s="30" t="s">
        <v>10517</v>
      </c>
      <c r="C1333" s="7" t="str">
        <f t="shared" si="6"/>
        <v>🔊</v>
      </c>
      <c r="D1333" s="8" t="s">
        <v>10518</v>
      </c>
      <c r="E1333" s="6" t="s">
        <v>416</v>
      </c>
      <c r="F1333" s="12" t="str">
        <f>IFERROR(__xludf.DUMMYFUNCTION("GOOGLETRANSLATE(B1333,""zh_cn"",""vi"")"),"nghiêm trọng")</f>
        <v>nghiêm trọng</v>
      </c>
      <c r="G1333" s="20" t="s">
        <v>10519</v>
      </c>
      <c r="H1333" s="6"/>
      <c r="I1333" s="11" t="b">
        <f t="shared" si="2"/>
        <v>0</v>
      </c>
      <c r="J1333" s="24"/>
      <c r="K1333" s="11" t="b">
        <f t="shared" si="3"/>
        <v>0</v>
      </c>
    </row>
    <row r="1334" ht="22.5" customHeight="1">
      <c r="A1334" s="12">
        <f t="shared" si="4"/>
        <v>3332</v>
      </c>
      <c r="B1334" s="30" t="s">
        <v>10520</v>
      </c>
      <c r="C1334" s="7" t="str">
        <f t="shared" si="6"/>
        <v>🔊</v>
      </c>
      <c r="D1334" s="8" t="s">
        <v>10521</v>
      </c>
      <c r="E1334" s="6" t="s">
        <v>13</v>
      </c>
      <c r="F1334" s="12" t="str">
        <f>IFERROR(__xludf.DUMMYFUNCTION("GOOGLETRANSLATE(B1334,""zh_cn"",""vi"")"),"Nghiên cứu và phát triển")</f>
        <v>Nghiên cứu và phát triển</v>
      </c>
      <c r="G1334" s="20" t="s">
        <v>10522</v>
      </c>
      <c r="H1334" s="6"/>
      <c r="I1334" s="11" t="b">
        <f t="shared" si="2"/>
        <v>0</v>
      </c>
      <c r="J1334" s="24"/>
      <c r="K1334" s="11" t="b">
        <f t="shared" si="3"/>
        <v>0</v>
      </c>
    </row>
    <row r="1335" ht="22.5" customHeight="1">
      <c r="A1335" s="12">
        <f t="shared" si="4"/>
        <v>3333</v>
      </c>
      <c r="B1335" s="30" t="s">
        <v>10523</v>
      </c>
      <c r="C1335" s="7" t="str">
        <f t="shared" si="6"/>
        <v>🔊</v>
      </c>
      <c r="D1335" s="8" t="s">
        <v>10524</v>
      </c>
      <c r="E1335" s="6" t="s">
        <v>13</v>
      </c>
      <c r="F1335" s="12" t="str">
        <f>IFERROR(__xludf.DUMMYFUNCTION("GOOGLETRANSLATE(B1335,""zh_cn"",""vi"")"),"lắc")</f>
        <v>lắc</v>
      </c>
      <c r="G1335" s="20" t="s">
        <v>10525</v>
      </c>
      <c r="H1335" s="6"/>
      <c r="I1335" s="11" t="b">
        <f t="shared" si="2"/>
        <v>0</v>
      </c>
      <c r="J1335" s="24"/>
      <c r="K1335" s="11" t="b">
        <f t="shared" si="3"/>
        <v>0</v>
      </c>
    </row>
    <row r="1336" ht="22.5" customHeight="1">
      <c r="A1336" s="12">
        <f t="shared" si="4"/>
        <v>3334</v>
      </c>
      <c r="B1336" s="30" t="s">
        <v>10526</v>
      </c>
      <c r="C1336" s="7" t="str">
        <f t="shared" si="6"/>
        <v>🔊</v>
      </c>
      <c r="D1336" s="8" t="s">
        <v>10527</v>
      </c>
      <c r="E1336" s="6" t="s">
        <v>13</v>
      </c>
      <c r="F1336" s="12" t="str">
        <f>IFERROR(__xludf.DUMMYFUNCTION("GOOGLETRANSLATE(B1336,""zh_cn"",""vi"")"),"cắn")</f>
        <v>cắn</v>
      </c>
      <c r="G1336" s="20" t="s">
        <v>10528</v>
      </c>
      <c r="H1336" s="6"/>
      <c r="I1336" s="11" t="b">
        <f t="shared" si="2"/>
        <v>0</v>
      </c>
      <c r="J1336" s="24"/>
      <c r="K1336" s="11" t="b">
        <f t="shared" si="3"/>
        <v>0</v>
      </c>
    </row>
    <row r="1337" ht="22.5" customHeight="1">
      <c r="A1337" s="12">
        <f t="shared" si="4"/>
        <v>3335</v>
      </c>
      <c r="B1337" s="30" t="s">
        <v>10529</v>
      </c>
      <c r="C1337" s="7" t="str">
        <f t="shared" si="6"/>
        <v>🔊</v>
      </c>
      <c r="D1337" s="8" t="s">
        <v>10530</v>
      </c>
      <c r="E1337" s="6" t="s">
        <v>27</v>
      </c>
      <c r="F1337" s="12" t="str">
        <f>IFERROR(__xludf.DUMMYFUNCTION("GOOGLETRANSLATE(B1337,""zh_cn"",""vi"")"),"thắt lưng")</f>
        <v>thắt lưng</v>
      </c>
      <c r="G1337" s="20" t="s">
        <v>10531</v>
      </c>
      <c r="H1337" s="6"/>
      <c r="I1337" s="11" t="b">
        <f t="shared" si="2"/>
        <v>0</v>
      </c>
      <c r="J1337" s="24"/>
      <c r="K1337" s="11" t="b">
        <f t="shared" si="3"/>
        <v>0</v>
      </c>
    </row>
    <row r="1338" ht="22.5" customHeight="1">
      <c r="A1338" s="12">
        <f t="shared" si="4"/>
        <v>3336</v>
      </c>
      <c r="B1338" s="30" t="s">
        <v>10532</v>
      </c>
      <c r="C1338" s="7" t="str">
        <f t="shared" si="6"/>
        <v>🔊</v>
      </c>
      <c r="D1338" s="8" t="s">
        <v>10533</v>
      </c>
      <c r="E1338" s="6" t="s">
        <v>1132</v>
      </c>
      <c r="F1338" s="12" t="str">
        <f>IFERROR(__xludf.DUMMYFUNCTION("GOOGLETRANSLATE(B1338,""zh_cn"",""vi"")"),"nếu không thì)")</f>
        <v>nếu không thì)</v>
      </c>
      <c r="G1338" s="20" t="s">
        <v>10534</v>
      </c>
      <c r="H1338" s="6"/>
      <c r="I1338" s="11" t="b">
        <f t="shared" si="2"/>
        <v>0</v>
      </c>
      <c r="J1338" s="24"/>
      <c r="K1338" s="11" t="b">
        <f t="shared" si="3"/>
        <v>0</v>
      </c>
    </row>
    <row r="1339" ht="22.5" customHeight="1">
      <c r="A1339" s="12">
        <f t="shared" si="4"/>
        <v>3337</v>
      </c>
      <c r="B1339" s="30" t="s">
        <v>10535</v>
      </c>
      <c r="C1339" s="7" t="str">
        <f t="shared" si="6"/>
        <v>🔊</v>
      </c>
      <c r="D1339" s="8" t="s">
        <v>10536</v>
      </c>
      <c r="E1339" s="6" t="s">
        <v>1132</v>
      </c>
      <c r="F1339" s="12" t="str">
        <f>IFERROR(__xludf.DUMMYFUNCTION("GOOGLETRANSLATE(B1339,""zh_cn"",""vi"")"),"Nếu không phải vì")</f>
        <v>Nếu không phải vì</v>
      </c>
      <c r="G1339" s="20" t="s">
        <v>10537</v>
      </c>
      <c r="H1339" s="6"/>
      <c r="I1339" s="11" t="b">
        <f t="shared" si="2"/>
        <v>0</v>
      </c>
      <c r="J1339" s="24"/>
      <c r="K1339" s="11" t="b">
        <f t="shared" si="3"/>
        <v>0</v>
      </c>
    </row>
    <row r="1340" ht="22.5" customHeight="1">
      <c r="A1340" s="12">
        <f t="shared" si="4"/>
        <v>3338</v>
      </c>
      <c r="B1340" s="30" t="s">
        <v>10538</v>
      </c>
      <c r="C1340" s="7" t="str">
        <f t="shared" si="6"/>
        <v>🔊</v>
      </c>
      <c r="D1340" s="8" t="s">
        <v>10539</v>
      </c>
      <c r="E1340" s="6" t="s">
        <v>27</v>
      </c>
      <c r="F1340" s="12" t="str">
        <f>IFERROR(__xludf.DUMMYFUNCTION("GOOGLETRANSLATE(B1340,""zh_cn"",""vi"")"),"thuốc")</f>
        <v>thuốc</v>
      </c>
      <c r="G1340" s="20" t="s">
        <v>10540</v>
      </c>
      <c r="H1340" s="6"/>
      <c r="I1340" s="11" t="b">
        <f t="shared" si="2"/>
        <v>0</v>
      </c>
      <c r="J1340" s="24"/>
      <c r="K1340" s="11" t="b">
        <f t="shared" si="3"/>
        <v>0</v>
      </c>
    </row>
    <row r="1341" ht="22.5" customHeight="1">
      <c r="A1341" s="12">
        <f t="shared" si="4"/>
        <v>3339</v>
      </c>
      <c r="B1341" s="30" t="s">
        <v>10541</v>
      </c>
      <c r="C1341" s="7" t="str">
        <f t="shared" si="6"/>
        <v>🔊</v>
      </c>
      <c r="D1341" s="8" t="s">
        <v>10542</v>
      </c>
      <c r="E1341" s="6" t="s">
        <v>27</v>
      </c>
      <c r="F1341" s="12" t="str">
        <f>IFERROR(__xludf.DUMMYFUNCTION("GOOGLETRANSLATE(B1341,""zh_cn"",""vi"")"),"thuốc")</f>
        <v>thuốc</v>
      </c>
      <c r="G1341" s="20" t="s">
        <v>10543</v>
      </c>
      <c r="H1341" s="6"/>
      <c r="I1341" s="11" t="b">
        <f t="shared" si="2"/>
        <v>0</v>
      </c>
      <c r="J1341" s="24"/>
      <c r="K1341" s="11" t="b">
        <f t="shared" si="3"/>
        <v>0</v>
      </c>
    </row>
    <row r="1342" ht="22.5" customHeight="1">
      <c r="A1342" s="12">
        <f t="shared" si="4"/>
        <v>3340</v>
      </c>
      <c r="B1342" s="30" t="s">
        <v>10544</v>
      </c>
      <c r="C1342" s="7" t="str">
        <f t="shared" si="6"/>
        <v>🔊</v>
      </c>
      <c r="D1342" s="8" t="s">
        <v>10545</v>
      </c>
      <c r="E1342" s="6" t="s">
        <v>27</v>
      </c>
      <c r="F1342" s="12" t="str">
        <f>IFERROR(__xludf.DUMMYFUNCTION("GOOGLETRANSLATE(B1342,""zh_cn"",""vi"")"),"Tiền mừng năm mới")</f>
        <v>Tiền mừng năm mới</v>
      </c>
      <c r="G1342" s="20" t="s">
        <v>10546</v>
      </c>
      <c r="H1342" s="6"/>
      <c r="I1342" s="11" t="b">
        <f t="shared" si="2"/>
        <v>0</v>
      </c>
      <c r="J1342" s="24"/>
      <c r="K1342" s="11" t="b">
        <f t="shared" si="3"/>
        <v>0</v>
      </c>
    </row>
    <row r="1343" ht="22.5" customHeight="1">
      <c r="A1343" s="12">
        <f t="shared" si="4"/>
        <v>3341</v>
      </c>
      <c r="B1343" s="30" t="s">
        <v>10547</v>
      </c>
      <c r="C1343" s="7" t="str">
        <f t="shared" si="6"/>
        <v>🔊</v>
      </c>
      <c r="D1343" s="8" t="s">
        <v>10548</v>
      </c>
      <c r="E1343" s="6" t="s">
        <v>27</v>
      </c>
      <c r="F1343" s="12" t="str">
        <f>IFERROR(__xludf.DUMMYFUNCTION("GOOGLETRANSLATE(B1343,""zh_cn"",""vi"")"),"Con vịt")</f>
        <v>Con vịt</v>
      </c>
      <c r="G1343" s="20" t="s">
        <v>10549</v>
      </c>
      <c r="H1343" s="6"/>
      <c r="I1343" s="11" t="b">
        <f t="shared" si="2"/>
        <v>0</v>
      </c>
      <c r="J1343" s="24"/>
      <c r="K1343" s="11" t="b">
        <f t="shared" si="3"/>
        <v>0</v>
      </c>
    </row>
    <row r="1344" ht="22.5" customHeight="1">
      <c r="A1344" s="12">
        <f t="shared" si="4"/>
        <v>3342</v>
      </c>
      <c r="B1344" s="30" t="s">
        <v>10550</v>
      </c>
      <c r="C1344" s="7" t="str">
        <f t="shared" si="6"/>
        <v>🔊</v>
      </c>
      <c r="D1344" s="8" t="s">
        <v>10551</v>
      </c>
      <c r="E1344" s="6" t="s">
        <v>27</v>
      </c>
      <c r="F1344" s="12" t="str">
        <f>IFERROR(__xludf.DUMMYFUNCTION("GOOGLETRANSLATE(B1344,""zh_cn"",""vi"")"),"vào ban đêm")</f>
        <v>vào ban đêm</v>
      </c>
      <c r="G1344" s="20" t="s">
        <v>10552</v>
      </c>
      <c r="H1344" s="6"/>
      <c r="I1344" s="11" t="b">
        <f t="shared" si="2"/>
        <v>0</v>
      </c>
      <c r="J1344" s="24"/>
      <c r="K1344" s="11" t="b">
        <f t="shared" si="3"/>
        <v>0</v>
      </c>
    </row>
    <row r="1345" ht="22.5" customHeight="1">
      <c r="A1345" s="12">
        <f t="shared" si="4"/>
        <v>3343</v>
      </c>
      <c r="B1345" s="30" t="s">
        <v>10553</v>
      </c>
      <c r="C1345" s="7" t="str">
        <f t="shared" si="6"/>
        <v>🔊</v>
      </c>
      <c r="D1345" s="8" t="s">
        <v>10554</v>
      </c>
      <c r="E1345" s="6" t="s">
        <v>27</v>
      </c>
      <c r="F1345" s="12" t="str">
        <f>IFERROR(__xludf.DUMMYFUNCTION("GOOGLETRANSLATE(B1345,""zh_cn"",""vi"")"),"chợ đêm")</f>
        <v>chợ đêm</v>
      </c>
      <c r="G1345" s="20" t="s">
        <v>10555</v>
      </c>
      <c r="H1345" s="6"/>
      <c r="I1345" s="11" t="b">
        <f t="shared" si="2"/>
        <v>0</v>
      </c>
      <c r="J1345" s="24"/>
      <c r="K1345" s="11" t="b">
        <f t="shared" si="3"/>
        <v>0</v>
      </c>
    </row>
    <row r="1346" ht="22.5" customHeight="1">
      <c r="A1346" s="12">
        <f t="shared" si="4"/>
        <v>3344</v>
      </c>
      <c r="B1346" s="30" t="s">
        <v>10556</v>
      </c>
      <c r="C1346" s="7" t="str">
        <f t="shared" si="6"/>
        <v>🔊</v>
      </c>
      <c r="D1346" s="8" t="s">
        <v>10557</v>
      </c>
      <c r="E1346" s="6" t="s">
        <v>27</v>
      </c>
      <c r="F1346" s="12" t="str">
        <f>IFERROR(__xludf.DUMMYFUNCTION("GOOGLETRANSLATE(B1346,""zh_cn"",""vi"")"),"việc kinh doanh")</f>
        <v>việc kinh doanh</v>
      </c>
      <c r="G1346" s="20" t="s">
        <v>10558</v>
      </c>
      <c r="H1346" s="6"/>
      <c r="I1346" s="11" t="b">
        <f t="shared" si="2"/>
        <v>0</v>
      </c>
      <c r="J1346" s="24"/>
      <c r="K1346" s="11" t="b">
        <f t="shared" si="3"/>
        <v>0</v>
      </c>
    </row>
    <row r="1347" ht="22.5" customHeight="1">
      <c r="A1347" s="12">
        <f t="shared" si="4"/>
        <v>3345</v>
      </c>
      <c r="B1347" s="30" t="s">
        <v>10559</v>
      </c>
      <c r="C1347" s="7" t="str">
        <f t="shared" si="6"/>
        <v>🔊</v>
      </c>
      <c r="D1347" s="8" t="s">
        <v>10560</v>
      </c>
      <c r="E1347" s="6" t="s">
        <v>99</v>
      </c>
      <c r="F1347" s="12" t="str">
        <f>IFERROR(__xludf.DUMMYFUNCTION("GOOGLETRANSLATE(B1347,""zh_cn"",""vi"")"),"nghiệp dư")</f>
        <v>nghiệp dư</v>
      </c>
      <c r="G1347" s="20" t="s">
        <v>10561</v>
      </c>
      <c r="H1347" s="6"/>
      <c r="I1347" s="11" t="b">
        <f t="shared" si="2"/>
        <v>0</v>
      </c>
      <c r="J1347" s="24"/>
      <c r="K1347" s="11" t="b">
        <f t="shared" si="3"/>
        <v>0</v>
      </c>
    </row>
    <row r="1348" ht="22.5" customHeight="1">
      <c r="A1348" s="12">
        <f t="shared" si="4"/>
        <v>3346</v>
      </c>
      <c r="B1348" s="30" t="s">
        <v>10562</v>
      </c>
      <c r="C1348" s="7" t="str">
        <f t="shared" si="6"/>
        <v>🔊</v>
      </c>
      <c r="D1348" s="8" t="s">
        <v>10563</v>
      </c>
      <c r="E1348" s="6" t="s">
        <v>13</v>
      </c>
      <c r="F1348" s="12" t="str">
        <f>IFERROR(__xludf.DUMMYFUNCTION("GOOGLETRANSLATE(B1348,""zh_cn"",""vi"")"),"sự thay đổi")</f>
        <v>sự thay đổi</v>
      </c>
      <c r="G1348" s="20" t="s">
        <v>10564</v>
      </c>
      <c r="H1348" s="6"/>
      <c r="I1348" s="11" t="b">
        <f t="shared" si="2"/>
        <v>0</v>
      </c>
      <c r="J1348" s="24"/>
      <c r="K1348" s="11" t="b">
        <f t="shared" si="3"/>
        <v>0</v>
      </c>
    </row>
    <row r="1349" ht="22.5" customHeight="1">
      <c r="A1349" s="12">
        <f t="shared" si="4"/>
        <v>3347</v>
      </c>
      <c r="B1349" s="30" t="s">
        <v>10565</v>
      </c>
      <c r="C1349" s="7" t="str">
        <f t="shared" si="6"/>
        <v>🔊</v>
      </c>
      <c r="D1349" s="8" t="s">
        <v>10566</v>
      </c>
      <c r="E1349" s="6" t="s">
        <v>23</v>
      </c>
      <c r="F1349" s="12" t="str">
        <f>IFERROR(__xludf.DUMMYFUNCTION("GOOGLETRANSLATE(B1349,""zh_cn"",""vi"")"),"100 triệu")</f>
        <v>100 triệu</v>
      </c>
      <c r="G1349" s="20" t="s">
        <v>10567</v>
      </c>
      <c r="H1349" s="6"/>
      <c r="I1349" s="11" t="b">
        <f t="shared" si="2"/>
        <v>0</v>
      </c>
      <c r="J1349" s="24"/>
      <c r="K1349" s="11" t="b">
        <f t="shared" si="3"/>
        <v>0</v>
      </c>
    </row>
    <row r="1350" ht="22.5" customHeight="1">
      <c r="A1350" s="12">
        <f t="shared" si="4"/>
        <v>3348</v>
      </c>
      <c r="B1350" s="30" t="s">
        <v>10568</v>
      </c>
      <c r="C1350" s="7" t="str">
        <f t="shared" si="6"/>
        <v>🔊</v>
      </c>
      <c r="D1350" s="8" t="s">
        <v>6165</v>
      </c>
      <c r="E1350" s="6" t="s">
        <v>27</v>
      </c>
      <c r="F1350" s="12" t="str">
        <f>IFERROR(__xludf.DUMMYFUNCTION("GOOGLETRANSLATE(B1350,""zh_cn"",""vi"")"),"Thứ hai")</f>
        <v>Thứ hai</v>
      </c>
      <c r="G1350" s="20" t="s">
        <v>10569</v>
      </c>
      <c r="H1350" s="6"/>
      <c r="I1350" s="11" t="b">
        <f t="shared" si="2"/>
        <v>0</v>
      </c>
      <c r="J1350" s="24"/>
      <c r="K1350" s="11" t="b">
        <f t="shared" si="3"/>
        <v>0</v>
      </c>
    </row>
    <row r="1351" ht="22.5" customHeight="1">
      <c r="A1351" s="12">
        <f t="shared" si="4"/>
        <v>3349</v>
      </c>
      <c r="B1351" s="30" t="s">
        <v>10570</v>
      </c>
      <c r="C1351" s="7" t="str">
        <f t="shared" si="6"/>
        <v>🔊</v>
      </c>
      <c r="D1351" s="8" t="s">
        <v>6165</v>
      </c>
      <c r="E1351" s="6" t="s">
        <v>10571</v>
      </c>
      <c r="F1351" s="12" t="str">
        <f>IFERROR(__xludf.DUMMYFUNCTION("GOOGLETRANSLATE(B1351,""zh_cn"",""vi"")"),"qua")</f>
        <v>qua</v>
      </c>
      <c r="G1351" s="20" t="s">
        <v>10572</v>
      </c>
      <c r="H1351" s="6"/>
      <c r="I1351" s="11" t="b">
        <f t="shared" si="2"/>
        <v>0</v>
      </c>
      <c r="J1351" s="24"/>
      <c r="K1351" s="11" t="b">
        <f t="shared" si="3"/>
        <v>0</v>
      </c>
    </row>
    <row r="1352" ht="22.5" customHeight="1">
      <c r="A1352" s="12">
        <f t="shared" si="4"/>
        <v>3350</v>
      </c>
      <c r="B1352" s="30" t="s">
        <v>10573</v>
      </c>
      <c r="C1352" s="7" t="str">
        <f t="shared" si="6"/>
        <v>🔊</v>
      </c>
      <c r="D1352" s="8" t="s">
        <v>10574</v>
      </c>
      <c r="E1352" s="6" t="s">
        <v>99</v>
      </c>
      <c r="F1352" s="12" t="str">
        <f>IFERROR(__xludf.DUMMYFUNCTION("GOOGLETRANSLATE(B1352,""zh_cn"",""vi"")"),"Sử dụng một lần")</f>
        <v>Sử dụng một lần</v>
      </c>
      <c r="G1352" s="20" t="s">
        <v>10575</v>
      </c>
      <c r="H1352" s="6"/>
      <c r="I1352" s="11" t="b">
        <f t="shared" si="2"/>
        <v>0</v>
      </c>
      <c r="J1352" s="24"/>
      <c r="K1352" s="11" t="b">
        <f t="shared" si="3"/>
        <v>0</v>
      </c>
    </row>
    <row r="1353" ht="22.5" customHeight="1">
      <c r="A1353" s="12">
        <f t="shared" si="4"/>
        <v>3351</v>
      </c>
      <c r="B1353" s="30" t="s">
        <v>10576</v>
      </c>
      <c r="C1353" s="7" t="str">
        <f t="shared" si="6"/>
        <v>🔊</v>
      </c>
      <c r="D1353" s="8" t="s">
        <v>10577</v>
      </c>
      <c r="E1353" s="6" t="s">
        <v>27</v>
      </c>
      <c r="F1353" s="12" t="str">
        <f>IFERROR(__xludf.DUMMYFUNCTION("GOOGLETRANSLATE(B1353,""zh_cn"",""vi"")"),"thế hệ")</f>
        <v>thế hệ</v>
      </c>
      <c r="G1353" s="20" t="s">
        <v>10578</v>
      </c>
      <c r="H1353" s="6"/>
      <c r="I1353" s="11" t="b">
        <f t="shared" si="2"/>
        <v>0</v>
      </c>
      <c r="J1353" s="24"/>
      <c r="K1353" s="11" t="b">
        <f t="shared" si="3"/>
        <v>0</v>
      </c>
    </row>
    <row r="1354" ht="22.5" customHeight="1">
      <c r="A1354" s="12">
        <f t="shared" si="4"/>
        <v>3352</v>
      </c>
      <c r="B1354" s="30" t="s">
        <v>10579</v>
      </c>
      <c r="C1354" s="7" t="str">
        <f t="shared" si="6"/>
        <v>🔊</v>
      </c>
      <c r="D1354" s="8" t="s">
        <v>10580</v>
      </c>
      <c r="E1354" s="6" t="s">
        <v>61</v>
      </c>
      <c r="F1354" s="12" t="str">
        <f>IFERROR(__xludf.DUMMYFUNCTION("GOOGLETRANSLATE(B1354,""zh_cn"",""vi"")"),"một lần")</f>
        <v>một lần</v>
      </c>
      <c r="G1354" s="20" t="s">
        <v>10581</v>
      </c>
      <c r="H1354" s="6"/>
      <c r="I1354" s="11" t="b">
        <f t="shared" si="2"/>
        <v>0</v>
      </c>
      <c r="J1354" s="24"/>
      <c r="K1354" s="11" t="b">
        <f t="shared" si="3"/>
        <v>0</v>
      </c>
    </row>
    <row r="1355" ht="22.5" customHeight="1">
      <c r="A1355" s="12">
        <f t="shared" si="4"/>
        <v>3353</v>
      </c>
      <c r="B1355" s="30" t="s">
        <v>10582</v>
      </c>
      <c r="C1355" s="7" t="str">
        <f t="shared" si="6"/>
        <v>🔊</v>
      </c>
      <c r="D1355" s="8" t="s">
        <v>10583</v>
      </c>
      <c r="E1355" s="6" t="s">
        <v>13</v>
      </c>
      <c r="F1355" s="12" t="str">
        <f>IFERROR(__xludf.DUMMYFUNCTION("GOOGLETRANSLATE(B1355,""zh_cn"",""vi"")"),"di chuyển")</f>
        <v>di chuyển</v>
      </c>
      <c r="G1355" s="20" t="s">
        <v>10584</v>
      </c>
      <c r="H1355" s="6"/>
      <c r="I1355" s="11" t="b">
        <f t="shared" si="2"/>
        <v>0</v>
      </c>
      <c r="J1355" s="24"/>
      <c r="K1355" s="11" t="b">
        <f t="shared" si="3"/>
        <v>0</v>
      </c>
    </row>
    <row r="1356" ht="22.5" customHeight="1">
      <c r="A1356" s="12">
        <f t="shared" si="4"/>
        <v>3354</v>
      </c>
      <c r="B1356" s="30" t="s">
        <v>10585</v>
      </c>
      <c r="C1356" s="7" t="str">
        <f t="shared" si="6"/>
        <v>🔊</v>
      </c>
      <c r="D1356" s="8" t="s">
        <v>10586</v>
      </c>
      <c r="E1356" s="6" t="s">
        <v>3430</v>
      </c>
      <c r="F1356" s="12" t="str">
        <f>IFERROR(__xludf.DUMMYFUNCTION("GOOGLETRANSLATE(B1356,""zh_cn"",""vi"")"),"Lòng thương xót")</f>
        <v>Lòng thương xót</v>
      </c>
      <c r="G1356" s="20" t="s">
        <v>10587</v>
      </c>
      <c r="H1356" s="6"/>
      <c r="I1356" s="11" t="b">
        <f t="shared" si="2"/>
        <v>0</v>
      </c>
      <c r="J1356" s="24"/>
      <c r="K1356" s="11" t="b">
        <f t="shared" si="3"/>
        <v>0</v>
      </c>
    </row>
    <row r="1357" ht="22.5" customHeight="1">
      <c r="A1357" s="12">
        <f t="shared" si="4"/>
        <v>3355</v>
      </c>
      <c r="B1357" s="30" t="s">
        <v>10588</v>
      </c>
      <c r="C1357" s="7" t="str">
        <f t="shared" si="6"/>
        <v>🔊</v>
      </c>
      <c r="D1357" s="8" t="s">
        <v>10589</v>
      </c>
      <c r="E1357" s="6" t="s">
        <v>1132</v>
      </c>
      <c r="F1357" s="12" t="str">
        <f>IFERROR(__xludf.DUMMYFUNCTION("GOOGLETRANSLATE(B1357,""zh_cn"",""vi"")"),"cũng như")</f>
        <v>cũng như</v>
      </c>
      <c r="G1357" s="20" t="s">
        <v>10590</v>
      </c>
      <c r="H1357" s="6"/>
      <c r="I1357" s="11" t="b">
        <f t="shared" si="2"/>
        <v>0</v>
      </c>
      <c r="J1357" s="24"/>
      <c r="K1357" s="11" t="b">
        <f t="shared" si="3"/>
        <v>0</v>
      </c>
    </row>
    <row r="1358" ht="22.5" customHeight="1">
      <c r="A1358" s="12">
        <f t="shared" si="4"/>
        <v>3356</v>
      </c>
      <c r="B1358" s="30" t="s">
        <v>10591</v>
      </c>
      <c r="C1358" s="7" t="str">
        <f t="shared" si="6"/>
        <v>🔊</v>
      </c>
      <c r="D1358" s="8" t="s">
        <v>10592</v>
      </c>
      <c r="E1358" s="6" t="s">
        <v>10593</v>
      </c>
      <c r="F1358" s="12" t="str">
        <f>IFERROR(__xludf.DUMMYFUNCTION("GOOGLETRANSLATE(B1358,""zh_cn"",""vi"")"),"phù hợp với")</f>
        <v>phù hợp với</v>
      </c>
      <c r="G1358" s="20" t="s">
        <v>10594</v>
      </c>
      <c r="H1358" s="6"/>
      <c r="I1358" s="11" t="b">
        <f t="shared" si="2"/>
        <v>0</v>
      </c>
      <c r="J1358" s="24"/>
      <c r="K1358" s="11" t="b">
        <f t="shared" si="3"/>
        <v>0</v>
      </c>
    </row>
    <row r="1359" ht="22.5" customHeight="1">
      <c r="A1359" s="12">
        <f t="shared" si="4"/>
        <v>3357</v>
      </c>
      <c r="B1359" s="30" t="s">
        <v>10595</v>
      </c>
      <c r="C1359" s="7" t="str">
        <f t="shared" si="6"/>
        <v>🔊</v>
      </c>
      <c r="D1359" s="8" t="s">
        <v>10596</v>
      </c>
      <c r="E1359" s="6" t="s">
        <v>232</v>
      </c>
      <c r="F1359" s="12" t="str">
        <f>IFERROR(__xludf.DUMMYFUNCTION("GOOGLETRANSLATE(B1359,""zh_cn"",""vi"")"),"dựa vào")</f>
        <v>dựa vào</v>
      </c>
      <c r="G1359" s="20" t="s">
        <v>10597</v>
      </c>
      <c r="H1359" s="6"/>
      <c r="I1359" s="11" t="b">
        <f t="shared" si="2"/>
        <v>0</v>
      </c>
      <c r="J1359" s="24"/>
      <c r="K1359" s="11" t="b">
        <f t="shared" si="3"/>
        <v>0</v>
      </c>
    </row>
    <row r="1360" ht="22.5" customHeight="1">
      <c r="A1360" s="12">
        <f t="shared" si="4"/>
        <v>3358</v>
      </c>
      <c r="B1360" s="30" t="s">
        <v>10598</v>
      </c>
      <c r="C1360" s="7" t="str">
        <f t="shared" si="6"/>
        <v>🔊</v>
      </c>
      <c r="D1360" s="8" t="s">
        <v>10599</v>
      </c>
      <c r="E1360" s="6" t="s">
        <v>27</v>
      </c>
      <c r="F1360" s="12" t="str">
        <f>IFERROR(__xludf.DUMMYFUNCTION("GOOGLETRANSLATE(B1360,""zh_cn"",""vi"")"),"từ")</f>
        <v>từ</v>
      </c>
      <c r="G1360" s="20" t="s">
        <v>10600</v>
      </c>
      <c r="H1360" s="6"/>
      <c r="I1360" s="11" t="b">
        <f t="shared" si="2"/>
        <v>0</v>
      </c>
      <c r="J1360" s="24"/>
      <c r="K1360" s="11" t="b">
        <f t="shared" si="3"/>
        <v>0</v>
      </c>
    </row>
    <row r="1361" ht="22.5" customHeight="1">
      <c r="A1361" s="12">
        <f t="shared" si="4"/>
        <v>3359</v>
      </c>
      <c r="B1361" s="30" t="s">
        <v>10601</v>
      </c>
      <c r="C1361" s="7" t="str">
        <f t="shared" si="6"/>
        <v>🔊</v>
      </c>
      <c r="D1361" s="8" t="s">
        <v>10602</v>
      </c>
      <c r="E1361" s="6" t="s">
        <v>13</v>
      </c>
      <c r="F1361" s="12" t="str">
        <f>IFERROR(__xludf.DUMMYFUNCTION("GOOGLETRANSLATE(B1361,""zh_cn"",""vi"")"),"Thuộc về y học")</f>
        <v>Thuộc về y học</v>
      </c>
      <c r="G1361" s="20" t="s">
        <v>10603</v>
      </c>
      <c r="H1361" s="6"/>
      <c r="I1361" s="11" t="b">
        <f t="shared" si="2"/>
        <v>0</v>
      </c>
      <c r="J1361" s="24"/>
      <c r="K1361" s="11" t="b">
        <f t="shared" si="3"/>
        <v>0</v>
      </c>
    </row>
    <row r="1362" ht="22.5" customHeight="1">
      <c r="A1362" s="12">
        <f t="shared" si="4"/>
        <v>3360</v>
      </c>
      <c r="B1362" s="30" t="s">
        <v>10604</v>
      </c>
      <c r="C1362" s="7" t="str">
        <f t="shared" si="6"/>
        <v>🔊</v>
      </c>
      <c r="D1362" s="8" t="s">
        <v>10605</v>
      </c>
      <c r="E1362" s="6" t="s">
        <v>3089</v>
      </c>
      <c r="F1362" s="12" t="str">
        <f>IFERROR(__xludf.DUMMYFUNCTION("GOOGLETRANSLATE(B1362,""zh_cn"",""vi"")"),"suốt cả chặng đường")</f>
        <v>suốt cả chặng đường</v>
      </c>
      <c r="G1362" s="20" t="s">
        <v>10606</v>
      </c>
      <c r="H1362" s="6"/>
      <c r="I1362" s="11" t="b">
        <f t="shared" si="2"/>
        <v>0</v>
      </c>
      <c r="J1362" s="24"/>
      <c r="K1362" s="11" t="b">
        <f t="shared" si="3"/>
        <v>0</v>
      </c>
    </row>
    <row r="1363" ht="22.5" customHeight="1">
      <c r="A1363" s="12">
        <f t="shared" si="4"/>
        <v>3361</v>
      </c>
      <c r="B1363" s="30" t="s">
        <v>10607</v>
      </c>
      <c r="C1363" s="7" t="str">
        <f t="shared" si="6"/>
        <v>🔊</v>
      </c>
      <c r="D1363" s="8" t="s">
        <v>10608</v>
      </c>
      <c r="E1363" s="14"/>
      <c r="F1363" s="12" t="str">
        <f>IFERROR(__xludf.DUMMYFUNCTION("GOOGLETRANSLATE(B1363,""zh_cn"",""vi"")"),"Chúc thượng lộ bình an")</f>
        <v>Chúc thượng lộ bình an</v>
      </c>
      <c r="G1363" s="20" t="s">
        <v>10609</v>
      </c>
      <c r="H1363" s="6"/>
      <c r="I1363" s="11" t="b">
        <f t="shared" si="2"/>
        <v>0</v>
      </c>
      <c r="J1363" s="24"/>
      <c r="K1363" s="11" t="b">
        <f t="shared" si="3"/>
        <v>0</v>
      </c>
    </row>
    <row r="1364" ht="22.5" customHeight="1">
      <c r="A1364" s="12">
        <f t="shared" si="4"/>
        <v>3362</v>
      </c>
      <c r="B1364" s="30" t="s">
        <v>10610</v>
      </c>
      <c r="C1364" s="7" t="str">
        <f t="shared" si="6"/>
        <v>🔊</v>
      </c>
      <c r="D1364" s="8" t="s">
        <v>10611</v>
      </c>
      <c r="E1364" s="6" t="s">
        <v>1132</v>
      </c>
      <c r="F1364" s="12" t="str">
        <f>IFERROR(__xludf.DUMMYFUNCTION("GOOGLETRANSLATE(B1364,""zh_cn"",""vi"")"),"như vậy")</f>
        <v>như vậy</v>
      </c>
      <c r="G1364" s="20" t="s">
        <v>10612</v>
      </c>
      <c r="H1364" s="6"/>
      <c r="I1364" s="11" t="b">
        <f t="shared" si="2"/>
        <v>0</v>
      </c>
      <c r="J1364" s="24"/>
      <c r="K1364" s="11" t="b">
        <f t="shared" si="3"/>
        <v>0</v>
      </c>
    </row>
    <row r="1365" ht="22.5" customHeight="1">
      <c r="A1365" s="12">
        <f t="shared" si="4"/>
        <v>3363</v>
      </c>
      <c r="B1365" s="30" t="s">
        <v>10613</v>
      </c>
      <c r="C1365" s="7" t="str">
        <f t="shared" si="6"/>
        <v>🔊</v>
      </c>
      <c r="D1365" s="8" t="s">
        <v>6178</v>
      </c>
      <c r="E1365" s="6" t="s">
        <v>13</v>
      </c>
      <c r="F1365" s="12" t="str">
        <f>IFERROR(__xludf.DUMMYFUNCTION("GOOGLETRANSLATE(B1365,""zh_cn"",""vi"")"),"Chào mừng")</f>
        <v>Chào mừng</v>
      </c>
      <c r="G1365" s="20" t="s">
        <v>10614</v>
      </c>
      <c r="H1365" s="6"/>
      <c r="I1365" s="11" t="b">
        <f t="shared" si="2"/>
        <v>0</v>
      </c>
      <c r="J1365" s="24"/>
      <c r="K1365" s="11" t="b">
        <f t="shared" si="3"/>
        <v>0</v>
      </c>
    </row>
    <row r="1366" ht="22.5" customHeight="1">
      <c r="A1366" s="12">
        <f t="shared" si="4"/>
        <v>3364</v>
      </c>
      <c r="B1366" s="30" t="s">
        <v>10615</v>
      </c>
      <c r="C1366" s="7" t="str">
        <f t="shared" si="6"/>
        <v>🔊</v>
      </c>
      <c r="D1366" s="8" t="s">
        <v>10616</v>
      </c>
      <c r="E1366" s="6" t="s">
        <v>1308</v>
      </c>
      <c r="F1366" s="12" t="str">
        <f>IFERROR(__xludf.DUMMYFUNCTION("GOOGLETRANSLATE(B1366,""zh_cn"",""vi"")"),"cứng")</f>
        <v>cứng</v>
      </c>
      <c r="G1366" s="20" t="s">
        <v>10617</v>
      </c>
      <c r="H1366" s="6"/>
      <c r="I1366" s="11" t="b">
        <f t="shared" si="2"/>
        <v>0</v>
      </c>
      <c r="J1366" s="24"/>
      <c r="K1366" s="11" t="b">
        <f t="shared" si="3"/>
        <v>0</v>
      </c>
    </row>
    <row r="1367" ht="22.5" customHeight="1">
      <c r="A1367" s="12">
        <f t="shared" si="4"/>
        <v>3365</v>
      </c>
      <c r="B1367" s="30" t="s">
        <v>10618</v>
      </c>
      <c r="C1367" s="7" t="str">
        <f t="shared" si="6"/>
        <v>🔊</v>
      </c>
      <c r="D1367" s="8" t="s">
        <v>10619</v>
      </c>
      <c r="E1367" s="6" t="s">
        <v>13</v>
      </c>
      <c r="F1367" s="12" t="str">
        <f>IFERROR(__xludf.DUMMYFUNCTION("GOOGLETRANSLATE(B1367,""zh_cn"",""vi"")"),"nên")</f>
        <v>nên</v>
      </c>
      <c r="G1367" s="20" t="s">
        <v>10620</v>
      </c>
      <c r="H1367" s="6"/>
      <c r="I1367" s="11" t="b">
        <f t="shared" si="2"/>
        <v>0</v>
      </c>
      <c r="J1367" s="24"/>
      <c r="K1367" s="11" t="b">
        <f t="shared" si="3"/>
        <v>0</v>
      </c>
    </row>
    <row r="1368" ht="22.5" customHeight="1">
      <c r="A1368" s="12">
        <f t="shared" si="4"/>
        <v>3366</v>
      </c>
      <c r="B1368" s="30" t="s">
        <v>10621</v>
      </c>
      <c r="C1368" s="7" t="str">
        <f t="shared" si="6"/>
        <v>🔊</v>
      </c>
      <c r="D1368" s="8" t="s">
        <v>10622</v>
      </c>
      <c r="E1368" s="6" t="s">
        <v>13</v>
      </c>
      <c r="F1368" s="12" t="str">
        <f>IFERROR(__xludf.DUMMYFUNCTION("GOOGLETRANSLATE(B1368,""zh_cn"",""vi"")"),"phản ứng")</f>
        <v>phản ứng</v>
      </c>
      <c r="G1368" s="20" t="s">
        <v>10623</v>
      </c>
      <c r="H1368" s="6"/>
      <c r="I1368" s="11" t="b">
        <f t="shared" si="2"/>
        <v>0</v>
      </c>
      <c r="J1368" s="24"/>
      <c r="K1368" s="11" t="b">
        <f t="shared" si="3"/>
        <v>0</v>
      </c>
    </row>
    <row r="1369" ht="22.5" customHeight="1">
      <c r="A1369" s="12">
        <f t="shared" si="4"/>
        <v>3367</v>
      </c>
      <c r="B1369" s="30" t="s">
        <v>10624</v>
      </c>
      <c r="C1369" s="7" t="str">
        <f t="shared" si="6"/>
        <v>🔊</v>
      </c>
      <c r="D1369" s="8" t="s">
        <v>10625</v>
      </c>
      <c r="E1369" s="6" t="s">
        <v>27</v>
      </c>
      <c r="F1369" s="12" t="str">
        <f>IFERROR(__xludf.DUMMYFUNCTION("GOOGLETRANSLATE(B1369,""zh_cn"",""vi"")"),"phần cứng")</f>
        <v>phần cứng</v>
      </c>
      <c r="G1369" s="20" t="s">
        <v>10626</v>
      </c>
      <c r="H1369" s="6"/>
      <c r="I1369" s="11" t="b">
        <f t="shared" si="2"/>
        <v>0</v>
      </c>
      <c r="J1369" s="24"/>
      <c r="K1369" s="11" t="b">
        <f t="shared" si="3"/>
        <v>0</v>
      </c>
    </row>
    <row r="1370" ht="22.5" customHeight="1">
      <c r="A1370" s="12">
        <f t="shared" si="4"/>
        <v>3368</v>
      </c>
      <c r="B1370" s="30" t="s">
        <v>10627</v>
      </c>
      <c r="C1370" s="7" t="str">
        <f t="shared" si="6"/>
        <v>🔊</v>
      </c>
      <c r="D1370" s="8" t="s">
        <v>10628</v>
      </c>
      <c r="E1370" s="6" t="s">
        <v>13</v>
      </c>
      <c r="F1370" s="12" t="str">
        <f>IFERROR(__xludf.DUMMYFUNCTION("GOOGLETRANSLATE(B1370,""zh_cn"",""vi"")"),"gặp")</f>
        <v>gặp</v>
      </c>
      <c r="G1370" s="20" t="s">
        <v>10629</v>
      </c>
      <c r="H1370" s="6"/>
      <c r="I1370" s="11" t="b">
        <f t="shared" si="2"/>
        <v>0</v>
      </c>
      <c r="J1370" s="24"/>
      <c r="K1370" s="11" t="b">
        <f t="shared" si="3"/>
        <v>0</v>
      </c>
    </row>
    <row r="1371" ht="22.5" customHeight="1">
      <c r="A1371" s="12">
        <f t="shared" si="4"/>
        <v>3369</v>
      </c>
      <c r="B1371" s="30" t="s">
        <v>10630</v>
      </c>
      <c r="C1371" s="7" t="str">
        <f t="shared" si="6"/>
        <v>🔊</v>
      </c>
      <c r="D1371" s="8" t="s">
        <v>10631</v>
      </c>
      <c r="E1371" s="6" t="s">
        <v>27</v>
      </c>
      <c r="F1371" s="12" t="str">
        <f>IFERROR(__xludf.DUMMYFUNCTION("GOOGLETRANSLATE(B1371,""zh_cn"",""vi"")"),"Phim ảnh")</f>
        <v>Phim ảnh</v>
      </c>
      <c r="G1371" s="20" t="s">
        <v>10632</v>
      </c>
      <c r="H1371" s="6"/>
      <c r="I1371" s="11" t="b">
        <f t="shared" si="2"/>
        <v>0</v>
      </c>
      <c r="J1371" s="24"/>
      <c r="K1371" s="11" t="b">
        <f t="shared" si="3"/>
        <v>0</v>
      </c>
    </row>
    <row r="1372" ht="22.5" customHeight="1">
      <c r="A1372" s="12">
        <f t="shared" si="4"/>
        <v>3370</v>
      </c>
      <c r="B1372" s="30" t="s">
        <v>10633</v>
      </c>
      <c r="C1372" s="7" t="str">
        <f t="shared" si="6"/>
        <v>🔊</v>
      </c>
      <c r="D1372" s="8" t="s">
        <v>10634</v>
      </c>
      <c r="E1372" s="6" t="s">
        <v>27</v>
      </c>
      <c r="F1372" s="12" t="str">
        <f>IFERROR(__xludf.DUMMYFUNCTION("GOOGLETRANSLATE(B1372,""zh_cn"",""vi"")"),"Điện ảnh và truyền hình")</f>
        <v>Điện ảnh và truyền hình</v>
      </c>
      <c r="G1372" s="20" t="s">
        <v>10635</v>
      </c>
      <c r="H1372" s="6"/>
      <c r="I1372" s="11" t="b">
        <f t="shared" si="2"/>
        <v>0</v>
      </c>
      <c r="J1372" s="24"/>
      <c r="K1372" s="11" t="b">
        <f t="shared" si="3"/>
        <v>0</v>
      </c>
    </row>
    <row r="1373" ht="22.5" customHeight="1">
      <c r="A1373" s="12">
        <f t="shared" si="4"/>
        <v>3371</v>
      </c>
      <c r="B1373" s="30" t="s">
        <v>10636</v>
      </c>
      <c r="C1373" s="7" t="str">
        <f t="shared" si="6"/>
        <v>🔊</v>
      </c>
      <c r="D1373" s="8" t="s">
        <v>10637</v>
      </c>
      <c r="E1373" s="6" t="s">
        <v>27</v>
      </c>
      <c r="F1373" s="12" t="str">
        <f>IFERROR(__xludf.DUMMYFUNCTION("GOOGLETRANSLATE(B1373,""zh_cn"",""vi"")"),"Dinh dưỡng")</f>
        <v>Dinh dưỡng</v>
      </c>
      <c r="G1373" s="20" t="s">
        <v>10638</v>
      </c>
      <c r="H1373" s="6"/>
      <c r="I1373" s="11" t="b">
        <f t="shared" si="2"/>
        <v>0</v>
      </c>
      <c r="J1373" s="24"/>
      <c r="K1373" s="11" t="b">
        <f t="shared" si="3"/>
        <v>0</v>
      </c>
    </row>
    <row r="1374" ht="22.5" customHeight="1">
      <c r="A1374" s="12">
        <f t="shared" si="4"/>
        <v>3372</v>
      </c>
      <c r="B1374" s="30" t="s">
        <v>10639</v>
      </c>
      <c r="C1374" s="7" t="str">
        <f t="shared" si="6"/>
        <v>🔊</v>
      </c>
      <c r="D1374" s="8" t="s">
        <v>10640</v>
      </c>
      <c r="E1374" s="6" t="s">
        <v>13</v>
      </c>
      <c r="F1374" s="12" t="str">
        <f>IFERROR(__xludf.DUMMYFUNCTION("GOOGLETRANSLATE(B1374,""zh_cn"",""vi"")"),"Việc kinh doanh")</f>
        <v>Việc kinh doanh</v>
      </c>
      <c r="G1374" s="20" t="s">
        <v>10641</v>
      </c>
      <c r="H1374" s="6"/>
      <c r="I1374" s="11" t="b">
        <f t="shared" si="2"/>
        <v>0</v>
      </c>
      <c r="J1374" s="24"/>
      <c r="K1374" s="11" t="b">
        <f t="shared" si="3"/>
        <v>0</v>
      </c>
    </row>
    <row r="1375" ht="22.5" customHeight="1">
      <c r="A1375" s="12">
        <f t="shared" si="4"/>
        <v>3373</v>
      </c>
      <c r="B1375" s="30" t="s">
        <v>10642</v>
      </c>
      <c r="C1375" s="7" t="str">
        <f t="shared" si="6"/>
        <v>🔊</v>
      </c>
      <c r="D1375" s="8" t="s">
        <v>10643</v>
      </c>
      <c r="E1375" s="6" t="s">
        <v>368</v>
      </c>
      <c r="F1375" s="12" t="str">
        <f>IFERROR(__xludf.DUMMYFUNCTION("GOOGLETRANSLATE(B1375,""zh_cn"",""vi"")"),"ứng dụng")</f>
        <v>ứng dụng</v>
      </c>
      <c r="G1375" s="20" t="s">
        <v>10644</v>
      </c>
      <c r="H1375" s="6"/>
      <c r="I1375" s="11" t="b">
        <f t="shared" si="2"/>
        <v>0</v>
      </c>
      <c r="J1375" s="24"/>
      <c r="K1375" s="11" t="b">
        <f t="shared" si="3"/>
        <v>0</v>
      </c>
    </row>
    <row r="1376" ht="22.5" customHeight="1">
      <c r="A1376" s="12">
        <f t="shared" si="4"/>
        <v>3374</v>
      </c>
      <c r="B1376" s="30" t="s">
        <v>10645</v>
      </c>
      <c r="C1376" s="7" t="str">
        <f t="shared" si="6"/>
        <v>🔊</v>
      </c>
      <c r="D1376" s="8" t="s">
        <v>10646</v>
      </c>
      <c r="E1376" s="6" t="s">
        <v>13</v>
      </c>
      <c r="F1376" s="12" t="str">
        <f>IFERROR(__xludf.DUMMYFUNCTION("GOOGLETRANSLATE(B1376,""zh_cn"",""vi"")"),"Giới thiệu")</f>
        <v>Giới thiệu</v>
      </c>
      <c r="G1376" s="20" t="s">
        <v>10647</v>
      </c>
      <c r="H1376" s="6"/>
      <c r="I1376" s="11" t="b">
        <f t="shared" si="2"/>
        <v>0</v>
      </c>
      <c r="J1376" s="24"/>
      <c r="K1376" s="11" t="b">
        <f t="shared" si="3"/>
        <v>0</v>
      </c>
    </row>
    <row r="1377" ht="22.5" customHeight="1">
      <c r="A1377" s="12">
        <f t="shared" si="4"/>
        <v>3375</v>
      </c>
      <c r="B1377" s="30" t="s">
        <v>10648</v>
      </c>
      <c r="C1377" s="7" t="str">
        <f t="shared" si="6"/>
        <v>🔊</v>
      </c>
      <c r="D1377" s="8" t="s">
        <v>10649</v>
      </c>
      <c r="E1377" s="6" t="s">
        <v>27</v>
      </c>
      <c r="F1377" s="12" t="str">
        <f>IFERROR(__xludf.DUMMYFUNCTION("GOOGLETRANSLATE(B1377,""zh_cn"",""vi"")"),"âm lượng")</f>
        <v>âm lượng</v>
      </c>
      <c r="G1377" s="20" t="s">
        <v>10650</v>
      </c>
      <c r="H1377" s="6"/>
      <c r="I1377" s="11" t="b">
        <f t="shared" si="2"/>
        <v>0</v>
      </c>
      <c r="J1377" s="24"/>
      <c r="K1377" s="11" t="b">
        <f t="shared" si="3"/>
        <v>0</v>
      </c>
    </row>
    <row r="1378" ht="22.5" customHeight="1">
      <c r="A1378" s="12">
        <f t="shared" si="4"/>
        <v>3376</v>
      </c>
      <c r="B1378" s="30" t="s">
        <v>10651</v>
      </c>
      <c r="C1378" s="7" t="str">
        <f t="shared" si="6"/>
        <v>🔊</v>
      </c>
      <c r="D1378" s="8" t="s">
        <v>10652</v>
      </c>
      <c r="E1378" s="6" t="s">
        <v>27</v>
      </c>
      <c r="F1378" s="12" t="str">
        <f>IFERROR(__xludf.DUMMYFUNCTION("GOOGLETRANSLATE(B1378,""zh_cn"",""vi"")"),"ăn kiêng")</f>
        <v>ăn kiêng</v>
      </c>
      <c r="G1378" s="20" t="s">
        <v>10653</v>
      </c>
      <c r="H1378" s="6"/>
      <c r="I1378" s="11" t="b">
        <f t="shared" si="2"/>
        <v>0</v>
      </c>
      <c r="J1378" s="24"/>
      <c r="K1378" s="11" t="b">
        <f t="shared" si="3"/>
        <v>0</v>
      </c>
    </row>
    <row r="1379" ht="22.5" customHeight="1">
      <c r="A1379" s="12">
        <f t="shared" si="4"/>
        <v>3377</v>
      </c>
      <c r="B1379" s="30" t="s">
        <v>10654</v>
      </c>
      <c r="C1379" s="7" t="str">
        <f t="shared" si="6"/>
        <v>🔊</v>
      </c>
      <c r="D1379" s="8" t="s">
        <v>10655</v>
      </c>
      <c r="E1379" s="6" t="s">
        <v>13</v>
      </c>
      <c r="F1379" s="12" t="str">
        <f>IFERROR(__xludf.DUMMYFUNCTION("GOOGLETRANSLATE(B1379,""zh_cn"",""vi"")"),"in")</f>
        <v>in</v>
      </c>
      <c r="G1379" s="20" t="s">
        <v>10656</v>
      </c>
      <c r="H1379" s="6"/>
      <c r="I1379" s="11" t="b">
        <f t="shared" si="2"/>
        <v>0</v>
      </c>
      <c r="J1379" s="24"/>
      <c r="K1379" s="11" t="b">
        <f t="shared" si="3"/>
        <v>0</v>
      </c>
    </row>
    <row r="1380" ht="22.5" customHeight="1">
      <c r="A1380" s="12">
        <f t="shared" si="4"/>
        <v>3378</v>
      </c>
      <c r="B1380" s="30" t="s">
        <v>10657</v>
      </c>
      <c r="C1380" s="7" t="str">
        <f t="shared" si="6"/>
        <v>🔊</v>
      </c>
      <c r="D1380" s="8" t="s">
        <v>10658</v>
      </c>
      <c r="E1380" s="6" t="s">
        <v>27</v>
      </c>
      <c r="F1380" s="12" t="str">
        <f>IFERROR(__xludf.DUMMYFUNCTION("GOOGLETRANSLATE(B1380,""zh_cn"",""vi"")"),"nhân tố")</f>
        <v>nhân tố</v>
      </c>
      <c r="G1380" s="20" t="s">
        <v>10659</v>
      </c>
      <c r="H1380" s="6"/>
      <c r="I1380" s="11" t="b">
        <f t="shared" si="2"/>
        <v>0</v>
      </c>
      <c r="J1380" s="24"/>
      <c r="K1380" s="11" t="b">
        <f t="shared" si="3"/>
        <v>0</v>
      </c>
    </row>
    <row r="1381" ht="22.5" customHeight="1">
      <c r="A1381" s="12">
        <f t="shared" si="4"/>
        <v>3379</v>
      </c>
      <c r="B1381" s="30" t="s">
        <v>10660</v>
      </c>
      <c r="C1381" s="7" t="str">
        <f t="shared" si="6"/>
        <v>🔊</v>
      </c>
      <c r="D1381" s="8" t="s">
        <v>10661</v>
      </c>
      <c r="E1381" s="6" t="s">
        <v>61</v>
      </c>
      <c r="F1381" s="12" t="str">
        <f>IFERROR(__xludf.DUMMYFUNCTION("GOOGLETRANSLATE(B1381,""zh_cn"",""vi"")"),"vẫn")</f>
        <v>vẫn</v>
      </c>
      <c r="G1381" s="20" t="s">
        <v>10662</v>
      </c>
      <c r="H1381" s="6"/>
      <c r="I1381" s="11" t="b">
        <f t="shared" si="2"/>
        <v>0</v>
      </c>
      <c r="J1381" s="24"/>
      <c r="K1381" s="11" t="b">
        <f t="shared" si="3"/>
        <v>0</v>
      </c>
    </row>
    <row r="1382" ht="22.5" customHeight="1">
      <c r="A1382" s="12">
        <f t="shared" si="4"/>
        <v>3380</v>
      </c>
      <c r="B1382" s="30" t="s">
        <v>10663</v>
      </c>
      <c r="C1382" s="7" t="str">
        <f t="shared" si="6"/>
        <v>🔊</v>
      </c>
      <c r="D1382" s="8" t="s">
        <v>10664</v>
      </c>
      <c r="E1382" s="6" t="s">
        <v>232</v>
      </c>
      <c r="F1382" s="12" t="str">
        <f>IFERROR(__xludf.DUMMYFUNCTION("GOOGLETRANSLATE(B1382,""zh_cn"",""vi"")"),"ý thức")</f>
        <v>ý thức</v>
      </c>
      <c r="G1382" s="20" t="s">
        <v>10665</v>
      </c>
      <c r="H1382" s="6"/>
      <c r="I1382" s="11" t="b">
        <f t="shared" si="2"/>
        <v>0</v>
      </c>
      <c r="J1382" s="24"/>
      <c r="K1382" s="11" t="b">
        <f t="shared" si="3"/>
        <v>0</v>
      </c>
    </row>
    <row r="1383" ht="22.5" customHeight="1">
      <c r="A1383" s="12">
        <f t="shared" si="4"/>
        <v>3381</v>
      </c>
      <c r="B1383" s="30" t="s">
        <v>10666</v>
      </c>
      <c r="C1383" s="7" t="str">
        <f t="shared" si="6"/>
        <v>🔊</v>
      </c>
      <c r="D1383" s="8" t="s">
        <v>10667</v>
      </c>
      <c r="E1383" s="6" t="s">
        <v>1164</v>
      </c>
      <c r="F1383" s="12" t="str">
        <f>IFERROR(__xludf.DUMMYFUNCTION("GOOGLETRANSLATE(B1383,""zh_cn"",""vi"")"),"Tai nạn")</f>
        <v>Tai nạn</v>
      </c>
      <c r="G1383" s="20" t="s">
        <v>10668</v>
      </c>
      <c r="H1383" s="6"/>
      <c r="I1383" s="11" t="b">
        <f t="shared" si="2"/>
        <v>0</v>
      </c>
      <c r="J1383" s="24"/>
      <c r="K1383" s="11" t="b">
        <f t="shared" si="3"/>
        <v>0</v>
      </c>
    </row>
    <row r="1384" ht="22.5" customHeight="1">
      <c r="A1384" s="12">
        <f t="shared" si="4"/>
        <v>3382</v>
      </c>
      <c r="B1384" s="30" t="s">
        <v>10669</v>
      </c>
      <c r="C1384" s="7" t="str">
        <f t="shared" si="6"/>
        <v>🔊</v>
      </c>
      <c r="D1384" s="8" t="s">
        <v>10670</v>
      </c>
      <c r="E1384" s="6" t="s">
        <v>13</v>
      </c>
      <c r="F1384" s="12" t="str">
        <f>IFERROR(__xludf.DUMMYFUNCTION("GOOGLETRANSLATE(B1384,""zh_cn"",""vi"")"),"nghĩa là")</f>
        <v>nghĩa là</v>
      </c>
      <c r="G1384" s="20" t="s">
        <v>10671</v>
      </c>
      <c r="H1384" s="6"/>
      <c r="I1384" s="11" t="b">
        <f t="shared" si="2"/>
        <v>0</v>
      </c>
      <c r="J1384" s="24"/>
      <c r="K1384" s="11" t="b">
        <f t="shared" si="3"/>
        <v>0</v>
      </c>
    </row>
    <row r="1385" ht="22.5" customHeight="1">
      <c r="A1385" s="12">
        <f t="shared" si="4"/>
        <v>3383</v>
      </c>
      <c r="B1385" s="30" t="s">
        <v>10672</v>
      </c>
      <c r="C1385" s="7" t="str">
        <f t="shared" si="6"/>
        <v>🔊</v>
      </c>
      <c r="D1385" s="8" t="s">
        <v>10673</v>
      </c>
      <c r="E1385" s="6" t="s">
        <v>27</v>
      </c>
      <c r="F1385" s="12" t="str">
        <f>IFERROR(__xludf.DUMMYFUNCTION("GOOGLETRANSLATE(B1385,""zh_cn"",""vi"")"),"nghi ngờ")</f>
        <v>nghi ngờ</v>
      </c>
      <c r="G1385" s="20" t="s">
        <v>10674</v>
      </c>
      <c r="H1385" s="6"/>
      <c r="I1385" s="11" t="b">
        <f t="shared" si="2"/>
        <v>0</v>
      </c>
      <c r="J1385" s="24"/>
      <c r="K1385" s="11" t="b">
        <f t="shared" si="3"/>
        <v>0</v>
      </c>
    </row>
    <row r="1386" ht="22.5" customHeight="1">
      <c r="A1386" s="12">
        <f t="shared" si="4"/>
        <v>3384</v>
      </c>
      <c r="B1386" s="30" t="s">
        <v>10675</v>
      </c>
      <c r="C1386" s="7" t="str">
        <f t="shared" si="6"/>
        <v>🔊</v>
      </c>
      <c r="D1386" s="8" t="s">
        <v>10676</v>
      </c>
      <c r="E1386" s="6" t="s">
        <v>3430</v>
      </c>
      <c r="F1386" s="12" t="str">
        <f>IFERROR(__xludf.DUMMYFUNCTION("GOOGLETRANSLATE(B1386,""zh_cn"",""vi"")"),"nghĩa vụ")</f>
        <v>nghĩa vụ</v>
      </c>
      <c r="G1386" s="20" t="s">
        <v>10677</v>
      </c>
      <c r="H1386" s="6"/>
      <c r="I1386" s="11" t="b">
        <f t="shared" si="2"/>
        <v>0</v>
      </c>
      <c r="J1386" s="24"/>
      <c r="K1386" s="11" t="b">
        <f t="shared" si="3"/>
        <v>0</v>
      </c>
    </row>
    <row r="1387" ht="22.5" customHeight="1">
      <c r="A1387" s="12">
        <f t="shared" si="4"/>
        <v>3385</v>
      </c>
      <c r="B1387" s="30" t="s">
        <v>10678</v>
      </c>
      <c r="C1387" s="7" t="str">
        <f t="shared" si="6"/>
        <v>🔊</v>
      </c>
      <c r="D1387" s="8" t="s">
        <v>10679</v>
      </c>
      <c r="E1387" s="6" t="s">
        <v>27</v>
      </c>
      <c r="F1387" s="12" t="str">
        <f>IFERROR(__xludf.DUMMYFUNCTION("GOOGLETRANSLATE(B1387,""zh_cn"",""vi"")"),"thuốc")</f>
        <v>thuốc</v>
      </c>
      <c r="G1387" s="20" t="s">
        <v>10680</v>
      </c>
      <c r="H1387" s="6"/>
      <c r="I1387" s="11" t="b">
        <f t="shared" si="2"/>
        <v>0</v>
      </c>
      <c r="J1387" s="24"/>
      <c r="K1387" s="11" t="b">
        <f t="shared" si="3"/>
        <v>0</v>
      </c>
    </row>
    <row r="1388" ht="22.5" customHeight="1">
      <c r="A1388" s="12">
        <f t="shared" si="4"/>
        <v>3386</v>
      </c>
      <c r="B1388" s="30" t="s">
        <v>10681</v>
      </c>
      <c r="C1388" s="7" t="str">
        <f t="shared" si="6"/>
        <v>🔊</v>
      </c>
      <c r="D1388" s="8" t="s">
        <v>10682</v>
      </c>
      <c r="E1388" s="6" t="s">
        <v>27</v>
      </c>
      <c r="F1388" s="12" t="str">
        <f>IFERROR(__xludf.DUMMYFUNCTION("GOOGLETRANSLATE(B1388,""zh_cn"",""vi"")"),"ý nghĩa")</f>
        <v>ý nghĩa</v>
      </c>
      <c r="G1388" s="20" t="s">
        <v>10683</v>
      </c>
      <c r="H1388" s="6"/>
      <c r="I1388" s="11" t="b">
        <f t="shared" si="2"/>
        <v>0</v>
      </c>
      <c r="J1388" s="24"/>
      <c r="K1388" s="11" t="b">
        <f t="shared" si="3"/>
        <v>0</v>
      </c>
    </row>
    <row r="1389" ht="22.5" customHeight="1">
      <c r="A1389" s="12">
        <f t="shared" si="4"/>
        <v>3387</v>
      </c>
      <c r="B1389" s="30" t="s">
        <v>10684</v>
      </c>
      <c r="C1389" s="7" t="str">
        <f t="shared" si="6"/>
        <v>🔊</v>
      </c>
      <c r="D1389" s="8" t="s">
        <v>10685</v>
      </c>
      <c r="E1389" s="6" t="s">
        <v>1308</v>
      </c>
      <c r="F1389" s="12" t="str">
        <f>IFERROR(__xludf.DUMMYFUNCTION("GOOGLETRANSLATE(B1389,""zh_cn"",""vi"")"),"Nhất quán")</f>
        <v>Nhất quán</v>
      </c>
      <c r="G1389" s="20" t="s">
        <v>10686</v>
      </c>
      <c r="H1389" s="6"/>
      <c r="I1389" s="11" t="b">
        <f t="shared" si="2"/>
        <v>0</v>
      </c>
      <c r="J1389" s="24"/>
      <c r="K1389" s="11" t="b">
        <f t="shared" si="3"/>
        <v>0</v>
      </c>
    </row>
    <row r="1390" ht="22.5" customHeight="1">
      <c r="A1390" s="12">
        <f t="shared" si="4"/>
        <v>3388</v>
      </c>
      <c r="B1390" s="30" t="s">
        <v>10687</v>
      </c>
      <c r="C1390" s="7" t="str">
        <f t="shared" si="6"/>
        <v>🔊</v>
      </c>
      <c r="D1390" s="8" t="s">
        <v>10688</v>
      </c>
      <c r="E1390" s="6" t="s">
        <v>13</v>
      </c>
      <c r="F1390" s="12" t="str">
        <f>IFERROR(__xludf.DUMMYFUNCTION("GOOGLETRANSLATE(B1390,""zh_cn"",""vi"")"),"Ôm")</f>
        <v>Ôm</v>
      </c>
      <c r="G1390" s="20" t="s">
        <v>10689</v>
      </c>
      <c r="H1390" s="6"/>
      <c r="I1390" s="11" t="b">
        <f t="shared" si="2"/>
        <v>0</v>
      </c>
      <c r="J1390" s="24"/>
      <c r="K1390" s="11" t="b">
        <f t="shared" si="3"/>
        <v>0</v>
      </c>
    </row>
    <row r="1391" ht="22.5" customHeight="1">
      <c r="A1391" s="12">
        <f t="shared" si="4"/>
        <v>3389</v>
      </c>
      <c r="B1391" s="30" t="s">
        <v>10690</v>
      </c>
      <c r="C1391" s="7" t="str">
        <f t="shared" si="6"/>
        <v>🔊</v>
      </c>
      <c r="D1391" s="8" t="s">
        <v>10691</v>
      </c>
      <c r="E1391" s="6" t="s">
        <v>27</v>
      </c>
      <c r="F1391" s="12" t="str">
        <f>IFERROR(__xludf.DUMMYFUNCTION("GOOGLETRANSLATE(B1391,""zh_cn"",""vi"")"),"cách sử dụng")</f>
        <v>cách sử dụng</v>
      </c>
      <c r="G1391" s="20" t="s">
        <v>10692</v>
      </c>
      <c r="H1391" s="6"/>
      <c r="I1391" s="11" t="b">
        <f t="shared" si="2"/>
        <v>0</v>
      </c>
      <c r="J1391" s="24"/>
      <c r="K1391" s="11" t="b">
        <f t="shared" si="3"/>
        <v>0</v>
      </c>
    </row>
    <row r="1392" ht="22.5" customHeight="1">
      <c r="A1392" s="12">
        <f t="shared" si="4"/>
        <v>3390</v>
      </c>
      <c r="B1392" s="30" t="s">
        <v>10693</v>
      </c>
      <c r="C1392" s="7" t="str">
        <f t="shared" si="6"/>
        <v>🔊</v>
      </c>
      <c r="D1392" s="8" t="s">
        <v>10694</v>
      </c>
      <c r="E1392" s="6" t="s">
        <v>27</v>
      </c>
      <c r="F1392" s="12" t="str">
        <f>IFERROR(__xludf.DUMMYFUNCTION("GOOGLETRANSLATE(B1392,""zh_cn"",""vi"")"),"người dùng")</f>
        <v>người dùng</v>
      </c>
      <c r="G1392" s="20" t="s">
        <v>10695</v>
      </c>
      <c r="H1392" s="6"/>
      <c r="I1392" s="11" t="b">
        <f t="shared" si="2"/>
        <v>0</v>
      </c>
      <c r="J1392" s="24"/>
      <c r="K1392" s="11" t="b">
        <f t="shared" si="3"/>
        <v>0</v>
      </c>
    </row>
    <row r="1393" ht="22.5" customHeight="1">
      <c r="A1393" s="12">
        <f t="shared" si="4"/>
        <v>3391</v>
      </c>
      <c r="B1393" s="30" t="s">
        <v>10696</v>
      </c>
      <c r="C1393" s="7" t="str">
        <f t="shared" si="6"/>
        <v>🔊</v>
      </c>
      <c r="D1393" s="8" t="s">
        <v>10697</v>
      </c>
      <c r="E1393" s="6" t="s">
        <v>13</v>
      </c>
      <c r="F1393" s="12" t="str">
        <f>IFERROR(__xludf.DUMMYFUNCTION("GOOGLETRANSLATE(B1393,""zh_cn"",""vi"")"),"Lực lượng")</f>
        <v>Lực lượng</v>
      </c>
      <c r="G1393" s="20" t="s">
        <v>10698</v>
      </c>
      <c r="H1393" s="6"/>
      <c r="I1393" s="11" t="b">
        <f t="shared" si="2"/>
        <v>0</v>
      </c>
      <c r="J1393" s="24"/>
      <c r="K1393" s="11" t="b">
        <f t="shared" si="3"/>
        <v>0</v>
      </c>
    </row>
    <row r="1394" ht="22.5" customHeight="1">
      <c r="A1394" s="12">
        <f t="shared" si="4"/>
        <v>3392</v>
      </c>
      <c r="B1394" s="30" t="s">
        <v>10699</v>
      </c>
      <c r="C1394" s="7" t="str">
        <f t="shared" si="6"/>
        <v>🔊</v>
      </c>
      <c r="D1394" s="8" t="s">
        <v>10700</v>
      </c>
      <c r="E1394" s="6" t="s">
        <v>27</v>
      </c>
      <c r="F1394" s="12" t="str">
        <f>IFERROR(__xludf.DUMMYFUNCTION("GOOGLETRANSLATE(B1394,""zh_cn"",""vi"")"),"Quân nhu")</f>
        <v>Quân nhu</v>
      </c>
      <c r="G1394" s="20" t="s">
        <v>10701</v>
      </c>
      <c r="H1394" s="6"/>
      <c r="I1394" s="11" t="b">
        <f t="shared" si="2"/>
        <v>0</v>
      </c>
      <c r="J1394" s="24"/>
      <c r="K1394" s="11" t="b">
        <f t="shared" si="3"/>
        <v>0</v>
      </c>
    </row>
    <row r="1395" ht="22.5" customHeight="1">
      <c r="A1395" s="12">
        <f t="shared" si="4"/>
        <v>3393</v>
      </c>
      <c r="B1395" s="30" t="s">
        <v>10702</v>
      </c>
      <c r="C1395" s="7" t="str">
        <f t="shared" si="6"/>
        <v>🔊</v>
      </c>
      <c r="D1395" s="8" t="s">
        <v>10703</v>
      </c>
      <c r="E1395" s="6" t="s">
        <v>27</v>
      </c>
      <c r="F1395" s="12" t="str">
        <f>IFERROR(__xludf.DUMMYFUNCTION("GOOGLETRANSLATE(B1395,""zh_cn"",""vi"")"),"lòng can đảm")</f>
        <v>lòng can đảm</v>
      </c>
      <c r="G1395" s="20" t="s">
        <v>10704</v>
      </c>
      <c r="H1395" s="6"/>
      <c r="I1395" s="11" t="b">
        <f t="shared" si="2"/>
        <v>0</v>
      </c>
      <c r="J1395" s="24"/>
      <c r="K1395" s="11" t="b">
        <f t="shared" si="3"/>
        <v>0</v>
      </c>
    </row>
    <row r="1396" ht="22.5" customHeight="1">
      <c r="A1396" s="12">
        <f t="shared" si="4"/>
        <v>3394</v>
      </c>
      <c r="B1396" s="30" t="s">
        <v>10705</v>
      </c>
      <c r="C1396" s="7" t="str">
        <f t="shared" si="6"/>
        <v>🔊</v>
      </c>
      <c r="D1396" s="8" t="s">
        <v>10706</v>
      </c>
      <c r="E1396" s="6" t="s">
        <v>27</v>
      </c>
      <c r="F1396" s="12" t="str">
        <f>IFERROR(__xludf.DUMMYFUNCTION("GOOGLETRANSLATE(B1396,""zh_cn"",""vi"")"),"sử dụng")</f>
        <v>sử dụng</v>
      </c>
      <c r="G1396" s="20" t="s">
        <v>10707</v>
      </c>
      <c r="H1396" s="6"/>
      <c r="I1396" s="11" t="b">
        <f t="shared" si="2"/>
        <v>0</v>
      </c>
      <c r="J1396" s="24"/>
      <c r="K1396" s="11" t="b">
        <f t="shared" si="3"/>
        <v>0</v>
      </c>
    </row>
    <row r="1397" ht="22.5" customHeight="1">
      <c r="A1397" s="12">
        <f t="shared" si="4"/>
        <v>3395</v>
      </c>
      <c r="B1397" s="30" t="s">
        <v>10708</v>
      </c>
      <c r="C1397" s="7" t="str">
        <f t="shared" si="6"/>
        <v>🔊</v>
      </c>
      <c r="D1397" s="8" t="s">
        <v>10709</v>
      </c>
      <c r="E1397" s="6" t="s">
        <v>13</v>
      </c>
      <c r="F1397" s="12" t="str">
        <f>IFERROR(__xludf.DUMMYFUNCTION("GOOGLETRANSLATE(B1397,""zh_cn"",""vi"")"),"có")</f>
        <v>có</v>
      </c>
      <c r="G1397" s="20" t="s">
        <v>10710</v>
      </c>
      <c r="H1397" s="6"/>
      <c r="I1397" s="11" t="b">
        <f t="shared" si="2"/>
        <v>0</v>
      </c>
      <c r="J1397" s="24"/>
      <c r="K1397" s="11" t="b">
        <f t="shared" si="3"/>
        <v>0</v>
      </c>
    </row>
    <row r="1398" ht="22.5" customHeight="1">
      <c r="A1398" s="12">
        <f t="shared" si="4"/>
        <v>3396</v>
      </c>
      <c r="B1398" s="30" t="s">
        <v>10711</v>
      </c>
      <c r="C1398" s="7" t="str">
        <f t="shared" si="6"/>
        <v>🔊</v>
      </c>
      <c r="D1398" s="8" t="s">
        <v>10712</v>
      </c>
      <c r="E1398" s="14"/>
      <c r="F1398" s="12" t="str">
        <f>IFERROR(__xludf.DUMMYFUNCTION("GOOGLETRANSLATE(B1398,""zh_cn"",""vi"")"),"như vậy")</f>
        <v>như vậy</v>
      </c>
      <c r="G1398" s="20" t="s">
        <v>10713</v>
      </c>
      <c r="H1398" s="6"/>
      <c r="I1398" s="11" t="b">
        <f t="shared" si="2"/>
        <v>0</v>
      </c>
      <c r="J1398" s="24"/>
      <c r="K1398" s="11" t="b">
        <f t="shared" si="3"/>
        <v>0</v>
      </c>
    </row>
    <row r="1399" ht="22.5" customHeight="1">
      <c r="A1399" s="12">
        <f t="shared" si="4"/>
        <v>3397</v>
      </c>
      <c r="B1399" s="30" t="s">
        <v>10714</v>
      </c>
      <c r="C1399" s="7" t="str">
        <f t="shared" si="6"/>
        <v>🔊</v>
      </c>
      <c r="D1399" s="8" t="s">
        <v>10715</v>
      </c>
      <c r="E1399" s="14"/>
      <c r="F1399" s="12" t="str">
        <f>IFERROR(__xludf.DUMMYFUNCTION("GOOGLETRANSLATE(B1399,""zh_cn"",""vi"")"),"có hại")</f>
        <v>có hại</v>
      </c>
      <c r="G1399" s="20" t="s">
        <v>10716</v>
      </c>
      <c r="H1399" s="6"/>
      <c r="I1399" s="11" t="b">
        <f t="shared" si="2"/>
        <v>0</v>
      </c>
      <c r="J1399" s="24"/>
      <c r="K1399" s="11" t="b">
        <f t="shared" si="3"/>
        <v>0</v>
      </c>
    </row>
    <row r="1400" ht="22.5" customHeight="1">
      <c r="A1400" s="12">
        <f t="shared" si="4"/>
        <v>3398</v>
      </c>
      <c r="B1400" s="30" t="s">
        <v>10717</v>
      </c>
      <c r="C1400" s="7" t="str">
        <f t="shared" si="6"/>
        <v>🔊</v>
      </c>
      <c r="D1400" s="8" t="s">
        <v>10718</v>
      </c>
      <c r="E1400" s="6" t="s">
        <v>27</v>
      </c>
      <c r="F1400" s="12" t="str">
        <f>IFERROR(__xludf.DUMMYFUNCTION("GOOGLETRANSLATE(B1400,""zh_cn"",""vi"")"),"mẫu giáo")</f>
        <v>mẫu giáo</v>
      </c>
      <c r="G1400" s="20" t="s">
        <v>10719</v>
      </c>
      <c r="H1400" s="6"/>
      <c r="I1400" s="11" t="b">
        <f t="shared" si="2"/>
        <v>0</v>
      </c>
      <c r="J1400" s="24"/>
      <c r="K1400" s="11" t="b">
        <f t="shared" si="3"/>
        <v>0</v>
      </c>
    </row>
    <row r="1401" ht="22.5" customHeight="1">
      <c r="A1401" s="12">
        <f t="shared" si="4"/>
        <v>3399</v>
      </c>
      <c r="B1401" s="30" t="s">
        <v>10720</v>
      </c>
      <c r="C1401" s="7" t="str">
        <f t="shared" si="6"/>
        <v>🔊</v>
      </c>
      <c r="D1401" s="8" t="s">
        <v>10721</v>
      </c>
      <c r="E1401" s="6" t="s">
        <v>99</v>
      </c>
      <c r="F1401" s="12" t="str">
        <f>IFERROR(__xludf.DUMMYFUNCTION("GOOGLETRANSLATE(B1401,""zh_cn"",""vi"")"),"giảm giá")</f>
        <v>giảm giá</v>
      </c>
      <c r="G1401" s="20" t="s">
        <v>10722</v>
      </c>
      <c r="H1401" s="6"/>
      <c r="I1401" s="11" t="b">
        <f t="shared" si="2"/>
        <v>0</v>
      </c>
      <c r="J1401" s="24"/>
      <c r="K1401" s="11" t="b">
        <f t="shared" si="3"/>
        <v>0</v>
      </c>
    </row>
    <row r="1402" ht="22.5" customHeight="1">
      <c r="A1402" s="12">
        <f t="shared" si="4"/>
        <v>3400</v>
      </c>
      <c r="B1402" s="30" t="s">
        <v>10723</v>
      </c>
      <c r="C1402" s="7" t="str">
        <f t="shared" si="6"/>
        <v>🔊</v>
      </c>
      <c r="D1402" s="8" t="s">
        <v>10724</v>
      </c>
      <c r="E1402" s="6" t="s">
        <v>13</v>
      </c>
      <c r="F1402" s="12" t="str">
        <f>IFERROR(__xludf.DUMMYFUNCTION("GOOGLETRANSLATE(B1402,""zh_cn"",""vi"")"),"gửi qua bưu điện")</f>
        <v>gửi qua bưu điện</v>
      </c>
      <c r="G1402" s="20" t="s">
        <v>10725</v>
      </c>
      <c r="H1402" s="6"/>
      <c r="I1402" s="11" t="b">
        <f t="shared" si="2"/>
        <v>0</v>
      </c>
      <c r="J1402" s="24"/>
      <c r="K1402" s="11" t="b">
        <f t="shared" si="3"/>
        <v>0</v>
      </c>
    </row>
    <row r="1403" ht="22.5" customHeight="1">
      <c r="A1403" s="12">
        <f t="shared" si="4"/>
        <v>3401</v>
      </c>
      <c r="B1403" s="30" t="s">
        <v>10726</v>
      </c>
      <c r="C1403" s="7" t="str">
        <f t="shared" si="6"/>
        <v>🔊</v>
      </c>
      <c r="D1403" s="8" t="s">
        <v>10727</v>
      </c>
      <c r="E1403" s="6" t="s">
        <v>99</v>
      </c>
      <c r="F1403" s="12" t="str">
        <f>IFERROR(__xludf.DUMMYFUNCTION("GOOGLETRANSLATE(B1403,""zh_cn"",""vi"")"),"dài")</f>
        <v>dài</v>
      </c>
      <c r="G1403" s="20" t="s">
        <v>10728</v>
      </c>
      <c r="H1403" s="6"/>
      <c r="I1403" s="11" t="b">
        <f t="shared" si="2"/>
        <v>0</v>
      </c>
      <c r="J1403" s="24"/>
      <c r="K1403" s="11" t="b">
        <f t="shared" si="3"/>
        <v>0</v>
      </c>
    </row>
    <row r="1404" ht="22.5" customHeight="1">
      <c r="A1404" s="12">
        <f t="shared" si="4"/>
        <v>3402</v>
      </c>
      <c r="B1404" s="30" t="s">
        <v>10729</v>
      </c>
      <c r="C1404" s="7" t="str">
        <f t="shared" si="6"/>
        <v>🔊</v>
      </c>
      <c r="D1404" s="8" t="s">
        <v>10730</v>
      </c>
      <c r="E1404" s="6" t="s">
        <v>27</v>
      </c>
      <c r="F1404" s="12" t="str">
        <f>IFERROR(__xludf.DUMMYFUNCTION("GOOGLETRANSLATE(B1404,""zh_cn"",""vi"")"),"bưu điện")</f>
        <v>bưu điện</v>
      </c>
      <c r="G1404" s="20" t="s">
        <v>10731</v>
      </c>
      <c r="H1404" s="6"/>
      <c r="I1404" s="11" t="b">
        <f t="shared" si="2"/>
        <v>0</v>
      </c>
      <c r="J1404" s="24"/>
      <c r="K1404" s="11" t="b">
        <f t="shared" si="3"/>
        <v>0</v>
      </c>
    </row>
    <row r="1405" ht="22.5" customHeight="1">
      <c r="A1405" s="12">
        <f t="shared" si="4"/>
        <v>3403</v>
      </c>
      <c r="B1405" s="30" t="s">
        <v>10732</v>
      </c>
      <c r="C1405" s="7" t="str">
        <f t="shared" si="6"/>
        <v>🔊</v>
      </c>
      <c r="D1405" s="8" t="s">
        <v>10733</v>
      </c>
      <c r="E1405" s="6" t="s">
        <v>13</v>
      </c>
      <c r="F1405" s="12" t="str">
        <f>IFERROR(__xludf.DUMMYFUNCTION("GOOGLETRANSLATE(B1405,""zh_cn"",""vi"")"),"chuyến du lịch")</f>
        <v>chuyến du lịch</v>
      </c>
      <c r="G1405" s="20" t="s">
        <v>10734</v>
      </c>
      <c r="H1405" s="6"/>
      <c r="I1405" s="11" t="b">
        <f t="shared" si="2"/>
        <v>0</v>
      </c>
      <c r="J1405" s="24"/>
      <c r="K1405" s="11" t="b">
        <f t="shared" si="3"/>
        <v>0</v>
      </c>
    </row>
    <row r="1406" ht="22.5" customHeight="1">
      <c r="A1406" s="12">
        <f t="shared" si="4"/>
        <v>3404</v>
      </c>
      <c r="B1406" s="30" t="s">
        <v>10735</v>
      </c>
      <c r="C1406" s="7" t="str">
        <f t="shared" si="6"/>
        <v>🔊</v>
      </c>
      <c r="D1406" s="8" t="s">
        <v>10736</v>
      </c>
      <c r="E1406" s="6" t="s">
        <v>99</v>
      </c>
      <c r="F1406" s="12" t="str">
        <f>IFERROR(__xludf.DUMMYFUNCTION("GOOGLETRANSLATE(B1406,""zh_cn"",""vi"")"),"mạnh mẽ")</f>
        <v>mạnh mẽ</v>
      </c>
      <c r="G1406" s="20" t="s">
        <v>10737</v>
      </c>
      <c r="H1406" s="6"/>
      <c r="I1406" s="11" t="b">
        <f t="shared" si="2"/>
        <v>0</v>
      </c>
      <c r="J1406" s="24"/>
      <c r="K1406" s="11" t="b">
        <f t="shared" si="3"/>
        <v>0</v>
      </c>
    </row>
    <row r="1407" ht="22.5" customHeight="1">
      <c r="A1407" s="12">
        <f t="shared" si="4"/>
        <v>3405</v>
      </c>
      <c r="B1407" s="30" t="s">
        <v>10738</v>
      </c>
      <c r="C1407" s="7" t="str">
        <f t="shared" si="6"/>
        <v>🔊</v>
      </c>
      <c r="D1407" s="8" t="s">
        <v>10736</v>
      </c>
      <c r="E1407" s="6" t="s">
        <v>99</v>
      </c>
      <c r="F1407" s="12" t="str">
        <f>IFERROR(__xludf.DUMMYFUNCTION("GOOGLETRANSLATE(B1407,""zh_cn"",""vi"")"),"thuận lợi")</f>
        <v>thuận lợi</v>
      </c>
      <c r="G1407" s="20" t="s">
        <v>10739</v>
      </c>
      <c r="H1407" s="6"/>
      <c r="I1407" s="11" t="b">
        <f t="shared" si="2"/>
        <v>0</v>
      </c>
      <c r="J1407" s="24"/>
      <c r="K1407" s="11" t="b">
        <f t="shared" si="3"/>
        <v>0</v>
      </c>
    </row>
    <row r="1408" ht="22.5" customHeight="1">
      <c r="A1408" s="12">
        <f t="shared" si="4"/>
        <v>3406</v>
      </c>
      <c r="B1408" s="30" t="s">
        <v>10740</v>
      </c>
      <c r="C1408" s="7" t="str">
        <f t="shared" si="6"/>
        <v>🔊</v>
      </c>
      <c r="D1408" s="8" t="s">
        <v>10741</v>
      </c>
      <c r="E1408" s="6" t="s">
        <v>99</v>
      </c>
      <c r="F1408" s="12" t="str">
        <f>IFERROR(__xludf.DUMMYFUNCTION("GOOGLETRANSLATE(B1408,""zh_cn"",""vi"")"),"xuất sắc")</f>
        <v>xuất sắc</v>
      </c>
      <c r="G1408" s="20" t="s">
        <v>10742</v>
      </c>
      <c r="H1408" s="6"/>
      <c r="I1408" s="11" t="b">
        <f t="shared" si="2"/>
        <v>0</v>
      </c>
      <c r="J1408" s="24"/>
      <c r="K1408" s="11" t="b">
        <f t="shared" si="3"/>
        <v>0</v>
      </c>
    </row>
    <row r="1409" ht="22.5" customHeight="1">
      <c r="A1409" s="12">
        <f t="shared" si="4"/>
        <v>3407</v>
      </c>
      <c r="B1409" s="30" t="s">
        <v>10743</v>
      </c>
      <c r="C1409" s="7" t="str">
        <f t="shared" si="6"/>
        <v>🔊</v>
      </c>
      <c r="D1409" s="8" t="s">
        <v>10744</v>
      </c>
      <c r="E1409" s="6" t="s">
        <v>99</v>
      </c>
      <c r="F1409" s="12" t="str">
        <f>IFERROR(__xludf.DUMMYFUNCTION("GOOGLETRANSLATE(B1409,""zh_cn"",""vi"")"),"xinh đẹp")</f>
        <v>xinh đẹp</v>
      </c>
      <c r="G1409" s="20" t="s">
        <v>10745</v>
      </c>
      <c r="H1409" s="6"/>
      <c r="I1409" s="11" t="b">
        <f t="shared" si="2"/>
        <v>0</v>
      </c>
      <c r="J1409" s="24"/>
      <c r="K1409" s="11" t="b">
        <f t="shared" si="3"/>
        <v>0</v>
      </c>
    </row>
    <row r="1410" ht="22.5" customHeight="1">
      <c r="A1410" s="12">
        <f t="shared" si="4"/>
        <v>3408</v>
      </c>
      <c r="B1410" s="30" t="s">
        <v>10746</v>
      </c>
      <c r="C1410" s="7" t="str">
        <f t="shared" si="6"/>
        <v>🔊</v>
      </c>
      <c r="D1410" s="8" t="s">
        <v>10747</v>
      </c>
      <c r="E1410" s="6" t="s">
        <v>27</v>
      </c>
      <c r="F1410" s="12" t="str">
        <f>IFERROR(__xludf.DUMMYFUNCTION("GOOGLETRANSLATE(B1410,""zh_cn"",""vi"")"),"con tem")</f>
        <v>con tem</v>
      </c>
      <c r="G1410" s="20" t="s">
        <v>10748</v>
      </c>
      <c r="H1410" s="6"/>
      <c r="I1410" s="11" t="b">
        <f t="shared" si="2"/>
        <v>0</v>
      </c>
      <c r="J1410" s="24"/>
      <c r="K1410" s="11" t="b">
        <f t="shared" si="3"/>
        <v>0</v>
      </c>
    </row>
    <row r="1411" ht="22.5" customHeight="1">
      <c r="A1411" s="12">
        <f t="shared" si="4"/>
        <v>3409</v>
      </c>
      <c r="B1411" s="30" t="s">
        <v>10749</v>
      </c>
      <c r="C1411" s="7" t="str">
        <f t="shared" si="6"/>
        <v>🔊</v>
      </c>
      <c r="D1411" s="8" t="s">
        <v>10750</v>
      </c>
      <c r="E1411" s="6" t="s">
        <v>27</v>
      </c>
      <c r="F1411" s="12" t="str">
        <f>IFERROR(__xludf.DUMMYFUNCTION("GOOGLETRANSLATE(B1411,""zh_cn"",""vi"")"),"Thuận lợi")</f>
        <v>Thuận lợi</v>
      </c>
      <c r="G1411" s="20" t="s">
        <v>10751</v>
      </c>
      <c r="H1411" s="6"/>
      <c r="I1411" s="11" t="b">
        <f t="shared" si="2"/>
        <v>0</v>
      </c>
      <c r="J1411" s="24"/>
      <c r="K1411" s="11" t="b">
        <f t="shared" si="3"/>
        <v>0</v>
      </c>
    </row>
    <row r="1412" ht="22.5" customHeight="1">
      <c r="A1412" s="12">
        <f t="shared" si="4"/>
        <v>3410</v>
      </c>
      <c r="B1412" s="30" t="s">
        <v>10752</v>
      </c>
      <c r="C1412" s="7" t="str">
        <f t="shared" si="6"/>
        <v>🔊</v>
      </c>
      <c r="D1412" s="8" t="s">
        <v>10753</v>
      </c>
      <c r="E1412" s="6" t="s">
        <v>27</v>
      </c>
      <c r="F1412" s="12" t="str">
        <f>IFERROR(__xludf.DUMMYFUNCTION("GOOGLETRANSLATE(B1412,""zh_cn"",""vi"")"),"bánh quẩy chiên")</f>
        <v>bánh quẩy chiên</v>
      </c>
      <c r="G1412" s="20" t="s">
        <v>10754</v>
      </c>
      <c r="H1412" s="6"/>
      <c r="I1412" s="11" t="b">
        <f t="shared" si="2"/>
        <v>0</v>
      </c>
      <c r="J1412" s="24"/>
      <c r="K1412" s="11" t="b">
        <f t="shared" si="3"/>
        <v>0</v>
      </c>
    </row>
    <row r="1413" ht="22.5" customHeight="1">
      <c r="A1413" s="12">
        <f t="shared" si="4"/>
        <v>3411</v>
      </c>
      <c r="B1413" s="30" t="s">
        <v>10755</v>
      </c>
      <c r="C1413" s="7" t="str">
        <f t="shared" si="6"/>
        <v>🔊</v>
      </c>
      <c r="D1413" s="8" t="s">
        <v>10756</v>
      </c>
      <c r="E1413" s="6" t="s">
        <v>99</v>
      </c>
      <c r="F1413" s="12" t="str">
        <f>IFERROR(__xludf.DUMMYFUNCTION("GOOGLETRANSLATE(B1413,""zh_cn"",""vi"")"),"giới hạn")</f>
        <v>giới hạn</v>
      </c>
      <c r="G1413" s="20" t="s">
        <v>10757</v>
      </c>
      <c r="H1413" s="6"/>
      <c r="I1413" s="11" t="b">
        <f t="shared" si="2"/>
        <v>0</v>
      </c>
      <c r="J1413" s="24"/>
      <c r="K1413" s="11" t="b">
        <f t="shared" si="3"/>
        <v>0</v>
      </c>
    </row>
    <row r="1414" ht="22.5" customHeight="1">
      <c r="A1414" s="12">
        <f t="shared" si="4"/>
        <v>3412</v>
      </c>
      <c r="B1414" s="30" t="s">
        <v>10758</v>
      </c>
      <c r="C1414" s="7" t="str">
        <f t="shared" si="6"/>
        <v>🔊</v>
      </c>
      <c r="D1414" s="8" t="s">
        <v>6251</v>
      </c>
      <c r="E1414" s="6" t="s">
        <v>99</v>
      </c>
      <c r="F1414" s="12" t="str">
        <f>IFERROR(__xludf.DUMMYFUNCTION("GOOGLETRANSLATE(B1414,""zh_cn"",""vi"")"),"Có lợi")</f>
        <v>Có lợi</v>
      </c>
      <c r="G1414" s="20" t="s">
        <v>10759</v>
      </c>
      <c r="H1414" s="6"/>
      <c r="I1414" s="11" t="b">
        <f t="shared" si="2"/>
        <v>0</v>
      </c>
      <c r="J1414" s="24"/>
      <c r="K1414" s="11" t="b">
        <f t="shared" si="3"/>
        <v>0</v>
      </c>
    </row>
    <row r="1415" ht="22.5" customHeight="1">
      <c r="A1415" s="12">
        <f t="shared" si="4"/>
        <v>3413</v>
      </c>
      <c r="B1415" s="30" t="s">
        <v>10760</v>
      </c>
      <c r="C1415" s="7" t="str">
        <f t="shared" si="6"/>
        <v>🔊</v>
      </c>
      <c r="D1415" s="8" t="s">
        <v>10761</v>
      </c>
      <c r="E1415" s="6" t="s">
        <v>99</v>
      </c>
      <c r="F1415" s="12" t="str">
        <f>IFERROR(__xludf.DUMMYFUNCTION("GOOGLETRANSLATE(B1415,""zh_cn"",""vi"")"),"do dự")</f>
        <v>do dự</v>
      </c>
      <c r="G1415" s="20" t="s">
        <v>10762</v>
      </c>
      <c r="H1415" s="6"/>
      <c r="I1415" s="11" t="b">
        <f t="shared" si="2"/>
        <v>0</v>
      </c>
      <c r="J1415" s="24"/>
      <c r="K1415" s="11" t="b">
        <f t="shared" si="3"/>
        <v>0</v>
      </c>
    </row>
    <row r="1416" ht="22.5" customHeight="1">
      <c r="A1416" s="12">
        <f t="shared" si="4"/>
        <v>3414</v>
      </c>
      <c r="B1416" s="30" t="s">
        <v>10763</v>
      </c>
      <c r="C1416" s="7" t="str">
        <f t="shared" si="6"/>
        <v>🔊</v>
      </c>
      <c r="D1416" s="8" t="s">
        <v>10764</v>
      </c>
      <c r="E1416" s="6" t="s">
        <v>99</v>
      </c>
      <c r="F1416" s="12" t="str">
        <f>IFERROR(__xludf.DUMMYFUNCTION("GOOGLETRANSLATE(B1416,""zh_cn"",""vi"")"),"chất lượng cao")</f>
        <v>chất lượng cao</v>
      </c>
      <c r="G1416" s="20" t="s">
        <v>10765</v>
      </c>
      <c r="H1416" s="6"/>
      <c r="I1416" s="11" t="b">
        <f t="shared" si="2"/>
        <v>0</v>
      </c>
      <c r="J1416" s="24"/>
      <c r="K1416" s="11" t="b">
        <f t="shared" si="3"/>
        <v>0</v>
      </c>
    </row>
    <row r="1417" ht="22.5" customHeight="1">
      <c r="A1417" s="12">
        <f t="shared" si="4"/>
        <v>3415</v>
      </c>
      <c r="B1417" s="30" t="s">
        <v>10766</v>
      </c>
      <c r="C1417" s="7" t="str">
        <f t="shared" si="6"/>
        <v>🔊</v>
      </c>
      <c r="D1417" s="8" t="s">
        <v>10767</v>
      </c>
      <c r="E1417" s="6" t="s">
        <v>13</v>
      </c>
      <c r="F1417" s="12" t="str">
        <f>IFERROR(__xludf.DUMMYFUNCTION("GOOGLETRANSLATE(B1417,""zh_cn"",""vi"")"),"Giúp đỡ")</f>
        <v>Giúp đỡ</v>
      </c>
      <c r="G1417" s="20" t="s">
        <v>10768</v>
      </c>
      <c r="H1417" s="6"/>
      <c r="I1417" s="11" t="b">
        <f t="shared" si="2"/>
        <v>0</v>
      </c>
      <c r="J1417" s="24"/>
      <c r="K1417" s="11" t="b">
        <f t="shared" si="3"/>
        <v>0</v>
      </c>
    </row>
    <row r="1418" ht="22.5" customHeight="1">
      <c r="A1418" s="12">
        <f t="shared" si="4"/>
        <v>3416</v>
      </c>
      <c r="B1418" s="30" t="s">
        <v>10769</v>
      </c>
      <c r="C1418" s="7" t="str">
        <f t="shared" si="6"/>
        <v>🔊</v>
      </c>
      <c r="D1418" s="8" t="s">
        <v>915</v>
      </c>
      <c r="E1418" s="6" t="s">
        <v>99</v>
      </c>
      <c r="F1418" s="12" t="str">
        <f>IFERROR(__xludf.DUMMYFUNCTION("GOOGLETRANSLATE(B1418,""zh_cn"",""vi"")"),"Nguyên bản")</f>
        <v>Nguyên bản</v>
      </c>
      <c r="G1418" s="20" t="s">
        <v>10770</v>
      </c>
      <c r="H1418" s="6"/>
      <c r="I1418" s="11" t="b">
        <f t="shared" si="2"/>
        <v>0</v>
      </c>
      <c r="J1418" s="24"/>
      <c r="K1418" s="11" t="b">
        <f t="shared" si="3"/>
        <v>0</v>
      </c>
    </row>
    <row r="1419" ht="22.5" customHeight="1">
      <c r="A1419" s="12">
        <f t="shared" si="4"/>
        <v>3417</v>
      </c>
      <c r="B1419" s="30" t="s">
        <v>10771</v>
      </c>
      <c r="C1419" s="7" t="str">
        <f t="shared" si="6"/>
        <v>🔊</v>
      </c>
      <c r="D1419" s="8" t="s">
        <v>915</v>
      </c>
      <c r="E1419" s="6" t="s">
        <v>3430</v>
      </c>
      <c r="F1419" s="12" t="str">
        <f>IFERROR(__xludf.DUMMYFUNCTION("GOOGLETRANSLATE(B1419,""zh_cn"",""vi"")"),"tròn")</f>
        <v>tròn</v>
      </c>
      <c r="G1419" s="20" t="s">
        <v>10772</v>
      </c>
      <c r="H1419" s="6"/>
      <c r="I1419" s="11" t="b">
        <f t="shared" si="2"/>
        <v>0</v>
      </c>
      <c r="J1419" s="24"/>
      <c r="K1419" s="11" t="b">
        <f t="shared" si="3"/>
        <v>0</v>
      </c>
    </row>
    <row r="1420" ht="22.5" customHeight="1">
      <c r="A1420" s="12">
        <f t="shared" si="4"/>
        <v>3418</v>
      </c>
      <c r="B1420" s="30" t="s">
        <v>10773</v>
      </c>
      <c r="C1420" s="7" t="str">
        <f t="shared" si="6"/>
        <v>🔊</v>
      </c>
      <c r="D1420" s="8" t="s">
        <v>10774</v>
      </c>
      <c r="E1420" s="6" t="s">
        <v>13</v>
      </c>
      <c r="F1420" s="12" t="str">
        <f>IFERROR(__xludf.DUMMYFUNCTION("GOOGLETRANSLATE(B1420,""zh_cn"",""vi"")"),"sẵn sàng")</f>
        <v>sẵn sàng</v>
      </c>
      <c r="G1420" s="20" t="s">
        <v>10775</v>
      </c>
      <c r="H1420" s="6"/>
      <c r="I1420" s="11" t="b">
        <f t="shared" si="2"/>
        <v>0</v>
      </c>
      <c r="J1420" s="24"/>
      <c r="K1420" s="11" t="b">
        <f t="shared" si="3"/>
        <v>0</v>
      </c>
    </row>
    <row r="1421" ht="22.5" customHeight="1">
      <c r="A1421" s="12">
        <f t="shared" si="4"/>
        <v>3419</v>
      </c>
      <c r="B1421" s="30" t="s">
        <v>10776</v>
      </c>
      <c r="C1421" s="7" t="str">
        <f t="shared" si="6"/>
        <v>🔊</v>
      </c>
      <c r="D1421" s="8" t="s">
        <v>10777</v>
      </c>
      <c r="E1421" s="14"/>
      <c r="F1421" s="12" t="str">
        <f>IFERROR(__xludf.DUMMYFUNCTION("GOOGLETRANSLATE(B1421,""zh_cn"",""vi"")"),"nguyên bản")</f>
        <v>nguyên bản</v>
      </c>
      <c r="G1421" s="20" t="s">
        <v>10778</v>
      </c>
      <c r="H1421" s="6"/>
      <c r="I1421" s="11" t="b">
        <f t="shared" si="2"/>
        <v>0</v>
      </c>
      <c r="J1421" s="24"/>
      <c r="K1421" s="11" t="b">
        <f t="shared" si="3"/>
        <v>0</v>
      </c>
    </row>
    <row r="1422" ht="22.5" customHeight="1">
      <c r="A1422" s="12">
        <f t="shared" si="4"/>
        <v>3420</v>
      </c>
      <c r="B1422" s="30" t="s">
        <v>10779</v>
      </c>
      <c r="C1422" s="7" t="str">
        <f t="shared" si="6"/>
        <v>🔊</v>
      </c>
      <c r="D1422" s="8" t="s">
        <v>10780</v>
      </c>
      <c r="E1422" s="6" t="s">
        <v>27</v>
      </c>
      <c r="F1422" s="12" t="str">
        <f>IFERROR(__xludf.DUMMYFUNCTION("GOOGLETRANSLATE(B1422,""zh_cn"",""vi"")"),"Năm mới")</f>
        <v>Năm mới</v>
      </c>
      <c r="G1422" s="20" t="s">
        <v>10781</v>
      </c>
      <c r="H1422" s="6"/>
      <c r="I1422" s="11" t="b">
        <f t="shared" si="2"/>
        <v>0</v>
      </c>
      <c r="J1422" s="24"/>
      <c r="K1422" s="11" t="b">
        <f t="shared" si="3"/>
        <v>0</v>
      </c>
    </row>
    <row r="1423" ht="22.5" customHeight="1">
      <c r="A1423" s="12">
        <f t="shared" si="4"/>
        <v>3421</v>
      </c>
      <c r="B1423" s="30" t="s">
        <v>10782</v>
      </c>
      <c r="C1423" s="7" t="str">
        <f t="shared" si="6"/>
        <v>🔊</v>
      </c>
      <c r="D1423" s="8" t="s">
        <v>10783</v>
      </c>
      <c r="E1423" s="6" t="s">
        <v>27</v>
      </c>
      <c r="F1423" s="12" t="str">
        <f>IFERROR(__xludf.DUMMYFUNCTION("GOOGLETRANSLATE(B1423,""zh_cn"",""vi"")"),"nhân viên")</f>
        <v>nhân viên</v>
      </c>
      <c r="G1423" s="20" t="s">
        <v>10784</v>
      </c>
      <c r="H1423" s="6"/>
      <c r="I1423" s="11" t="b">
        <f t="shared" si="2"/>
        <v>0</v>
      </c>
      <c r="J1423" s="24"/>
      <c r="K1423" s="11" t="b">
        <f t="shared" si="3"/>
        <v>0</v>
      </c>
    </row>
    <row r="1424" ht="22.5" customHeight="1">
      <c r="A1424" s="12">
        <f t="shared" si="4"/>
        <v>3422</v>
      </c>
      <c r="B1424" s="30" t="s">
        <v>10785</v>
      </c>
      <c r="C1424" s="7" t="str">
        <f t="shared" si="6"/>
        <v>🔊</v>
      </c>
      <c r="D1424" s="8" t="s">
        <v>10786</v>
      </c>
      <c r="E1424" s="6" t="s">
        <v>27</v>
      </c>
      <c r="F1424" s="12" t="str">
        <f>IFERROR(__xludf.DUMMYFUNCTION("GOOGLETRANSLATE(B1424,""zh_cn"",""vi"")"),"sự mong muốn")</f>
        <v>sự mong muốn</v>
      </c>
      <c r="G1424" s="20" t="s">
        <v>10787</v>
      </c>
      <c r="H1424" s="6"/>
      <c r="I1424" s="11" t="b">
        <f t="shared" si="2"/>
        <v>0</v>
      </c>
      <c r="J1424" s="24"/>
      <c r="K1424" s="11" t="b">
        <f t="shared" si="3"/>
        <v>0</v>
      </c>
    </row>
    <row r="1425" ht="22.5" customHeight="1">
      <c r="A1425" s="12">
        <f t="shared" si="4"/>
        <v>3423</v>
      </c>
      <c r="B1425" s="30" t="s">
        <v>10788</v>
      </c>
      <c r="C1425" s="7" t="str">
        <f t="shared" si="6"/>
        <v>🔊</v>
      </c>
      <c r="D1425" s="8" t="s">
        <v>10789</v>
      </c>
      <c r="E1425" s="6" t="s">
        <v>27</v>
      </c>
      <c r="F1425" s="12" t="str">
        <f>IFERROR(__xludf.DUMMYFUNCTION("GOOGLETRANSLATE(B1425,""zh_cn"",""vi"")"),"về nguyên tắc")</f>
        <v>về nguyên tắc</v>
      </c>
      <c r="G1425" s="20" t="s">
        <v>10790</v>
      </c>
      <c r="H1425" s="6"/>
      <c r="I1425" s="11" t="b">
        <f t="shared" si="2"/>
        <v>0</v>
      </c>
      <c r="J1425" s="24"/>
      <c r="K1425" s="11" t="b">
        <f t="shared" si="3"/>
        <v>0</v>
      </c>
    </row>
    <row r="1426" ht="22.5" customHeight="1">
      <c r="A1426" s="12">
        <f t="shared" si="4"/>
        <v>3424</v>
      </c>
      <c r="B1426" s="30" t="s">
        <v>10791</v>
      </c>
      <c r="C1426" s="7" t="str">
        <f t="shared" si="6"/>
        <v>🔊</v>
      </c>
      <c r="D1426" s="8" t="s">
        <v>10792</v>
      </c>
      <c r="E1426" s="6" t="s">
        <v>232</v>
      </c>
      <c r="F1426" s="12" t="str">
        <f>IFERROR(__xludf.DUMMYFUNCTION("GOOGLETRANSLATE(B1426,""zh_cn"",""vi"")"),"dự báo")</f>
        <v>dự báo</v>
      </c>
      <c r="G1426" s="20" t="s">
        <v>10793</v>
      </c>
      <c r="H1426" s="6"/>
      <c r="I1426" s="11" t="b">
        <f t="shared" si="2"/>
        <v>0</v>
      </c>
      <c r="J1426" s="24"/>
      <c r="K1426" s="11" t="b">
        <f t="shared" si="3"/>
        <v>0</v>
      </c>
    </row>
    <row r="1427" ht="22.5" customHeight="1">
      <c r="A1427" s="12">
        <f t="shared" si="4"/>
        <v>3425</v>
      </c>
      <c r="B1427" s="30" t="s">
        <v>10794</v>
      </c>
      <c r="C1427" s="7" t="str">
        <f t="shared" si="6"/>
        <v>🔊</v>
      </c>
      <c r="D1427" s="8" t="s">
        <v>10795</v>
      </c>
      <c r="E1427" s="6" t="s">
        <v>13</v>
      </c>
      <c r="F1427" s="12" t="str">
        <f>IFERROR(__xludf.DUMMYFUNCTION("GOOGLETRANSLATE(B1427,""zh_cn"",""vi"")"),"dự đoán")</f>
        <v>dự đoán</v>
      </c>
      <c r="G1427" s="20" t="s">
        <v>10796</v>
      </c>
      <c r="H1427" s="6"/>
      <c r="I1427" s="11" t="b">
        <f t="shared" si="2"/>
        <v>0</v>
      </c>
      <c r="J1427" s="24"/>
      <c r="K1427" s="11" t="b">
        <f t="shared" si="3"/>
        <v>0</v>
      </c>
    </row>
    <row r="1428" ht="22.5" customHeight="1">
      <c r="A1428" s="12">
        <f t="shared" si="4"/>
        <v>3426</v>
      </c>
      <c r="B1428" s="30" t="s">
        <v>10797</v>
      </c>
      <c r="C1428" s="7" t="str">
        <f t="shared" si="6"/>
        <v>🔊</v>
      </c>
      <c r="D1428" s="8" t="s">
        <v>10798</v>
      </c>
      <c r="E1428" s="6" t="s">
        <v>13</v>
      </c>
      <c r="F1428" s="12" t="str">
        <f>IFERROR(__xludf.DUMMYFUNCTION("GOOGLETRANSLATE(B1428,""zh_cn"",""vi"")"),"Đặt chỗ")</f>
        <v>Đặt chỗ</v>
      </c>
      <c r="G1428" s="20" t="s">
        <v>10799</v>
      </c>
      <c r="H1428" s="6"/>
      <c r="I1428" s="11" t="b">
        <f t="shared" si="2"/>
        <v>0</v>
      </c>
      <c r="J1428" s="24"/>
      <c r="K1428" s="11" t="b">
        <f t="shared" si="3"/>
        <v>0</v>
      </c>
    </row>
    <row r="1429" ht="22.5" customHeight="1">
      <c r="A1429" s="12">
        <f t="shared" si="4"/>
        <v>3427</v>
      </c>
      <c r="B1429" s="30" t="s">
        <v>10800</v>
      </c>
      <c r="C1429" s="7" t="str">
        <f t="shared" si="6"/>
        <v>🔊</v>
      </c>
      <c r="D1429" s="8" t="s">
        <v>10801</v>
      </c>
      <c r="E1429" s="6" t="s">
        <v>13</v>
      </c>
      <c r="F1429" s="12" t="str">
        <f>IFERROR(__xludf.DUMMYFUNCTION("GOOGLETRANSLATE(B1429,""zh_cn"",""vi"")"),"Hiệp định")</f>
        <v>Hiệp định</v>
      </c>
      <c r="G1429" s="20" t="s">
        <v>10802</v>
      </c>
      <c r="H1429" s="6"/>
      <c r="I1429" s="11" t="b">
        <f t="shared" si="2"/>
        <v>0</v>
      </c>
      <c r="J1429" s="24"/>
      <c r="K1429" s="11" t="b">
        <f t="shared" si="3"/>
        <v>0</v>
      </c>
    </row>
    <row r="1430" ht="22.5" customHeight="1">
      <c r="A1430" s="12">
        <f t="shared" si="4"/>
        <v>3428</v>
      </c>
      <c r="B1430" s="30" t="s">
        <v>10803</v>
      </c>
      <c r="C1430" s="7" t="str">
        <f t="shared" si="6"/>
        <v>🔊</v>
      </c>
      <c r="D1430" s="8" t="s">
        <v>10804</v>
      </c>
      <c r="E1430" s="6" t="s">
        <v>13</v>
      </c>
      <c r="F1430" s="12" t="str">
        <f>IFERROR(__xludf.DUMMYFUNCTION("GOOGLETRANSLATE(B1430,""zh_cn"",""vi"")"),"phòng ngừa")</f>
        <v>phòng ngừa</v>
      </c>
      <c r="G1430" s="20" t="s">
        <v>10805</v>
      </c>
      <c r="H1430" s="6"/>
      <c r="I1430" s="11" t="b">
        <f t="shared" si="2"/>
        <v>0</v>
      </c>
      <c r="J1430" s="24"/>
      <c r="K1430" s="11" t="b">
        <f t="shared" si="3"/>
        <v>0</v>
      </c>
    </row>
    <row r="1431" ht="22.5" customHeight="1">
      <c r="A1431" s="12">
        <f t="shared" si="4"/>
        <v>3429</v>
      </c>
      <c r="B1431" s="30" t="s">
        <v>10806</v>
      </c>
      <c r="C1431" s="7" t="str">
        <f t="shared" si="6"/>
        <v>🔊</v>
      </c>
      <c r="D1431" s="8" t="s">
        <v>10807</v>
      </c>
      <c r="E1431" s="6" t="s">
        <v>13</v>
      </c>
      <c r="F1431" s="12" t="str">
        <f>IFERROR(__xludf.DUMMYFUNCTION("GOOGLETRANSLATE(B1431,""zh_cn"",""vi"")"),"Hy vọng")</f>
        <v>Hy vọng</v>
      </c>
      <c r="G1431" s="20" t="s">
        <v>10808</v>
      </c>
      <c r="H1431" s="6"/>
      <c r="I1431" s="11" t="b">
        <f t="shared" si="2"/>
        <v>0</v>
      </c>
      <c r="J1431" s="24"/>
      <c r="K1431" s="11" t="b">
        <f t="shared" si="3"/>
        <v>0</v>
      </c>
    </row>
    <row r="1432" ht="22.5" customHeight="1">
      <c r="A1432" s="12">
        <f t="shared" si="4"/>
        <v>3430</v>
      </c>
      <c r="B1432" s="30" t="s">
        <v>10809</v>
      </c>
      <c r="C1432" s="7" t="str">
        <f t="shared" si="6"/>
        <v>🔊</v>
      </c>
      <c r="D1432" s="8" t="s">
        <v>10810</v>
      </c>
      <c r="E1432" s="6" t="s">
        <v>232</v>
      </c>
      <c r="F1432" s="12" t="str">
        <f>IFERROR(__xludf.DUMMYFUNCTION("GOOGLETRANSLATE(B1432,""zh_cn"",""vi"")"),"sự giải trí")</f>
        <v>sự giải trí</v>
      </c>
      <c r="G1432" s="20" t="s">
        <v>10811</v>
      </c>
      <c r="H1432" s="6"/>
      <c r="I1432" s="11" t="b">
        <f t="shared" si="2"/>
        <v>0</v>
      </c>
      <c r="J1432" s="24"/>
      <c r="K1432" s="11" t="b">
        <f t="shared" si="3"/>
        <v>0</v>
      </c>
    </row>
    <row r="1433" ht="22.5" customHeight="1">
      <c r="A1433" s="12">
        <f t="shared" si="4"/>
        <v>3431</v>
      </c>
      <c r="B1433" s="30" t="s">
        <v>10812</v>
      </c>
      <c r="C1433" s="7" t="str">
        <f t="shared" si="6"/>
        <v>🔊</v>
      </c>
      <c r="D1433" s="8" t="s">
        <v>10813</v>
      </c>
      <c r="E1433" s="6" t="s">
        <v>27</v>
      </c>
      <c r="F1433" s="12" t="str">
        <f>IFERROR(__xludf.DUMMYFUNCTION("GOOGLETRANSLATE(B1433,""zh_cn"",""vi"")"),"ngô")</f>
        <v>ngô</v>
      </c>
      <c r="G1433" s="20" t="s">
        <v>10814</v>
      </c>
      <c r="H1433" s="6"/>
      <c r="I1433" s="11" t="b">
        <f t="shared" si="2"/>
        <v>0</v>
      </c>
      <c r="J1433" s="24"/>
      <c r="K1433" s="11" t="b">
        <f t="shared" si="3"/>
        <v>0</v>
      </c>
    </row>
    <row r="1434" ht="22.5" customHeight="1">
      <c r="A1434" s="12">
        <f t="shared" si="4"/>
        <v>3432</v>
      </c>
      <c r="B1434" s="30" t="s">
        <v>10815</v>
      </c>
      <c r="C1434" s="7" t="str">
        <f t="shared" si="6"/>
        <v>🔊</v>
      </c>
      <c r="D1434" s="8" t="s">
        <v>10816</v>
      </c>
      <c r="E1434" s="6" t="s">
        <v>13</v>
      </c>
      <c r="F1434" s="12" t="str">
        <f>IFERROR(__xludf.DUMMYFUNCTION("GOOGLETRANSLATE(B1434,""zh_cn"",""vi"")"),"chuyên chở")</f>
        <v>chuyên chở</v>
      </c>
      <c r="G1434" s="20" t="s">
        <v>10817</v>
      </c>
      <c r="H1434" s="6"/>
      <c r="I1434" s="11" t="b">
        <f t="shared" si="2"/>
        <v>0</v>
      </c>
      <c r="J1434" s="24"/>
      <c r="K1434" s="11" t="b">
        <f t="shared" si="3"/>
        <v>0</v>
      </c>
    </row>
    <row r="1435" ht="22.5" customHeight="1">
      <c r="A1435" s="12">
        <f t="shared" si="4"/>
        <v>3433</v>
      </c>
      <c r="B1435" s="30" t="s">
        <v>10818</v>
      </c>
      <c r="C1435" s="7" t="str">
        <f t="shared" si="6"/>
        <v>🔊</v>
      </c>
      <c r="D1435" s="8" t="s">
        <v>10819</v>
      </c>
      <c r="E1435" s="6" t="s">
        <v>27</v>
      </c>
      <c r="F1435" s="12" t="str">
        <f>IFERROR(__xludf.DUMMYFUNCTION("GOOGLETRANSLATE(B1435,""zh_cn"",""vi"")"),"vận chuyển hàng hóa")</f>
        <v>vận chuyển hàng hóa</v>
      </c>
      <c r="G1435" s="20" t="s">
        <v>10820</v>
      </c>
      <c r="H1435" s="6"/>
      <c r="I1435" s="11" t="b">
        <f t="shared" si="2"/>
        <v>0</v>
      </c>
      <c r="J1435" s="24"/>
      <c r="K1435" s="11" t="b">
        <f t="shared" si="3"/>
        <v>0</v>
      </c>
    </row>
    <row r="1436" ht="22.5" customHeight="1">
      <c r="A1436" s="12">
        <f t="shared" si="4"/>
        <v>3434</v>
      </c>
      <c r="B1436" s="30" t="s">
        <v>10821</v>
      </c>
      <c r="C1436" s="7" t="str">
        <f t="shared" si="6"/>
        <v>🔊</v>
      </c>
      <c r="D1436" s="8" t="s">
        <v>10822</v>
      </c>
      <c r="E1436" s="6" t="s">
        <v>27</v>
      </c>
      <c r="F1436" s="12" t="str">
        <f>IFERROR(__xludf.DUMMYFUNCTION("GOOGLETRANSLATE(B1436,""zh_cn"",""vi"")"),"may mắn")</f>
        <v>may mắn</v>
      </c>
      <c r="G1436" s="20" t="s">
        <v>10823</v>
      </c>
      <c r="H1436" s="6"/>
      <c r="I1436" s="11" t="b">
        <f t="shared" si="2"/>
        <v>0</v>
      </c>
      <c r="J1436" s="24"/>
      <c r="K1436" s="11" t="b">
        <f t="shared" si="3"/>
        <v>0</v>
      </c>
    </row>
    <row r="1437" ht="22.5" customHeight="1">
      <c r="A1437" s="12">
        <f t="shared" si="4"/>
        <v>3435</v>
      </c>
      <c r="B1437" s="30" t="s">
        <v>10824</v>
      </c>
      <c r="C1437" s="7" t="str">
        <f t="shared" si="6"/>
        <v>🔊</v>
      </c>
      <c r="D1437" s="8" t="s">
        <v>10825</v>
      </c>
      <c r="E1437" s="6" t="s">
        <v>13</v>
      </c>
      <c r="F1437" s="12" t="str">
        <f>IFERROR(__xludf.DUMMYFUNCTION("GOOGLETRANSLATE(B1437,""zh_cn"",""vi"")"),"vận tải")</f>
        <v>vận tải</v>
      </c>
      <c r="G1437" s="20" t="s">
        <v>10826</v>
      </c>
      <c r="H1437" s="6"/>
      <c r="I1437" s="11" t="b">
        <f t="shared" si="2"/>
        <v>0</v>
      </c>
      <c r="J1437" s="24"/>
      <c r="K1437" s="11" t="b">
        <f t="shared" si="3"/>
        <v>0</v>
      </c>
    </row>
    <row r="1438" ht="22.5" customHeight="1">
      <c r="A1438" s="12">
        <f t="shared" si="4"/>
        <v>3436</v>
      </c>
      <c r="B1438" s="30" t="s">
        <v>10827</v>
      </c>
      <c r="C1438" s="7" t="str">
        <f t="shared" si="6"/>
        <v>🔊</v>
      </c>
      <c r="D1438" s="8" t="s">
        <v>10828</v>
      </c>
      <c r="E1438" s="6" t="s">
        <v>13</v>
      </c>
      <c r="F1438" s="12" t="str">
        <f>IFERROR(__xludf.DUMMYFUNCTION("GOOGLETRANSLATE(B1438,""zh_cn"",""vi"")"),"sử dụng")</f>
        <v>sử dụng</v>
      </c>
      <c r="G1438" s="20" t="s">
        <v>10829</v>
      </c>
      <c r="H1438" s="6"/>
      <c r="I1438" s="11" t="b">
        <f t="shared" si="2"/>
        <v>0</v>
      </c>
      <c r="J1438" s="24"/>
      <c r="K1438" s="11" t="b">
        <f t="shared" si="3"/>
        <v>0</v>
      </c>
    </row>
    <row r="1439" ht="22.5" customHeight="1">
      <c r="A1439" s="12">
        <f t="shared" si="4"/>
        <v>3437</v>
      </c>
      <c r="B1439" s="30" t="s">
        <v>10830</v>
      </c>
      <c r="C1439" s="7" t="str">
        <f t="shared" si="6"/>
        <v>🔊</v>
      </c>
      <c r="D1439" s="8" t="s">
        <v>10831</v>
      </c>
      <c r="E1439" s="6" t="s">
        <v>27</v>
      </c>
      <c r="F1439" s="12" t="str">
        <f>IFERROR(__xludf.DUMMYFUNCTION("GOOGLETRANSLATE(B1439,""zh_cn"",""vi"")"),"âm thanh")</f>
        <v>âm thanh</v>
      </c>
      <c r="G1439" s="20" t="s">
        <v>10832</v>
      </c>
      <c r="H1439" s="6"/>
      <c r="I1439" s="11" t="b">
        <f t="shared" si="2"/>
        <v>0</v>
      </c>
      <c r="J1439" s="24"/>
      <c r="K1439" s="11" t="b">
        <f t="shared" si="3"/>
        <v>0</v>
      </c>
    </row>
    <row r="1440" ht="22.5" customHeight="1">
      <c r="A1440" s="12">
        <f t="shared" si="4"/>
        <v>3438</v>
      </c>
      <c r="B1440" s="30" t="s">
        <v>10833</v>
      </c>
      <c r="C1440" s="7" t="str">
        <f t="shared" si="6"/>
        <v>🔊</v>
      </c>
      <c r="D1440" s="8" t="s">
        <v>10834</v>
      </c>
      <c r="E1440" s="6" t="s">
        <v>27</v>
      </c>
      <c r="F1440" s="12" t="str">
        <f>IFERROR(__xludf.DUMMYFUNCTION("GOOGLETRANSLATE(B1440,""zh_cn"",""vi"")"),"nước mưa")</f>
        <v>nước mưa</v>
      </c>
      <c r="G1440" s="20" t="s">
        <v>10835</v>
      </c>
      <c r="H1440" s="6"/>
      <c r="I1440" s="11" t="b">
        <f t="shared" si="2"/>
        <v>0</v>
      </c>
      <c r="J1440" s="24"/>
      <c r="K1440" s="11" t="b">
        <f t="shared" si="3"/>
        <v>0</v>
      </c>
    </row>
    <row r="1441" ht="22.5" customHeight="1">
      <c r="A1441" s="12">
        <f t="shared" si="4"/>
        <v>3439</v>
      </c>
      <c r="B1441" s="30" t="s">
        <v>10836</v>
      </c>
      <c r="C1441" s="7" t="str">
        <f t="shared" si="6"/>
        <v>🔊</v>
      </c>
      <c r="D1441" s="8" t="s">
        <v>10837</v>
      </c>
      <c r="E1441" s="6" t="s">
        <v>27</v>
      </c>
      <c r="F1441" s="12" t="str">
        <f>IFERROR(__xludf.DUMMYFUNCTION("GOOGLETRANSLATE(B1441,""zh_cn"",""vi"")"),"Trung Quốc")</f>
        <v>Trung Quốc</v>
      </c>
      <c r="G1441" s="20" t="s">
        <v>10838</v>
      </c>
      <c r="H1441" s="6"/>
      <c r="I1441" s="11" t="b">
        <f t="shared" si="2"/>
        <v>0</v>
      </c>
      <c r="J1441" s="24"/>
      <c r="K1441" s="11" t="b">
        <f t="shared" si="3"/>
        <v>0</v>
      </c>
    </row>
    <row r="1442" ht="22.5" customHeight="1">
      <c r="A1442" s="12">
        <f t="shared" si="4"/>
        <v>3440</v>
      </c>
      <c r="B1442" s="30" t="s">
        <v>10839</v>
      </c>
      <c r="C1442" s="7" t="str">
        <f t="shared" si="6"/>
        <v>🔊</v>
      </c>
      <c r="D1442" s="8" t="s">
        <v>10840</v>
      </c>
      <c r="E1442" s="6" t="s">
        <v>27</v>
      </c>
      <c r="F1442" s="12" t="str">
        <f>IFERROR(__xludf.DUMMYFUNCTION("GOOGLETRANSLATE(B1442,""zh_cn"",""vi"")"),"tiếng nói")</f>
        <v>tiếng nói</v>
      </c>
      <c r="G1442" s="20" t="s">
        <v>10841</v>
      </c>
      <c r="H1442" s="6"/>
      <c r="I1442" s="11" t="b">
        <f t="shared" si="2"/>
        <v>0</v>
      </c>
      <c r="J1442" s="24"/>
      <c r="K1442" s="11" t="b">
        <f t="shared" si="3"/>
        <v>0</v>
      </c>
    </row>
    <row r="1443" ht="22.5" customHeight="1">
      <c r="A1443" s="12">
        <f t="shared" si="4"/>
        <v>3441</v>
      </c>
      <c r="B1443" s="30" t="s">
        <v>10842</v>
      </c>
      <c r="C1443" s="7" t="str">
        <f t="shared" si="6"/>
        <v>🔊</v>
      </c>
      <c r="D1443" s="8" t="s">
        <v>10843</v>
      </c>
      <c r="E1443" s="6" t="s">
        <v>13</v>
      </c>
      <c r="F1443" s="12" t="str">
        <f>IFERROR(__xludf.DUMMYFUNCTION("GOOGLETRANSLATE(B1443,""zh_cn"",""vi"")"),"dự trữ")</f>
        <v>dự trữ</v>
      </c>
      <c r="G1443" s="20" t="s">
        <v>10844</v>
      </c>
      <c r="H1443" s="6"/>
      <c r="I1443" s="11" t="b">
        <f t="shared" si="2"/>
        <v>0</v>
      </c>
      <c r="J1443" s="24"/>
      <c r="K1443" s="11" t="b">
        <f t="shared" si="3"/>
        <v>0</v>
      </c>
    </row>
    <row r="1444" ht="22.5" customHeight="1">
      <c r="A1444" s="12">
        <f t="shared" si="4"/>
        <v>3442</v>
      </c>
      <c r="B1444" s="30" t="s">
        <v>10845</v>
      </c>
      <c r="C1444" s="7" t="str">
        <f t="shared" si="6"/>
        <v>🔊</v>
      </c>
      <c r="D1444" s="8" t="s">
        <v>10846</v>
      </c>
      <c r="E1444" s="6" t="s">
        <v>13</v>
      </c>
      <c r="F1444" s="12" t="str">
        <f>IFERROR(__xludf.DUMMYFUNCTION("GOOGLETRANSLATE(B1444,""zh_cn"",""vi"")"),"Tại hiện trường")</f>
        <v>Tại hiện trường</v>
      </c>
      <c r="G1444" s="20" t="s">
        <v>10847</v>
      </c>
      <c r="H1444" s="6"/>
      <c r="I1444" s="11" t="b">
        <f t="shared" si="2"/>
        <v>0</v>
      </c>
      <c r="J1444" s="24"/>
      <c r="K1444" s="11" t="b">
        <f t="shared" si="3"/>
        <v>0</v>
      </c>
    </row>
    <row r="1445" ht="22.5" customHeight="1">
      <c r="A1445" s="12">
        <f t="shared" si="4"/>
        <v>3443</v>
      </c>
      <c r="B1445" s="30" t="s">
        <v>10848</v>
      </c>
      <c r="C1445" s="7" t="str">
        <f t="shared" si="6"/>
        <v>🔊</v>
      </c>
      <c r="D1445" s="8" t="s">
        <v>10849</v>
      </c>
      <c r="E1445" s="6" t="s">
        <v>13</v>
      </c>
      <c r="F1445" s="12" t="str">
        <f>IFERROR(__xludf.DUMMYFUNCTION("GOOGLETRANSLATE(B1445,""zh_cn"",""vi"")"),"chăm sóc")</f>
        <v>chăm sóc</v>
      </c>
      <c r="G1445" s="20" t="s">
        <v>10850</v>
      </c>
      <c r="H1445" s="6"/>
      <c r="I1445" s="11" t="b">
        <f t="shared" si="2"/>
        <v>0</v>
      </c>
      <c r="J1445" s="24"/>
      <c r="K1445" s="11" t="b">
        <f t="shared" si="3"/>
        <v>0</v>
      </c>
    </row>
    <row r="1446" ht="22.5" customHeight="1">
      <c r="A1446" s="12">
        <f t="shared" si="4"/>
        <v>3444</v>
      </c>
      <c r="B1446" s="30" t="s">
        <v>10851</v>
      </c>
      <c r="C1446" s="7" t="str">
        <f t="shared" si="6"/>
        <v>🔊</v>
      </c>
      <c r="D1446" s="8" t="s">
        <v>10852</v>
      </c>
      <c r="E1446" s="6" t="s">
        <v>27</v>
      </c>
      <c r="F1446" s="12" t="str">
        <f>IFERROR(__xludf.DUMMYFUNCTION("GOOGLETRANSLATE(B1446,""zh_cn"",""vi"")"),"Bên trong")</f>
        <v>Bên trong</v>
      </c>
      <c r="G1446" s="20" t="s">
        <v>10853</v>
      </c>
      <c r="H1446" s="6"/>
      <c r="I1446" s="11" t="b">
        <f t="shared" si="2"/>
        <v>0</v>
      </c>
      <c r="J1446" s="24"/>
      <c r="K1446" s="11" t="b">
        <f t="shared" si="3"/>
        <v>0</v>
      </c>
    </row>
    <row r="1447" ht="22.5" customHeight="1">
      <c r="A1447" s="12">
        <f t="shared" si="4"/>
        <v>3445</v>
      </c>
      <c r="B1447" s="30" t="s">
        <v>10854</v>
      </c>
      <c r="C1447" s="7" t="str">
        <f t="shared" si="6"/>
        <v>🔊</v>
      </c>
      <c r="D1447" s="8" t="s">
        <v>10855</v>
      </c>
      <c r="E1447" s="6" t="s">
        <v>13</v>
      </c>
      <c r="F1447" s="12" t="str">
        <f>IFERROR(__xludf.DUMMYFUNCTION("GOOGLETRANSLATE(B1447,""zh_cn"",""vi"")"),"Trực tuyến")</f>
        <v>Trực tuyến</v>
      </c>
      <c r="G1447" s="20" t="s">
        <v>10856</v>
      </c>
      <c r="H1447" s="6"/>
      <c r="I1447" s="11" t="b">
        <f t="shared" si="2"/>
        <v>0</v>
      </c>
      <c r="J1447" s="24"/>
      <c r="K1447" s="11" t="b">
        <f t="shared" si="3"/>
        <v>0</v>
      </c>
    </row>
    <row r="1448" ht="22.5" customHeight="1">
      <c r="A1448" s="12">
        <f t="shared" si="4"/>
        <v>3446</v>
      </c>
      <c r="B1448" s="30" t="s">
        <v>10857</v>
      </c>
      <c r="C1448" s="7" t="str">
        <f t="shared" si="6"/>
        <v>🔊</v>
      </c>
      <c r="D1448" s="8" t="s">
        <v>10858</v>
      </c>
      <c r="E1448" s="6" t="s">
        <v>13</v>
      </c>
      <c r="F1448" s="12" t="str">
        <f>IFERROR(__xludf.DUMMYFUNCTION("GOOGLETRANSLATE(B1448,""zh_cn"",""vi"")"),"TRONG")</f>
        <v>TRONG</v>
      </c>
      <c r="G1448" s="20" t="s">
        <v>10859</v>
      </c>
      <c r="H1448" s="6"/>
      <c r="I1448" s="11" t="b">
        <f t="shared" si="2"/>
        <v>0</v>
      </c>
      <c r="J1448" s="24"/>
      <c r="K1448" s="11" t="b">
        <f t="shared" si="3"/>
        <v>0</v>
      </c>
    </row>
    <row r="1449" ht="22.5" customHeight="1">
      <c r="A1449" s="12">
        <f t="shared" si="4"/>
        <v>3447</v>
      </c>
      <c r="B1449" s="30" t="s">
        <v>10860</v>
      </c>
      <c r="C1449" s="7" t="str">
        <f t="shared" si="6"/>
        <v>🔊</v>
      </c>
      <c r="D1449" s="8" t="s">
        <v>10861</v>
      </c>
      <c r="E1449" s="6" t="s">
        <v>13</v>
      </c>
      <c r="F1449" s="12" t="str">
        <f>IFERROR(__xludf.DUMMYFUNCTION("GOOGLETRANSLATE(B1449,""zh_cn"",""vi"")"),"Đồng ý")</f>
        <v>Đồng ý</v>
      </c>
      <c r="G1449" s="20" t="s">
        <v>10862</v>
      </c>
      <c r="H1449" s="6"/>
      <c r="I1449" s="11" t="b">
        <f t="shared" si="2"/>
        <v>0</v>
      </c>
      <c r="J1449" s="24"/>
      <c r="K1449" s="11" t="b">
        <f t="shared" si="3"/>
        <v>0</v>
      </c>
    </row>
    <row r="1450" ht="22.5" customHeight="1">
      <c r="A1450" s="12">
        <f t="shared" si="4"/>
        <v>3448</v>
      </c>
      <c r="B1450" s="30" t="s">
        <v>10863</v>
      </c>
      <c r="C1450" s="7" t="str">
        <f t="shared" si="6"/>
        <v>🔊</v>
      </c>
      <c r="D1450" s="8" t="s">
        <v>10864</v>
      </c>
      <c r="E1450" s="6" t="s">
        <v>13</v>
      </c>
      <c r="F1450" s="12" t="str">
        <f>IFERROR(__xludf.DUMMYFUNCTION("GOOGLETRANSLATE(B1450,""zh_cn"",""vi"")"),"làm")</f>
        <v>làm</v>
      </c>
      <c r="G1450" s="20" t="s">
        <v>10865</v>
      </c>
      <c r="H1450" s="6"/>
      <c r="I1450" s="11" t="b">
        <f t="shared" si="2"/>
        <v>0</v>
      </c>
      <c r="J1450" s="24"/>
      <c r="K1450" s="11" t="b">
        <f t="shared" si="3"/>
        <v>0</v>
      </c>
    </row>
    <row r="1451" ht="22.5" customHeight="1">
      <c r="A1451" s="12">
        <f t="shared" si="4"/>
        <v>3449</v>
      </c>
      <c r="B1451" s="30" t="s">
        <v>10866</v>
      </c>
      <c r="C1451" s="7" t="str">
        <f t="shared" si="6"/>
        <v>🔊</v>
      </c>
      <c r="D1451" s="8" t="s">
        <v>10867</v>
      </c>
      <c r="E1451" s="6" t="s">
        <v>99</v>
      </c>
      <c r="F1451" s="12" t="str">
        <f>IFERROR(__xludf.DUMMYFUNCTION("GOOGLETRANSLATE(B1451,""zh_cn"",""vi"")"),"Xấu")</f>
        <v>Xấu</v>
      </c>
      <c r="G1451" s="20" t="s">
        <v>10868</v>
      </c>
      <c r="H1451" s="6"/>
      <c r="I1451" s="11" t="b">
        <f t="shared" si="2"/>
        <v>0</v>
      </c>
      <c r="J1451" s="24"/>
      <c r="K1451" s="11" t="b">
        <f t="shared" si="3"/>
        <v>0</v>
      </c>
    </row>
    <row r="1452" ht="22.5" customHeight="1">
      <c r="A1452" s="12">
        <f t="shared" si="4"/>
        <v>3450</v>
      </c>
      <c r="B1452" s="30" t="s">
        <v>10869</v>
      </c>
      <c r="C1452" s="7" t="str">
        <f t="shared" si="6"/>
        <v>🔊</v>
      </c>
      <c r="D1452" s="8" t="s">
        <v>10870</v>
      </c>
      <c r="E1452" s="6" t="s">
        <v>13</v>
      </c>
      <c r="F1452" s="12" t="str">
        <f>IFERROR(__xludf.DUMMYFUNCTION("GOOGLETRANSLATE(B1452,""zh_cn"",""vi"")"),"gây ra")</f>
        <v>gây ra</v>
      </c>
      <c r="G1452" s="20" t="s">
        <v>10871</v>
      </c>
      <c r="H1452" s="6"/>
      <c r="I1452" s="11" t="b">
        <f t="shared" si="2"/>
        <v>0</v>
      </c>
      <c r="J1452" s="24"/>
      <c r="K1452" s="11" t="b">
        <f t="shared" si="3"/>
        <v>0</v>
      </c>
    </row>
    <row r="1453" ht="22.5" customHeight="1">
      <c r="A1453" s="12">
        <f t="shared" si="4"/>
        <v>3451</v>
      </c>
      <c r="B1453" s="30" t="s">
        <v>10872</v>
      </c>
      <c r="C1453" s="7" t="str">
        <f t="shared" si="6"/>
        <v>🔊</v>
      </c>
      <c r="D1453" s="8" t="s">
        <v>10873</v>
      </c>
      <c r="E1453" s="6" t="s">
        <v>99</v>
      </c>
      <c r="F1453" s="12" t="str">
        <f>IFERROR(__xludf.DUMMYFUNCTION("GOOGLETRANSLATE(B1453,""zh_cn"",""vi"")"),"Ối")</f>
        <v>Ối</v>
      </c>
      <c r="G1453" s="20" t="s">
        <v>10874</v>
      </c>
      <c r="H1453" s="6"/>
      <c r="I1453" s="11" t="b">
        <f t="shared" si="2"/>
        <v>0</v>
      </c>
      <c r="J1453" s="24"/>
      <c r="K1453" s="11" t="b">
        <f t="shared" si="3"/>
        <v>0</v>
      </c>
    </row>
    <row r="1454" ht="22.5" customHeight="1">
      <c r="A1454" s="12">
        <f t="shared" si="4"/>
        <v>3452</v>
      </c>
      <c r="B1454" s="30" t="s">
        <v>10875</v>
      </c>
      <c r="C1454" s="7" t="str">
        <f t="shared" si="6"/>
        <v>🔊</v>
      </c>
      <c r="D1454" s="8" t="s">
        <v>10876</v>
      </c>
      <c r="E1454" s="6" t="s">
        <v>27</v>
      </c>
      <c r="F1454" s="12" t="str">
        <f>IFERROR(__xludf.DUMMYFUNCTION("GOOGLETRANSLATE(B1454,""zh_cn"",""vi"")"),"Sớm")</f>
        <v>Sớm</v>
      </c>
      <c r="G1454" s="20" t="s">
        <v>10877</v>
      </c>
      <c r="H1454" s="6"/>
      <c r="I1454" s="11" t="b">
        <f t="shared" si="2"/>
        <v>0</v>
      </c>
      <c r="J1454" s="24"/>
      <c r="K1454" s="11" t="b">
        <f t="shared" si="3"/>
        <v>0</v>
      </c>
    </row>
    <row r="1455" ht="22.5" customHeight="1">
      <c r="A1455" s="12">
        <f t="shared" si="4"/>
        <v>3453</v>
      </c>
      <c r="B1455" s="30" t="s">
        <v>10878</v>
      </c>
      <c r="C1455" s="7" t="str">
        <f t="shared" si="6"/>
        <v>🔊</v>
      </c>
      <c r="D1455" s="8" t="s">
        <v>10879</v>
      </c>
      <c r="E1455" s="6" t="s">
        <v>3089</v>
      </c>
      <c r="F1455" s="12" t="str">
        <f>IFERROR(__xludf.DUMMYFUNCTION("GOOGLETRANSLATE(B1455,""zh_cn"",""vi"")"),"Sáng và tối")</f>
        <v>Sáng và tối</v>
      </c>
      <c r="G1455" s="20" t="s">
        <v>10880</v>
      </c>
      <c r="H1455" s="6"/>
      <c r="I1455" s="11" t="b">
        <f t="shared" si="2"/>
        <v>0</v>
      </c>
      <c r="J1455" s="24"/>
      <c r="K1455" s="11" t="b">
        <f t="shared" si="3"/>
        <v>0</v>
      </c>
    </row>
    <row r="1456" ht="22.5" customHeight="1">
      <c r="A1456" s="12">
        <f t="shared" si="4"/>
        <v>3454</v>
      </c>
      <c r="B1456" s="30" t="s">
        <v>10881</v>
      </c>
      <c r="C1456" s="7" t="str">
        <f t="shared" si="6"/>
        <v>🔊</v>
      </c>
      <c r="D1456" s="8" t="s">
        <v>10882</v>
      </c>
      <c r="E1456" s="6" t="s">
        <v>61</v>
      </c>
      <c r="F1456" s="12" t="str">
        <f>IFERROR(__xludf.DUMMYFUNCTION("GOOGLETRANSLATE(B1456,""zh_cn"",""vi"")"),"từ rất lâu trước đây")</f>
        <v>từ rất lâu trước đây</v>
      </c>
      <c r="G1456" s="20" t="s">
        <v>10883</v>
      </c>
      <c r="H1456" s="6"/>
      <c r="I1456" s="11" t="b">
        <f t="shared" si="2"/>
        <v>0</v>
      </c>
      <c r="J1456" s="24"/>
      <c r="K1456" s="11" t="b">
        <f t="shared" si="3"/>
        <v>0</v>
      </c>
    </row>
    <row r="1457" ht="22.5" customHeight="1">
      <c r="A1457" s="12">
        <f t="shared" si="4"/>
        <v>3455</v>
      </c>
      <c r="B1457" s="30" t="s">
        <v>10884</v>
      </c>
      <c r="C1457" s="7" t="str">
        <f t="shared" si="6"/>
        <v>🔊</v>
      </c>
      <c r="D1457" s="8" t="s">
        <v>10885</v>
      </c>
      <c r="E1457" s="6" t="s">
        <v>13</v>
      </c>
      <c r="F1457" s="12" t="str">
        <f>IFERROR(__xludf.DUMMYFUNCTION("GOOGLETRANSLATE(B1457,""zh_cn"",""vi"")"),"Quà")</f>
        <v>Quà</v>
      </c>
      <c r="G1457" s="20" t="s">
        <v>10886</v>
      </c>
      <c r="H1457" s="6"/>
      <c r="I1457" s="11" t="b">
        <f t="shared" si="2"/>
        <v>0</v>
      </c>
      <c r="J1457" s="24"/>
      <c r="K1457" s="11" t="b">
        <f t="shared" si="3"/>
        <v>0</v>
      </c>
    </row>
    <row r="1458" ht="22.5" customHeight="1">
      <c r="A1458" s="12">
        <f t="shared" si="4"/>
        <v>3456</v>
      </c>
      <c r="B1458" s="30" t="s">
        <v>10887</v>
      </c>
      <c r="C1458" s="7" t="str">
        <f t="shared" si="6"/>
        <v>🔊</v>
      </c>
      <c r="D1458" s="8" t="s">
        <v>10888</v>
      </c>
      <c r="E1458" s="6" t="s">
        <v>13</v>
      </c>
      <c r="F1458" s="12" t="str">
        <f>IFERROR(__xludf.DUMMYFUNCTION("GOOGLETRANSLATE(B1458,""zh_cn"",""vi"")"),"tăng")</f>
        <v>tăng</v>
      </c>
      <c r="G1458" s="20" t="s">
        <v>10889</v>
      </c>
      <c r="H1458" s="6"/>
      <c r="I1458" s="11" t="b">
        <f t="shared" si="2"/>
        <v>0</v>
      </c>
      <c r="J1458" s="24"/>
      <c r="K1458" s="11" t="b">
        <f t="shared" si="3"/>
        <v>0</v>
      </c>
    </row>
    <row r="1459" ht="22.5" customHeight="1">
      <c r="A1459" s="12">
        <f t="shared" si="4"/>
        <v>3457</v>
      </c>
      <c r="B1459" s="30" t="s">
        <v>10890</v>
      </c>
      <c r="C1459" s="7" t="str">
        <f t="shared" si="6"/>
        <v>🔊</v>
      </c>
      <c r="D1459" s="8" t="s">
        <v>10891</v>
      </c>
      <c r="E1459" s="6" t="s">
        <v>13</v>
      </c>
      <c r="F1459" s="12" t="str">
        <f>IFERROR(__xludf.DUMMYFUNCTION("GOOGLETRANSLATE(B1459,""zh_cn"",""vi"")"),"nâng cao")</f>
        <v>nâng cao</v>
      </c>
      <c r="G1459" s="20" t="s">
        <v>10892</v>
      </c>
      <c r="H1459" s="6"/>
      <c r="I1459" s="11" t="b">
        <f t="shared" si="2"/>
        <v>0</v>
      </c>
      <c r="J1459" s="24"/>
      <c r="K1459" s="11" t="b">
        <f t="shared" si="3"/>
        <v>0</v>
      </c>
    </row>
    <row r="1460" ht="22.5" customHeight="1">
      <c r="A1460" s="12">
        <f t="shared" si="4"/>
        <v>3458</v>
      </c>
      <c r="B1460" s="30" t="s">
        <v>10893</v>
      </c>
      <c r="C1460" s="7" t="str">
        <f t="shared" si="6"/>
        <v>🔊</v>
      </c>
      <c r="D1460" s="8" t="s">
        <v>10894</v>
      </c>
      <c r="E1460" s="6" t="s">
        <v>13</v>
      </c>
      <c r="F1460" s="12" t="str">
        <f>IFERROR(__xludf.DUMMYFUNCTION("GOOGLETRANSLATE(B1460,""zh_cn"",""vi"")"),"Nâng cao")</f>
        <v>Nâng cao</v>
      </c>
      <c r="G1460" s="20" t="s">
        <v>10895</v>
      </c>
      <c r="H1460" s="6"/>
      <c r="I1460" s="11" t="b">
        <f t="shared" si="2"/>
        <v>0</v>
      </c>
      <c r="J1460" s="24"/>
      <c r="K1460" s="11" t="b">
        <f t="shared" si="3"/>
        <v>0</v>
      </c>
    </row>
    <row r="1461" ht="22.5" customHeight="1">
      <c r="A1461" s="12">
        <f t="shared" si="4"/>
        <v>3459</v>
      </c>
      <c r="B1461" s="30" t="s">
        <v>10896</v>
      </c>
      <c r="C1461" s="7" t="str">
        <f t="shared" si="6"/>
        <v>🔊</v>
      </c>
      <c r="D1461" s="8" t="s">
        <v>10897</v>
      </c>
      <c r="E1461" s="6" t="s">
        <v>13</v>
      </c>
      <c r="F1461" s="12" t="str">
        <f>IFERROR(__xludf.DUMMYFUNCTION("GOOGLETRANSLATE(B1461,""zh_cn"",""vi"")"),"Quà")</f>
        <v>Quà</v>
      </c>
      <c r="G1461" s="20" t="s">
        <v>10898</v>
      </c>
      <c r="H1461" s="6"/>
      <c r="I1461" s="11" t="b">
        <f t="shared" si="2"/>
        <v>0</v>
      </c>
      <c r="J1461" s="24"/>
      <c r="K1461" s="11" t="b">
        <f t="shared" si="3"/>
        <v>0</v>
      </c>
    </row>
    <row r="1462" ht="22.5" customHeight="1">
      <c r="A1462" s="12">
        <f t="shared" si="4"/>
        <v>3460</v>
      </c>
      <c r="B1462" s="30" t="s">
        <v>10899</v>
      </c>
      <c r="C1462" s="7" t="str">
        <f t="shared" si="6"/>
        <v>🔊</v>
      </c>
      <c r="D1462" s="8" t="s">
        <v>10900</v>
      </c>
      <c r="E1462" s="6" t="s">
        <v>13</v>
      </c>
      <c r="F1462" s="12" t="str">
        <f>IFERROR(__xludf.DUMMYFUNCTION("GOOGLETRANSLATE(B1462,""zh_cn"",""vi"")"),"chiên rán")</f>
        <v>chiên rán</v>
      </c>
      <c r="G1462" s="20" t="s">
        <v>10901</v>
      </c>
      <c r="H1462" s="6"/>
      <c r="I1462" s="11" t="b">
        <f t="shared" si="2"/>
        <v>0</v>
      </c>
      <c r="J1462" s="24"/>
      <c r="K1462" s="11" t="b">
        <f t="shared" si="3"/>
        <v>0</v>
      </c>
    </row>
    <row r="1463" ht="22.5" customHeight="1">
      <c r="A1463" s="12">
        <f t="shared" si="4"/>
        <v>3461</v>
      </c>
      <c r="B1463" s="30" t="s">
        <v>10902</v>
      </c>
      <c r="C1463" s="7" t="str">
        <f t="shared" si="6"/>
        <v>🔊</v>
      </c>
      <c r="D1463" s="8" t="s">
        <v>10903</v>
      </c>
      <c r="E1463" s="6" t="s">
        <v>99</v>
      </c>
      <c r="F1463" s="12" t="str">
        <f>IFERROR(__xludf.DUMMYFUNCTION("GOOGLETRANSLATE(B1463,""zh_cn"",""vi"")"),"chật hẹp")</f>
        <v>chật hẹp</v>
      </c>
      <c r="G1463" s="20" t="s">
        <v>10904</v>
      </c>
      <c r="H1463" s="6"/>
      <c r="I1463" s="11" t="b">
        <f t="shared" si="2"/>
        <v>0</v>
      </c>
      <c r="J1463" s="24"/>
      <c r="K1463" s="11" t="b">
        <f t="shared" si="3"/>
        <v>0</v>
      </c>
    </row>
    <row r="1464" ht="22.5" customHeight="1">
      <c r="A1464" s="12">
        <f t="shared" si="4"/>
        <v>3462</v>
      </c>
      <c r="B1464" s="30" t="s">
        <v>10905</v>
      </c>
      <c r="C1464" s="7" t="str">
        <f t="shared" si="6"/>
        <v>🔊</v>
      </c>
      <c r="D1464" s="8" t="s">
        <v>10906</v>
      </c>
      <c r="E1464" s="6" t="s">
        <v>13</v>
      </c>
      <c r="F1464" s="12" t="str">
        <f>IFERROR(__xludf.DUMMYFUNCTION("GOOGLETRANSLATE(B1464,""zh_cn"",""vi"")"),"Tóm tắt")</f>
        <v>Tóm tắt</v>
      </c>
      <c r="G1464" s="20" t="s">
        <v>10907</v>
      </c>
      <c r="H1464" s="6"/>
      <c r="I1464" s="11" t="b">
        <f t="shared" si="2"/>
        <v>0</v>
      </c>
      <c r="J1464" s="24"/>
      <c r="K1464" s="11" t="b">
        <f t="shared" si="3"/>
        <v>0</v>
      </c>
    </row>
    <row r="1465" ht="22.5" customHeight="1">
      <c r="A1465" s="12">
        <f t="shared" si="4"/>
        <v>3463</v>
      </c>
      <c r="B1465" s="30" t="s">
        <v>10908</v>
      </c>
      <c r="C1465" s="7" t="str">
        <f t="shared" si="6"/>
        <v>🔊</v>
      </c>
      <c r="D1465" s="8" t="s">
        <v>1656</v>
      </c>
      <c r="E1465" s="6" t="s">
        <v>13</v>
      </c>
      <c r="F1465" s="12" t="str">
        <f>IFERROR(__xludf.DUMMYFUNCTION("GOOGLETRANSLATE(B1465,""zh_cn"",""vi"")"),"chiếm đóng")</f>
        <v>chiếm đóng</v>
      </c>
      <c r="G1465" s="20" t="s">
        <v>10909</v>
      </c>
      <c r="H1465" s="6"/>
      <c r="I1465" s="11" t="b">
        <f t="shared" si="2"/>
        <v>0</v>
      </c>
      <c r="J1465" s="24"/>
      <c r="K1465" s="11" t="b">
        <f t="shared" si="3"/>
        <v>0</v>
      </c>
    </row>
    <row r="1466" ht="22.5" customHeight="1">
      <c r="A1466" s="12">
        <f t="shared" si="4"/>
        <v>3464</v>
      </c>
      <c r="B1466" s="30" t="s">
        <v>10910</v>
      </c>
      <c r="C1466" s="7" t="str">
        <f t="shared" si="6"/>
        <v>🔊</v>
      </c>
      <c r="D1466" s="8" t="s">
        <v>10911</v>
      </c>
      <c r="E1466" s="6" t="s">
        <v>13</v>
      </c>
      <c r="F1466" s="12" t="str">
        <f>IFERROR(__xludf.DUMMYFUNCTION("GOOGLETRANSLATE(B1466,""zh_cn"",""vi"")"),"trưng bày")</f>
        <v>trưng bày</v>
      </c>
      <c r="G1466" s="20" t="s">
        <v>10912</v>
      </c>
      <c r="H1466" s="6"/>
      <c r="I1466" s="11" t="b">
        <f t="shared" si="2"/>
        <v>0</v>
      </c>
      <c r="J1466" s="24"/>
      <c r="K1466" s="11" t="b">
        <f t="shared" si="3"/>
        <v>0</v>
      </c>
    </row>
    <row r="1467" ht="22.5" customHeight="1">
      <c r="A1467" s="12">
        <f t="shared" si="4"/>
        <v>3465</v>
      </c>
      <c r="B1467" s="30" t="s">
        <v>10913</v>
      </c>
      <c r="C1467" s="7" t="str">
        <f t="shared" si="6"/>
        <v>🔊</v>
      </c>
      <c r="D1467" s="8" t="s">
        <v>3210</v>
      </c>
      <c r="E1467" s="6" t="s">
        <v>13</v>
      </c>
      <c r="F1467" s="12" t="str">
        <f>IFERROR(__xludf.DUMMYFUNCTION("GOOGLETRANSLATE(B1467,""zh_cn"",""vi"")"),"tăng lên")</f>
        <v>tăng lên</v>
      </c>
      <c r="G1467" s="20" t="s">
        <v>10914</v>
      </c>
      <c r="H1467" s="6"/>
      <c r="I1467" s="11" t="b">
        <f t="shared" si="2"/>
        <v>0</v>
      </c>
      <c r="J1467" s="24"/>
      <c r="K1467" s="11" t="b">
        <f t="shared" si="3"/>
        <v>0</v>
      </c>
    </row>
    <row r="1468" ht="22.5" customHeight="1">
      <c r="A1468" s="12">
        <f t="shared" si="4"/>
        <v>3466</v>
      </c>
      <c r="B1468" s="30" t="s">
        <v>10915</v>
      </c>
      <c r="C1468" s="7" t="str">
        <f t="shared" si="6"/>
        <v>🔊</v>
      </c>
      <c r="D1468" s="8" t="s">
        <v>10916</v>
      </c>
      <c r="E1468" s="6" t="s">
        <v>27</v>
      </c>
      <c r="F1468" s="12" t="str">
        <f>IFERROR(__xludf.DUMMYFUNCTION("GOOGLETRANSLATE(B1468,""zh_cn"",""vi"")"),"tài khoản")</f>
        <v>tài khoản</v>
      </c>
      <c r="G1468" s="20" t="s">
        <v>10917</v>
      </c>
      <c r="H1468" s="6"/>
      <c r="I1468" s="11" t="b">
        <f t="shared" si="2"/>
        <v>0</v>
      </c>
      <c r="J1468" s="24"/>
      <c r="K1468" s="11" t="b">
        <f t="shared" si="3"/>
        <v>0</v>
      </c>
    </row>
    <row r="1469" ht="22.5" customHeight="1">
      <c r="A1469" s="12">
        <f t="shared" si="4"/>
        <v>3467</v>
      </c>
      <c r="B1469" s="30" t="s">
        <v>10918</v>
      </c>
      <c r="C1469" s="7" t="str">
        <f t="shared" si="6"/>
        <v>🔊</v>
      </c>
      <c r="D1469" s="8" t="s">
        <v>10919</v>
      </c>
      <c r="E1469" s="6" t="s">
        <v>27</v>
      </c>
      <c r="F1469" s="12" t="str">
        <f>IFERROR(__xludf.DUMMYFUNCTION("GOOGLETRANSLATE(B1469,""zh_cn"",""vi"")"),"Tài khoản")</f>
        <v>Tài khoản</v>
      </c>
      <c r="G1469" s="20" t="s">
        <v>10920</v>
      </c>
      <c r="H1469" s="6"/>
      <c r="I1469" s="11" t="b">
        <f t="shared" si="2"/>
        <v>0</v>
      </c>
      <c r="J1469" s="24"/>
      <c r="K1469" s="11" t="b">
        <f t="shared" si="3"/>
        <v>0</v>
      </c>
    </row>
    <row r="1470" ht="22.5" customHeight="1">
      <c r="A1470" s="12">
        <f t="shared" si="4"/>
        <v>3468</v>
      </c>
      <c r="B1470" s="30" t="s">
        <v>10921</v>
      </c>
      <c r="C1470" s="7" t="str">
        <f t="shared" si="6"/>
        <v>🔊</v>
      </c>
      <c r="D1470" s="8" t="s">
        <v>10922</v>
      </c>
      <c r="E1470" s="6" t="s">
        <v>13</v>
      </c>
      <c r="F1470" s="12" t="str">
        <f>IFERROR(__xludf.DUMMYFUNCTION("GOOGLETRANSLATE(B1470,""zh_cn"",""vi"")"),"Tăng giá")</f>
        <v>Tăng giá</v>
      </c>
      <c r="G1470" s="20" t="s">
        <v>10923</v>
      </c>
      <c r="H1470" s="6"/>
      <c r="I1470" s="11" t="b">
        <f t="shared" si="2"/>
        <v>0</v>
      </c>
      <c r="J1470" s="24"/>
      <c r="K1470" s="11" t="b">
        <f t="shared" si="3"/>
        <v>0</v>
      </c>
    </row>
    <row r="1471" ht="22.5" customHeight="1">
      <c r="A1471" s="12">
        <f t="shared" si="4"/>
        <v>3469</v>
      </c>
      <c r="B1471" s="30" t="s">
        <v>10924</v>
      </c>
      <c r="C1471" s="7" t="str">
        <f t="shared" si="6"/>
        <v>🔊</v>
      </c>
      <c r="D1471" s="8" t="s">
        <v>10925</v>
      </c>
      <c r="E1471" s="6" t="s">
        <v>27</v>
      </c>
      <c r="F1471" s="12" t="str">
        <f>IFERROR(__xludf.DUMMYFUNCTION("GOOGLETRANSLATE(B1471,""zh_cn"",""vi"")"),"tiếng vỗ tay")</f>
        <v>tiếng vỗ tay</v>
      </c>
      <c r="G1471" s="20" t="s">
        <v>10926</v>
      </c>
      <c r="H1471" s="6"/>
      <c r="I1471" s="11" t="b">
        <f t="shared" si="2"/>
        <v>0</v>
      </c>
      <c r="J1471" s="24"/>
      <c r="K1471" s="11" t="b">
        <f t="shared" si="3"/>
        <v>0</v>
      </c>
    </row>
    <row r="1472" ht="22.5" customHeight="1">
      <c r="A1472" s="12">
        <f t="shared" si="4"/>
        <v>3470</v>
      </c>
      <c r="B1472" s="30" t="s">
        <v>10927</v>
      </c>
      <c r="C1472" s="7" t="str">
        <f t="shared" si="6"/>
        <v>🔊</v>
      </c>
      <c r="D1472" s="8" t="s">
        <v>10928</v>
      </c>
      <c r="E1472" s="6" t="s">
        <v>13</v>
      </c>
      <c r="F1472" s="12" t="str">
        <f>IFERROR(__xludf.DUMMYFUNCTION("GOOGLETRANSLATE(B1472,""zh_cn"",""vi"")"),"bậc thầy")</f>
        <v>bậc thầy</v>
      </c>
      <c r="G1472" s="20" t="s">
        <v>10929</v>
      </c>
      <c r="H1472" s="6"/>
      <c r="I1472" s="11" t="b">
        <f t="shared" si="2"/>
        <v>0</v>
      </c>
      <c r="J1472" s="24"/>
      <c r="K1472" s="11" t="b">
        <f t="shared" si="3"/>
        <v>0</v>
      </c>
    </row>
    <row r="1473" ht="22.5" customHeight="1">
      <c r="A1473" s="12">
        <f t="shared" si="4"/>
        <v>3471</v>
      </c>
      <c r="B1473" s="30" t="s">
        <v>10930</v>
      </c>
      <c r="C1473" s="7" t="str">
        <f t="shared" si="6"/>
        <v>🔊</v>
      </c>
      <c r="D1473" s="8" t="s">
        <v>10931</v>
      </c>
      <c r="E1473" s="6" t="s">
        <v>13</v>
      </c>
      <c r="F1473" s="12" t="str">
        <f>IFERROR(__xludf.DUMMYFUNCTION("GOOGLETRANSLATE(B1473,""zh_cn"",""vi"")"),"Mở rộng")</f>
        <v>Mở rộng</v>
      </c>
      <c r="G1473" s="20" t="s">
        <v>10932</v>
      </c>
      <c r="H1473" s="6"/>
      <c r="I1473" s="11" t="b">
        <f t="shared" si="2"/>
        <v>0</v>
      </c>
      <c r="J1473" s="24"/>
      <c r="K1473" s="11" t="b">
        <f t="shared" si="3"/>
        <v>0</v>
      </c>
    </row>
    <row r="1474" ht="22.5" customHeight="1">
      <c r="A1474" s="12">
        <f t="shared" si="4"/>
        <v>3472</v>
      </c>
      <c r="B1474" s="30" t="s">
        <v>10933</v>
      </c>
      <c r="C1474" s="7" t="str">
        <f t="shared" si="6"/>
        <v>🔊</v>
      </c>
      <c r="D1474" s="8" t="s">
        <v>10934</v>
      </c>
      <c r="E1474" s="6" t="s">
        <v>13</v>
      </c>
      <c r="F1474" s="12" t="str">
        <f>IFERROR(__xludf.DUMMYFUNCTION("GOOGLETRANSLATE(B1474,""zh_cn"",""vi"")"),"triển lãm")</f>
        <v>triển lãm</v>
      </c>
      <c r="G1474" s="20" t="s">
        <v>10935</v>
      </c>
      <c r="H1474" s="6"/>
      <c r="I1474" s="11" t="b">
        <f t="shared" si="2"/>
        <v>0</v>
      </c>
      <c r="J1474" s="24"/>
      <c r="K1474" s="11" t="b">
        <f t="shared" si="3"/>
        <v>0</v>
      </c>
    </row>
    <row r="1475" ht="22.5" customHeight="1">
      <c r="A1475" s="12">
        <f t="shared" si="4"/>
        <v>3473</v>
      </c>
      <c r="B1475" s="30" t="s">
        <v>10936</v>
      </c>
      <c r="C1475" s="7" t="str">
        <f t="shared" si="6"/>
        <v>🔊</v>
      </c>
      <c r="D1475" s="8" t="s">
        <v>10937</v>
      </c>
      <c r="E1475" s="6" t="s">
        <v>13</v>
      </c>
      <c r="F1475" s="12" t="str">
        <f>IFERROR(__xludf.DUMMYFUNCTION("GOOGLETRANSLATE(B1475,""zh_cn"",""vi"")"),"triển lãm")</f>
        <v>triển lãm</v>
      </c>
      <c r="G1475" s="20" t="s">
        <v>10938</v>
      </c>
      <c r="H1475" s="6"/>
      <c r="I1475" s="11" t="b">
        <f t="shared" si="2"/>
        <v>0</v>
      </c>
      <c r="J1475" s="24"/>
      <c r="K1475" s="11" t="b">
        <f t="shared" si="3"/>
        <v>0</v>
      </c>
    </row>
    <row r="1476" ht="22.5" customHeight="1">
      <c r="A1476" s="12">
        <f t="shared" si="4"/>
        <v>3474</v>
      </c>
      <c r="B1476" s="30" t="s">
        <v>10939</v>
      </c>
      <c r="C1476" s="7" t="str">
        <f t="shared" si="6"/>
        <v>🔊</v>
      </c>
      <c r="D1476" s="8" t="s">
        <v>10940</v>
      </c>
      <c r="E1476" s="6" t="s">
        <v>27</v>
      </c>
      <c r="F1476" s="12" t="str">
        <f>IFERROR(__xludf.DUMMYFUNCTION("GOOGLETRANSLATE(B1476,""zh_cn"",""vi"")"),"Nền tảng")</f>
        <v>Nền tảng</v>
      </c>
      <c r="G1476" s="20" t="s">
        <v>10941</v>
      </c>
      <c r="H1476" s="6"/>
      <c r="I1476" s="11" t="b">
        <f t="shared" si="2"/>
        <v>0</v>
      </c>
      <c r="J1476" s="24"/>
      <c r="K1476" s="11" t="b">
        <f t="shared" si="3"/>
        <v>0</v>
      </c>
    </row>
    <row r="1477" ht="22.5" customHeight="1">
      <c r="A1477" s="12">
        <f t="shared" si="4"/>
        <v>3475</v>
      </c>
      <c r="B1477" s="30" t="s">
        <v>10942</v>
      </c>
      <c r="C1477" s="7" t="str">
        <f t="shared" si="6"/>
        <v>🔊</v>
      </c>
      <c r="D1477" s="8" t="s">
        <v>10943</v>
      </c>
      <c r="E1477" s="6" t="s">
        <v>13</v>
      </c>
      <c r="F1477" s="12" t="str">
        <f>IFERROR(__xludf.DUMMYFUNCTION("GOOGLETRANSLATE(B1477,""zh_cn"",""vi"")"),"Bận")</f>
        <v>Bận</v>
      </c>
      <c r="G1477" s="20" t="s">
        <v>10944</v>
      </c>
      <c r="H1477" s="6"/>
      <c r="I1477" s="11" t="b">
        <f t="shared" si="2"/>
        <v>0</v>
      </c>
      <c r="J1477" s="24"/>
      <c r="K1477" s="11" t="b">
        <f t="shared" si="3"/>
        <v>0</v>
      </c>
    </row>
    <row r="1478" ht="22.5" customHeight="1">
      <c r="A1478" s="12">
        <f t="shared" si="4"/>
        <v>3476</v>
      </c>
      <c r="B1478" s="30" t="s">
        <v>10945</v>
      </c>
      <c r="C1478" s="7" t="str">
        <f t="shared" si="6"/>
        <v>🔊</v>
      </c>
      <c r="D1478" s="8" t="s">
        <v>10946</v>
      </c>
      <c r="E1478" s="6" t="s">
        <v>13</v>
      </c>
      <c r="F1478" s="12" t="str">
        <f>IFERROR(__xludf.DUMMYFUNCTION("GOOGLETRANSLATE(B1478,""zh_cn"",""vi"")"),"Trình diễn")</f>
        <v>Trình diễn</v>
      </c>
      <c r="G1478" s="20" t="s">
        <v>10947</v>
      </c>
      <c r="H1478" s="6"/>
      <c r="I1478" s="11" t="b">
        <f t="shared" si="2"/>
        <v>0</v>
      </c>
      <c r="J1478" s="24"/>
      <c r="K1478" s="11" t="b">
        <f t="shared" si="3"/>
        <v>0</v>
      </c>
    </row>
    <row r="1479" ht="22.5" customHeight="1">
      <c r="A1479" s="12">
        <f t="shared" si="4"/>
        <v>3477</v>
      </c>
      <c r="B1479" s="30" t="s">
        <v>10948</v>
      </c>
      <c r="C1479" s="7" t="str">
        <f t="shared" si="6"/>
        <v>🔊</v>
      </c>
      <c r="D1479" s="8" t="s">
        <v>10949</v>
      </c>
      <c r="E1479" s="6" t="s">
        <v>13</v>
      </c>
      <c r="F1479" s="12" t="str">
        <f>IFERROR(__xludf.DUMMYFUNCTION("GOOGLETRANSLATE(B1479,""zh_cn"",""vi"")"),"triệu tập")</f>
        <v>triệu tập</v>
      </c>
      <c r="G1479" s="20" t="s">
        <v>10950</v>
      </c>
      <c r="H1479" s="6"/>
      <c r="I1479" s="11" t="b">
        <f t="shared" si="2"/>
        <v>0</v>
      </c>
      <c r="J1479" s="24"/>
      <c r="K1479" s="11" t="b">
        <f t="shared" si="3"/>
        <v>0</v>
      </c>
    </row>
    <row r="1480" ht="22.5" customHeight="1">
      <c r="A1480" s="12">
        <f t="shared" si="4"/>
        <v>3478</v>
      </c>
      <c r="B1480" s="30" t="s">
        <v>10951</v>
      </c>
      <c r="C1480" s="7" t="str">
        <f t="shared" si="6"/>
        <v>🔊</v>
      </c>
      <c r="D1480" s="8" t="s">
        <v>10952</v>
      </c>
      <c r="E1480" s="6" t="s">
        <v>13</v>
      </c>
      <c r="F1480" s="12" t="str">
        <f>IFERROR(__xludf.DUMMYFUNCTION("GOOGLETRANSLATE(B1480,""zh_cn"",""vi"")"),"Bị cảm lạnh")</f>
        <v>Bị cảm lạnh</v>
      </c>
      <c r="G1480" s="20" t="s">
        <v>10953</v>
      </c>
      <c r="H1480" s="6"/>
      <c r="I1480" s="11" t="b">
        <f t="shared" si="2"/>
        <v>0</v>
      </c>
      <c r="J1480" s="24"/>
      <c r="K1480" s="11" t="b">
        <f t="shared" si="3"/>
        <v>0</v>
      </c>
    </row>
    <row r="1481" ht="22.5" customHeight="1">
      <c r="A1481" s="12">
        <f t="shared" si="4"/>
        <v>3479</v>
      </c>
      <c r="B1481" s="30" t="s">
        <v>10954</v>
      </c>
      <c r="C1481" s="7" t="str">
        <f t="shared" si="6"/>
        <v>🔊</v>
      </c>
      <c r="D1481" s="8" t="s">
        <v>10955</v>
      </c>
      <c r="E1481" s="6" t="s">
        <v>27</v>
      </c>
      <c r="F1481" s="12" t="str">
        <f>IFERROR(__xludf.DUMMYFUNCTION("GOOGLETRANSLATE(B1481,""zh_cn"",""vi"")"),"Giảm giá")</f>
        <v>Giảm giá</v>
      </c>
      <c r="G1481" s="20" t="s">
        <v>10956</v>
      </c>
      <c r="H1481" s="6"/>
      <c r="I1481" s="11" t="b">
        <f t="shared" si="2"/>
        <v>0</v>
      </c>
      <c r="J1481" s="24"/>
      <c r="K1481" s="11" t="b">
        <f t="shared" si="3"/>
        <v>0</v>
      </c>
    </row>
    <row r="1482" ht="22.5" customHeight="1">
      <c r="A1482" s="12">
        <f t="shared" si="4"/>
        <v>3480</v>
      </c>
      <c r="B1482" s="30" t="s">
        <v>10957</v>
      </c>
      <c r="C1482" s="7" t="str">
        <f t="shared" si="6"/>
        <v>🔊</v>
      </c>
      <c r="D1482" s="8" t="s">
        <v>10958</v>
      </c>
      <c r="E1482" s="6" t="s">
        <v>47</v>
      </c>
      <c r="F1482" s="12" t="str">
        <f>IFERROR(__xludf.DUMMYFUNCTION("GOOGLETRANSLATE(B1482,""zh_cn"",""vi"")"),"sự hình thành")</f>
        <v>sự hình thành</v>
      </c>
      <c r="G1482" s="20" t="s">
        <v>10959</v>
      </c>
      <c r="H1482" s="6"/>
      <c r="I1482" s="11" t="b">
        <f t="shared" si="2"/>
        <v>0</v>
      </c>
      <c r="J1482" s="24"/>
      <c r="K1482" s="11" t="b">
        <f t="shared" si="3"/>
        <v>0</v>
      </c>
    </row>
    <row r="1483" ht="22.5" customHeight="1">
      <c r="A1483" s="12">
        <f t="shared" si="4"/>
        <v>3481</v>
      </c>
      <c r="B1483" s="30" t="s">
        <v>10960</v>
      </c>
      <c r="C1483" s="7" t="str">
        <f t="shared" si="6"/>
        <v>🔊</v>
      </c>
      <c r="D1483" s="8" t="s">
        <v>10961</v>
      </c>
      <c r="E1483" s="6" t="s">
        <v>99</v>
      </c>
      <c r="F1483" s="12" t="str">
        <f>IFERROR(__xludf.DUMMYFUNCTION("GOOGLETRANSLATE(B1483,""zh_cn"",""vi"")"),"chân thành")</f>
        <v>chân thành</v>
      </c>
      <c r="G1483" s="20" t="s">
        <v>10962</v>
      </c>
      <c r="H1483" s="6"/>
      <c r="I1483" s="11" t="b">
        <f t="shared" si="2"/>
        <v>0</v>
      </c>
      <c r="J1483" s="24"/>
      <c r="K1483" s="11" t="b">
        <f t="shared" si="3"/>
        <v>0</v>
      </c>
    </row>
    <row r="1484" ht="22.5" customHeight="1">
      <c r="A1484" s="12">
        <f t="shared" si="4"/>
        <v>3482</v>
      </c>
      <c r="B1484" s="30" t="s">
        <v>10963</v>
      </c>
      <c r="C1484" s="7" t="str">
        <f t="shared" si="6"/>
        <v>🔊</v>
      </c>
      <c r="D1484" s="8" t="s">
        <v>10964</v>
      </c>
      <c r="E1484" s="6" t="s">
        <v>13</v>
      </c>
      <c r="F1484" s="12" t="str">
        <f>IFERROR(__xludf.DUMMYFUNCTION("GOOGLETRANSLATE(B1484,""zh_cn"",""vi"")"),"chẩn đoán")</f>
        <v>chẩn đoán</v>
      </c>
      <c r="G1484" s="20" t="s">
        <v>10965</v>
      </c>
      <c r="H1484" s="6"/>
      <c r="I1484" s="11" t="b">
        <f t="shared" si="2"/>
        <v>0</v>
      </c>
      <c r="J1484" s="24"/>
      <c r="K1484" s="11" t="b">
        <f t="shared" si="3"/>
        <v>0</v>
      </c>
    </row>
    <row r="1485" ht="22.5" customHeight="1">
      <c r="A1485" s="12">
        <f t="shared" si="4"/>
        <v>3483</v>
      </c>
      <c r="B1485" s="30" t="s">
        <v>10966</v>
      </c>
      <c r="C1485" s="7" t="str">
        <f t="shared" si="6"/>
        <v>🔊</v>
      </c>
      <c r="D1485" s="8" t="s">
        <v>10967</v>
      </c>
      <c r="E1485" s="6" t="s">
        <v>13</v>
      </c>
      <c r="F1485" s="12" t="str">
        <f>IFERROR(__xludf.DUMMYFUNCTION("GOOGLETRANSLATE(B1485,""zh_cn"",""vi"")"),"chống lại")</f>
        <v>chống lại</v>
      </c>
      <c r="G1485" s="20" t="s">
        <v>10968</v>
      </c>
      <c r="H1485" s="6"/>
      <c r="I1485" s="11" t="b">
        <f t="shared" si="2"/>
        <v>0</v>
      </c>
      <c r="J1485" s="24"/>
      <c r="K1485" s="11" t="b">
        <f t="shared" si="3"/>
        <v>0</v>
      </c>
    </row>
    <row r="1486" ht="22.5" customHeight="1">
      <c r="A1486" s="12">
        <f t="shared" si="4"/>
        <v>3484</v>
      </c>
      <c r="B1486" s="30" t="s">
        <v>10969</v>
      </c>
      <c r="C1486" s="7" t="str">
        <f t="shared" si="6"/>
        <v>🔊</v>
      </c>
      <c r="D1486" s="8" t="s">
        <v>1672</v>
      </c>
      <c r="E1486" s="6" t="s">
        <v>13</v>
      </c>
      <c r="F1486" s="12" t="str">
        <f>IFERROR(__xludf.DUMMYFUNCTION("GOOGLETRANSLATE(B1486,""zh_cn"",""vi"")"),"kiếm")</f>
        <v>kiếm</v>
      </c>
      <c r="G1486" s="20" t="s">
        <v>10970</v>
      </c>
      <c r="H1486" s="6"/>
      <c r="I1486" s="11" t="b">
        <f t="shared" si="2"/>
        <v>0</v>
      </c>
      <c r="J1486" s="24"/>
      <c r="K1486" s="11" t="b">
        <f t="shared" si="3"/>
        <v>0</v>
      </c>
    </row>
    <row r="1487" ht="22.5" customHeight="1">
      <c r="A1487" s="12">
        <f t="shared" si="4"/>
        <v>3485</v>
      </c>
      <c r="B1487" s="30" t="s">
        <v>10971</v>
      </c>
      <c r="C1487" s="7" t="str">
        <f t="shared" si="6"/>
        <v>🔊</v>
      </c>
      <c r="D1487" s="8" t="s">
        <v>10972</v>
      </c>
      <c r="E1487" s="6" t="s">
        <v>13</v>
      </c>
      <c r="F1487" s="12" t="str">
        <f>IFERROR(__xludf.DUMMYFUNCTION("GOOGLETRANSLATE(B1487,""zh_cn"",""vi"")"),"Đấu tranh")</f>
        <v>Đấu tranh</v>
      </c>
      <c r="G1487" s="20" t="s">
        <v>10973</v>
      </c>
      <c r="H1487" s="6"/>
      <c r="I1487" s="11" t="b">
        <f t="shared" si="2"/>
        <v>0</v>
      </c>
      <c r="J1487" s="24"/>
      <c r="K1487" s="11" t="b">
        <f t="shared" si="3"/>
        <v>0</v>
      </c>
    </row>
    <row r="1488" ht="22.5" customHeight="1">
      <c r="A1488" s="12">
        <f t="shared" si="4"/>
        <v>3486</v>
      </c>
      <c r="B1488" s="30" t="s">
        <v>10974</v>
      </c>
      <c r="C1488" s="7" t="str">
        <f t="shared" si="6"/>
        <v>🔊</v>
      </c>
      <c r="D1488" s="8" t="s">
        <v>10975</v>
      </c>
      <c r="E1488" s="6" t="s">
        <v>27</v>
      </c>
      <c r="F1488" s="12" t="str">
        <f>IFERROR(__xludf.DUMMYFUNCTION("GOOGLETRANSLATE(B1488,""zh_cn"",""vi"")"),"chính phủ")</f>
        <v>chính phủ</v>
      </c>
      <c r="G1488" s="20" t="s">
        <v>10976</v>
      </c>
      <c r="H1488" s="6"/>
      <c r="I1488" s="11" t="b">
        <f t="shared" si="2"/>
        <v>0</v>
      </c>
      <c r="J1488" s="24"/>
      <c r="K1488" s="11" t="b">
        <f t="shared" si="3"/>
        <v>0</v>
      </c>
    </row>
    <row r="1489" ht="22.5" customHeight="1">
      <c r="A1489" s="12">
        <f t="shared" si="4"/>
        <v>3487</v>
      </c>
      <c r="B1489" s="30" t="s">
        <v>10977</v>
      </c>
      <c r="C1489" s="7" t="str">
        <f t="shared" si="6"/>
        <v>🔊</v>
      </c>
      <c r="D1489" s="8" t="s">
        <v>10978</v>
      </c>
      <c r="E1489" s="6" t="s">
        <v>27</v>
      </c>
      <c r="F1489" s="12" t="str">
        <f>IFERROR(__xludf.DUMMYFUNCTION("GOOGLETRANSLATE(B1489,""zh_cn"",""vi"")"),"chứng cớ")</f>
        <v>chứng cớ</v>
      </c>
      <c r="G1489" s="20" t="s">
        <v>10979</v>
      </c>
      <c r="H1489" s="6"/>
      <c r="I1489" s="11" t="b">
        <f t="shared" si="2"/>
        <v>0</v>
      </c>
      <c r="J1489" s="24"/>
      <c r="K1489" s="11" t="b">
        <f t="shared" si="3"/>
        <v>0</v>
      </c>
    </row>
    <row r="1490" ht="22.5" customHeight="1">
      <c r="A1490" s="12">
        <f t="shared" si="4"/>
        <v>3488</v>
      </c>
      <c r="B1490" s="30" t="s">
        <v>10980</v>
      </c>
      <c r="C1490" s="7" t="str">
        <f t="shared" si="6"/>
        <v>🔊</v>
      </c>
      <c r="D1490" s="8" t="s">
        <v>10981</v>
      </c>
      <c r="E1490" s="6" t="s">
        <v>99</v>
      </c>
      <c r="F1490" s="12" t="str">
        <f>IFERROR(__xludf.DUMMYFUNCTION("GOOGLETRANSLATE(B1490,""zh_cn"",""vi"")"),"ngăn nắp")</f>
        <v>ngăn nắp</v>
      </c>
      <c r="G1490" s="20" t="s">
        <v>10982</v>
      </c>
      <c r="H1490" s="6"/>
      <c r="I1490" s="11" t="b">
        <f t="shared" si="2"/>
        <v>0</v>
      </c>
      <c r="J1490" s="24"/>
      <c r="K1490" s="11" t="b">
        <f t="shared" si="3"/>
        <v>0</v>
      </c>
    </row>
    <row r="1491" ht="22.5" customHeight="1">
      <c r="A1491" s="12">
        <f t="shared" si="4"/>
        <v>3489</v>
      </c>
      <c r="B1491" s="30" t="s">
        <v>10983</v>
      </c>
      <c r="C1491" s="7" t="str">
        <f t="shared" si="6"/>
        <v>🔊</v>
      </c>
      <c r="D1491" s="8" t="s">
        <v>10984</v>
      </c>
      <c r="E1491" s="6" t="s">
        <v>13</v>
      </c>
      <c r="F1491" s="12" t="str">
        <f>IFERROR(__xludf.DUMMYFUNCTION("GOOGLETRANSLATE(B1491,""zh_cn"",""vi"")"),"Nỗ lực")</f>
        <v>Nỗ lực</v>
      </c>
      <c r="G1491" s="20" t="s">
        <v>10985</v>
      </c>
      <c r="H1491" s="6"/>
      <c r="I1491" s="11" t="b">
        <f t="shared" si="2"/>
        <v>0</v>
      </c>
      <c r="J1491" s="24"/>
      <c r="K1491" s="11" t="b">
        <f t="shared" si="3"/>
        <v>0</v>
      </c>
    </row>
    <row r="1492" ht="22.5" customHeight="1">
      <c r="A1492" s="12">
        <f t="shared" si="4"/>
        <v>3490</v>
      </c>
      <c r="B1492" s="30" t="s">
        <v>10986</v>
      </c>
      <c r="C1492" s="7" t="str">
        <f t="shared" si="6"/>
        <v>🔊</v>
      </c>
      <c r="D1492" s="8" t="s">
        <v>10987</v>
      </c>
      <c r="E1492" s="6" t="s">
        <v>13</v>
      </c>
      <c r="F1492" s="12" t="str">
        <f>IFERROR(__xludf.DUMMYFUNCTION("GOOGLETRANSLATE(B1492,""zh_cn"",""vi"")"),"BẰNG")</f>
        <v>BẰNG</v>
      </c>
      <c r="G1492" s="20" t="s">
        <v>10988</v>
      </c>
      <c r="H1492" s="6"/>
      <c r="I1492" s="11" t="b">
        <f t="shared" si="2"/>
        <v>0</v>
      </c>
      <c r="J1492" s="24"/>
      <c r="K1492" s="11" t="b">
        <f t="shared" si="3"/>
        <v>0</v>
      </c>
    </row>
    <row r="1493" ht="22.5" customHeight="1">
      <c r="A1493" s="12">
        <f t="shared" si="4"/>
        <v>3491</v>
      </c>
      <c r="B1493" s="30" t="s">
        <v>10989</v>
      </c>
      <c r="C1493" s="7" t="str">
        <f t="shared" si="6"/>
        <v>🔊</v>
      </c>
      <c r="D1493" s="8" t="s">
        <v>10990</v>
      </c>
      <c r="E1493" s="6" t="s">
        <v>27</v>
      </c>
      <c r="F1493" s="12" t="str">
        <f>IFERROR(__xludf.DUMMYFUNCTION("GOOGLETRANSLATE(B1493,""zh_cn"",""vi"")"),"Giấy chứng nhận")</f>
        <v>Giấy chứng nhận</v>
      </c>
      <c r="G1493" s="20" t="s">
        <v>10991</v>
      </c>
      <c r="H1493" s="6"/>
      <c r="I1493" s="11" t="b">
        <f t="shared" si="2"/>
        <v>0</v>
      </c>
      <c r="J1493" s="24"/>
      <c r="K1493" s="11" t="b">
        <f t="shared" si="3"/>
        <v>0</v>
      </c>
    </row>
    <row r="1494" ht="22.5" customHeight="1">
      <c r="A1494" s="12">
        <f t="shared" si="4"/>
        <v>3492</v>
      </c>
      <c r="B1494" s="30" t="s">
        <v>10992</v>
      </c>
      <c r="C1494" s="7" t="str">
        <f t="shared" si="6"/>
        <v>🔊</v>
      </c>
      <c r="D1494" s="8" t="s">
        <v>10993</v>
      </c>
      <c r="E1494" s="6" t="s">
        <v>27</v>
      </c>
      <c r="F1494" s="12" t="str">
        <f>IFERROR(__xludf.DUMMYFUNCTION("GOOGLETRANSLATE(B1494,""zh_cn"",""vi"")"),"tổng thể")</f>
        <v>tổng thể</v>
      </c>
      <c r="G1494" s="20" t="s">
        <v>10994</v>
      </c>
      <c r="H1494" s="6"/>
      <c r="I1494" s="11" t="b">
        <f t="shared" si="2"/>
        <v>0</v>
      </c>
      <c r="J1494" s="24"/>
      <c r="K1494" s="11" t="b">
        <f t="shared" si="3"/>
        <v>0</v>
      </c>
    </row>
    <row r="1495" ht="22.5" customHeight="1">
      <c r="A1495" s="12">
        <f t="shared" si="4"/>
        <v>3493</v>
      </c>
      <c r="B1495" s="30" t="s">
        <v>10995</v>
      </c>
      <c r="C1495" s="7" t="str">
        <f t="shared" si="6"/>
        <v>🔊</v>
      </c>
      <c r="D1495" s="8" t="s">
        <v>10996</v>
      </c>
      <c r="E1495" s="6" t="s">
        <v>99</v>
      </c>
      <c r="F1495" s="12" t="str">
        <f>IFERROR(__xludf.DUMMYFUNCTION("GOOGLETRANSLATE(B1495,""zh_cn"",""vi"")"),"quý giá")</f>
        <v>quý giá</v>
      </c>
      <c r="G1495" s="20" t="s">
        <v>10997</v>
      </c>
      <c r="H1495" s="6"/>
      <c r="I1495" s="11" t="b">
        <f t="shared" si="2"/>
        <v>0</v>
      </c>
      <c r="J1495" s="24"/>
      <c r="K1495" s="11" t="b">
        <f t="shared" si="3"/>
        <v>0</v>
      </c>
    </row>
    <row r="1496" ht="22.5" customHeight="1">
      <c r="A1496" s="12">
        <f t="shared" si="4"/>
        <v>3494</v>
      </c>
      <c r="B1496" s="30" t="s">
        <v>10998</v>
      </c>
      <c r="C1496" s="7" t="str">
        <f t="shared" si="6"/>
        <v>🔊</v>
      </c>
      <c r="D1496" s="8" t="s">
        <v>10999</v>
      </c>
      <c r="E1496" s="6" t="s">
        <v>61</v>
      </c>
      <c r="F1496" s="12" t="str">
        <f>IFERROR(__xludf.DUMMYFUNCTION("GOOGLETRANSLATE(B1496,""zh_cn"",""vi"")"),"đầy")</f>
        <v>đầy</v>
      </c>
      <c r="G1496" s="20" t="s">
        <v>11000</v>
      </c>
      <c r="H1496" s="6"/>
      <c r="I1496" s="11" t="b">
        <f t="shared" si="2"/>
        <v>0</v>
      </c>
      <c r="J1496" s="24"/>
      <c r="K1496" s="11" t="b">
        <f t="shared" si="3"/>
        <v>0</v>
      </c>
    </row>
    <row r="1497" ht="22.5" customHeight="1">
      <c r="A1497" s="12">
        <f t="shared" si="4"/>
        <v>3495</v>
      </c>
      <c r="B1497" s="30" t="s">
        <v>11001</v>
      </c>
      <c r="C1497" s="7" t="str">
        <f t="shared" si="6"/>
        <v>🔊</v>
      </c>
      <c r="D1497" s="8" t="s">
        <v>11002</v>
      </c>
      <c r="E1497" s="6" t="s">
        <v>27</v>
      </c>
      <c r="F1497" s="12" t="str">
        <f>IFERROR(__xludf.DUMMYFUNCTION("GOOGLETRANSLATE(B1497,""zh_cn"",""vi"")"),"chính trị")</f>
        <v>chính trị</v>
      </c>
      <c r="G1497" s="20" t="s">
        <v>11003</v>
      </c>
      <c r="H1497" s="6"/>
      <c r="I1497" s="11" t="b">
        <f t="shared" si="2"/>
        <v>0</v>
      </c>
      <c r="J1497" s="24"/>
      <c r="K1497" s="11" t="b">
        <f t="shared" si="3"/>
        <v>0</v>
      </c>
    </row>
    <row r="1498" ht="22.5" customHeight="1">
      <c r="A1498" s="12">
        <f t="shared" si="4"/>
        <v>3496</v>
      </c>
      <c r="B1498" s="30" t="s">
        <v>11004</v>
      </c>
      <c r="C1498" s="7" t="str">
        <f t="shared" si="6"/>
        <v>🔊</v>
      </c>
      <c r="D1498" s="8" t="s">
        <v>11005</v>
      </c>
      <c r="E1498" s="6" t="s">
        <v>99</v>
      </c>
      <c r="F1498" s="12" t="str">
        <f>IFERROR(__xludf.DUMMYFUNCTION("GOOGLETRANSLATE(B1498,""zh_cn"",""vi"")"),"thực tế")</f>
        <v>thực tế</v>
      </c>
      <c r="G1498" s="20" t="s">
        <v>11006</v>
      </c>
      <c r="H1498" s="6"/>
      <c r="I1498" s="11" t="b">
        <f t="shared" si="2"/>
        <v>0</v>
      </c>
      <c r="J1498" s="24"/>
      <c r="K1498" s="11" t="b">
        <f t="shared" si="3"/>
        <v>0</v>
      </c>
    </row>
    <row r="1499" ht="22.5" customHeight="1">
      <c r="A1499" s="12">
        <f t="shared" si="4"/>
        <v>3497</v>
      </c>
      <c r="B1499" s="30" t="s">
        <v>11007</v>
      </c>
      <c r="C1499" s="7" t="str">
        <f t="shared" si="6"/>
        <v>🔊</v>
      </c>
      <c r="D1499" s="8" t="s">
        <v>11008</v>
      </c>
      <c r="E1499" s="6" t="s">
        <v>13</v>
      </c>
      <c r="F1499" s="12" t="str">
        <f>IFERROR(__xludf.DUMMYFUNCTION("GOOGLETRANSLATE(B1499,""zh_cn"",""vi"")"),"trân trọng")</f>
        <v>trân trọng</v>
      </c>
      <c r="G1499" s="20" t="s">
        <v>11009</v>
      </c>
      <c r="H1499" s="6"/>
      <c r="I1499" s="11" t="b">
        <f t="shared" si="2"/>
        <v>0</v>
      </c>
      <c r="J1499" s="24"/>
      <c r="K1499" s="11" t="b">
        <f t="shared" si="3"/>
        <v>0</v>
      </c>
    </row>
    <row r="1500" ht="22.5" customHeight="1">
      <c r="A1500" s="12">
        <f t="shared" si="4"/>
        <v>3498</v>
      </c>
      <c r="B1500" s="30" t="s">
        <v>11010</v>
      </c>
      <c r="C1500" s="7" t="str">
        <f t="shared" si="6"/>
        <v>🔊</v>
      </c>
      <c r="D1500" s="8" t="s">
        <v>11011</v>
      </c>
      <c r="E1500" s="6" t="s">
        <v>27</v>
      </c>
      <c r="F1500" s="12" t="str">
        <f>IFERROR(__xludf.DUMMYFUNCTION("GOOGLETRANSLATE(B1500,""zh_cn"",""vi"")"),"triết lý")</f>
        <v>triết lý</v>
      </c>
      <c r="G1500" s="20" t="s">
        <v>11012</v>
      </c>
      <c r="H1500" s="6"/>
      <c r="I1500" s="11" t="b">
        <f t="shared" si="2"/>
        <v>0</v>
      </c>
      <c r="J1500" s="24"/>
      <c r="K1500" s="11" t="b">
        <f t="shared" si="3"/>
        <v>0</v>
      </c>
    </row>
    <row r="1501" ht="22.5" customHeight="1">
      <c r="A1501" s="12">
        <f t="shared" si="4"/>
        <v>3499</v>
      </c>
      <c r="B1501" s="30" t="s">
        <v>11013</v>
      </c>
      <c r="C1501" s="7" t="str">
        <f t="shared" si="6"/>
        <v>🔊</v>
      </c>
      <c r="D1501" s="8" t="s">
        <v>6404</v>
      </c>
      <c r="E1501" s="6" t="s">
        <v>7582</v>
      </c>
      <c r="F1501" s="12" t="str">
        <f>IFERROR(__xludf.DUMMYFUNCTION("GOOGLETRANSLATE(B1501,""zh_cn"",""vi"")"),"thẳng")</f>
        <v>thẳng</v>
      </c>
      <c r="G1501" s="20" t="s">
        <v>11014</v>
      </c>
      <c r="H1501" s="6"/>
      <c r="I1501" s="11" t="b">
        <f t="shared" si="2"/>
        <v>0</v>
      </c>
      <c r="J1501" s="24"/>
      <c r="K1501" s="11" t="b">
        <f t="shared" si="3"/>
        <v>0</v>
      </c>
    </row>
    <row r="1502" ht="22.5" customHeight="1">
      <c r="A1502" s="12">
        <f t="shared" si="4"/>
        <v>3500</v>
      </c>
      <c r="B1502" s="30" t="s">
        <v>11015</v>
      </c>
      <c r="C1502" s="7" t="str">
        <f t="shared" si="6"/>
        <v>🔊</v>
      </c>
      <c r="D1502" s="8" t="s">
        <v>11016</v>
      </c>
      <c r="E1502" s="6" t="s">
        <v>13</v>
      </c>
      <c r="F1502" s="12" t="str">
        <f>IFERROR(__xludf.DUMMYFUNCTION("GOOGLETRANSLATE(B1502,""zh_cn"",""vi"")"),"ĐẾN")</f>
        <v>ĐẾN</v>
      </c>
      <c r="G1502" s="20" t="s">
        <v>11017</v>
      </c>
      <c r="H1502" s="6"/>
      <c r="I1502" s="11" t="b">
        <f t="shared" si="2"/>
        <v>0</v>
      </c>
      <c r="J1502" s="24"/>
      <c r="K1502" s="11" t="b">
        <f t="shared" si="3"/>
        <v>0</v>
      </c>
    </row>
    <row r="1503" ht="22.5" customHeight="1">
      <c r="A1503" s="12">
        <f t="shared" si="4"/>
        <v>3501</v>
      </c>
      <c r="B1503" s="30" t="s">
        <v>11018</v>
      </c>
      <c r="C1503" s="7" t="str">
        <f t="shared" si="6"/>
        <v>🔊</v>
      </c>
      <c r="D1503" s="8" t="s">
        <v>11016</v>
      </c>
      <c r="E1503" s="6" t="s">
        <v>13</v>
      </c>
      <c r="F1503" s="12" t="str">
        <f>IFERROR(__xludf.DUMMYFUNCTION("GOOGLETRANSLATE(B1503,""zh_cn"",""vi"")"),"luật lệ")</f>
        <v>luật lệ</v>
      </c>
      <c r="G1503" s="20" t="s">
        <v>11019</v>
      </c>
      <c r="H1503" s="6"/>
      <c r="I1503" s="11" t="b">
        <f t="shared" si="2"/>
        <v>0</v>
      </c>
      <c r="J1503" s="24"/>
      <c r="K1503" s="11" t="b">
        <f t="shared" si="3"/>
        <v>0</v>
      </c>
    </row>
    <row r="1504" ht="22.5" customHeight="1">
      <c r="A1504" s="12">
        <f t="shared" si="4"/>
        <v>3502</v>
      </c>
      <c r="B1504" s="30" t="s">
        <v>11020</v>
      </c>
      <c r="C1504" s="7" t="str">
        <f t="shared" si="6"/>
        <v>🔊</v>
      </c>
      <c r="D1504" s="8" t="s">
        <v>3232</v>
      </c>
      <c r="E1504" s="6" t="s">
        <v>13</v>
      </c>
      <c r="F1504" s="12" t="str">
        <f>IFERROR(__xludf.DUMMYFUNCTION("GOOGLETRANSLATE(B1504,""zh_cn"",""vi"")"),"kết thúc")</f>
        <v>kết thúc</v>
      </c>
      <c r="G1504" s="20" t="s">
        <v>11021</v>
      </c>
      <c r="H1504" s="6"/>
      <c r="I1504" s="11" t="b">
        <f t="shared" si="2"/>
        <v>0</v>
      </c>
      <c r="J1504" s="24"/>
      <c r="K1504" s="11" t="b">
        <f t="shared" si="3"/>
        <v>0</v>
      </c>
    </row>
    <row r="1505" ht="22.5" customHeight="1">
      <c r="A1505" s="12">
        <f t="shared" si="4"/>
        <v>3503</v>
      </c>
      <c r="B1505" s="30" t="s">
        <v>11022</v>
      </c>
      <c r="C1505" s="7" t="str">
        <f t="shared" si="6"/>
        <v>🔊</v>
      </c>
      <c r="D1505" s="8" t="s">
        <v>977</v>
      </c>
      <c r="E1505" s="6" t="s">
        <v>47</v>
      </c>
      <c r="F1505" s="12" t="str">
        <f>IFERROR(__xludf.DUMMYFUNCTION("GOOGLETRANSLATE(B1505,""zh_cn"",""vi"")"),"Chi nhánh 1")</f>
        <v>Chi nhánh 1</v>
      </c>
      <c r="G1505" s="20" t="s">
        <v>11023</v>
      </c>
      <c r="H1505" s="6"/>
      <c r="I1505" s="11" t="b">
        <f t="shared" si="2"/>
        <v>0</v>
      </c>
      <c r="J1505" s="24"/>
      <c r="K1505" s="11" t="b">
        <f t="shared" si="3"/>
        <v>0</v>
      </c>
    </row>
    <row r="1506" ht="22.5" customHeight="1">
      <c r="A1506" s="12">
        <f t="shared" si="4"/>
        <v>3504</v>
      </c>
      <c r="B1506" s="30" t="s">
        <v>11024</v>
      </c>
      <c r="C1506" s="7" t="str">
        <f t="shared" si="6"/>
        <v>🔊</v>
      </c>
      <c r="D1506" s="8" t="s">
        <v>11025</v>
      </c>
      <c r="E1506" s="6" t="s">
        <v>13</v>
      </c>
      <c r="F1506" s="12" t="str">
        <f>IFERROR(__xludf.DUMMYFUNCTION("GOOGLETRANSLATE(B1506,""zh_cn"",""vi"")"),"phát trực tiếp")</f>
        <v>phát trực tiếp</v>
      </c>
      <c r="G1506" s="20" t="s">
        <v>11026</v>
      </c>
      <c r="H1506" s="6"/>
      <c r="I1506" s="11" t="b">
        <f t="shared" si="2"/>
        <v>0</v>
      </c>
      <c r="J1506" s="24"/>
      <c r="K1506" s="11" t="b">
        <f t="shared" si="3"/>
        <v>0</v>
      </c>
    </row>
    <row r="1507" ht="22.5" customHeight="1">
      <c r="A1507" s="12">
        <f t="shared" si="4"/>
        <v>3505</v>
      </c>
      <c r="B1507" s="30" t="s">
        <v>11027</v>
      </c>
      <c r="C1507" s="7" t="str">
        <f t="shared" si="6"/>
        <v>🔊</v>
      </c>
      <c r="D1507" s="8" t="s">
        <v>11028</v>
      </c>
      <c r="E1507" s="6" t="s">
        <v>27</v>
      </c>
      <c r="F1507" s="12" t="str">
        <f>IFERROR(__xludf.DUMMYFUNCTION("GOOGLETRANSLATE(B1507,""zh_cn"",""vi"")"),"Nơi làm việc")</f>
        <v>Nơi làm việc</v>
      </c>
      <c r="G1507" s="20" t="s">
        <v>11029</v>
      </c>
      <c r="H1507" s="6"/>
      <c r="I1507" s="11" t="b">
        <f t="shared" si="2"/>
        <v>0</v>
      </c>
      <c r="J1507" s="24"/>
      <c r="K1507" s="11" t="b">
        <f t="shared" si="3"/>
        <v>0</v>
      </c>
    </row>
    <row r="1508" ht="22.5" customHeight="1">
      <c r="A1508" s="12">
        <f t="shared" si="4"/>
        <v>3506</v>
      </c>
      <c r="B1508" s="30" t="s">
        <v>11030</v>
      </c>
      <c r="C1508" s="7" t="str">
        <f t="shared" si="6"/>
        <v>🔊</v>
      </c>
      <c r="D1508" s="8" t="s">
        <v>11031</v>
      </c>
      <c r="E1508" s="6" t="s">
        <v>13</v>
      </c>
      <c r="F1508" s="12" t="str">
        <f>IFERROR(__xludf.DUMMYFUNCTION("GOOGLETRANSLATE(B1508,""zh_cn"",""vi"")"),"hướng dẫn")</f>
        <v>hướng dẫn</v>
      </c>
      <c r="G1508" s="20" t="s">
        <v>11032</v>
      </c>
      <c r="H1508" s="6"/>
      <c r="I1508" s="11" t="b">
        <f t="shared" si="2"/>
        <v>0</v>
      </c>
      <c r="J1508" s="24"/>
      <c r="K1508" s="11" t="b">
        <f t="shared" si="3"/>
        <v>0</v>
      </c>
    </row>
    <row r="1509" ht="22.5" customHeight="1">
      <c r="A1509" s="12">
        <f t="shared" si="4"/>
        <v>3507</v>
      </c>
      <c r="B1509" s="30" t="s">
        <v>11033</v>
      </c>
      <c r="C1509" s="7" t="str">
        <f t="shared" si="6"/>
        <v>🔊</v>
      </c>
      <c r="D1509" s="8" t="s">
        <v>11034</v>
      </c>
      <c r="E1509" s="6" t="s">
        <v>13</v>
      </c>
      <c r="F1509" s="12" t="str">
        <f>IFERROR(__xludf.DUMMYFUNCTION("GOOGLETRANSLATE(B1509,""zh_cn"",""vi"")"),"Xây dựng công thức")</f>
        <v>Xây dựng công thức</v>
      </c>
      <c r="G1509" s="20" t="s">
        <v>11035</v>
      </c>
      <c r="H1509" s="6"/>
      <c r="I1509" s="11" t="b">
        <f t="shared" si="2"/>
        <v>0</v>
      </c>
      <c r="J1509" s="24"/>
      <c r="K1509" s="11" t="b">
        <f t="shared" si="3"/>
        <v>0</v>
      </c>
    </row>
    <row r="1510" ht="22.5" customHeight="1">
      <c r="A1510" s="12">
        <f t="shared" si="4"/>
        <v>3508</v>
      </c>
      <c r="B1510" s="30" t="s">
        <v>11036</v>
      </c>
      <c r="C1510" s="7" t="str">
        <f t="shared" si="6"/>
        <v>🔊</v>
      </c>
      <c r="D1510" s="8" t="s">
        <v>11034</v>
      </c>
      <c r="E1510" s="6" t="s">
        <v>13</v>
      </c>
      <c r="F1510" s="12" t="str">
        <f>IFERROR(__xludf.DUMMYFUNCTION("GOOGLETRANSLATE(B1510,""zh_cn"",""vi"")"),"Xây dựng công thức")</f>
        <v>Xây dựng công thức</v>
      </c>
      <c r="G1510" s="20" t="s">
        <v>11037</v>
      </c>
      <c r="H1510" s="6"/>
      <c r="I1510" s="11" t="b">
        <f t="shared" si="2"/>
        <v>0</v>
      </c>
      <c r="J1510" s="24"/>
      <c r="K1510" s="11" t="b">
        <f t="shared" si="3"/>
        <v>0</v>
      </c>
    </row>
    <row r="1511" ht="22.5" customHeight="1">
      <c r="A1511" s="12">
        <f t="shared" si="4"/>
        <v>3509</v>
      </c>
      <c r="B1511" s="30" t="s">
        <v>11038</v>
      </c>
      <c r="C1511" s="7" t="str">
        <f t="shared" si="6"/>
        <v>🔊</v>
      </c>
      <c r="D1511" s="8" t="s">
        <v>11039</v>
      </c>
      <c r="E1511" s="6" t="s">
        <v>27</v>
      </c>
      <c r="F1511" s="12" t="str">
        <f>IFERROR(__xludf.DUMMYFUNCTION("GOOGLETRANSLATE(B1511,""zh_cn"",""vi"")"),"hệ thống")</f>
        <v>hệ thống</v>
      </c>
      <c r="G1511" s="20" t="s">
        <v>11040</v>
      </c>
      <c r="H1511" s="6"/>
      <c r="I1511" s="11" t="b">
        <f t="shared" si="2"/>
        <v>0</v>
      </c>
      <c r="J1511" s="24"/>
      <c r="K1511" s="11" t="b">
        <f t="shared" si="3"/>
        <v>0</v>
      </c>
    </row>
    <row r="1512" ht="22.5" customHeight="1">
      <c r="A1512" s="12">
        <f t="shared" si="4"/>
        <v>3510</v>
      </c>
      <c r="B1512" s="30" t="s">
        <v>11041</v>
      </c>
      <c r="C1512" s="7" t="str">
        <f t="shared" si="6"/>
        <v>🔊</v>
      </c>
      <c r="D1512" s="8" t="s">
        <v>11042</v>
      </c>
      <c r="E1512" s="6" t="s">
        <v>27</v>
      </c>
      <c r="F1512" s="12" t="str">
        <f>IFERROR(__xludf.DUMMYFUNCTION("GOOGLETRANSLATE(B1512,""zh_cn"",""vi"")"),"nhân viên")</f>
        <v>nhân viên</v>
      </c>
      <c r="G1512" s="20" t="s">
        <v>11043</v>
      </c>
      <c r="H1512" s="6"/>
      <c r="I1512" s="11" t="b">
        <f t="shared" si="2"/>
        <v>0</v>
      </c>
      <c r="J1512" s="24"/>
      <c r="K1512" s="11" t="b">
        <f t="shared" si="3"/>
        <v>0</v>
      </c>
    </row>
    <row r="1513" ht="22.5" customHeight="1">
      <c r="A1513" s="12">
        <f t="shared" si="4"/>
        <v>3511</v>
      </c>
      <c r="B1513" s="30" t="s">
        <v>11044</v>
      </c>
      <c r="C1513" s="7" t="str">
        <f t="shared" si="6"/>
        <v>🔊</v>
      </c>
      <c r="D1513" s="8" t="s">
        <v>11045</v>
      </c>
      <c r="E1513" s="6" t="s">
        <v>27</v>
      </c>
      <c r="F1513" s="12" t="str">
        <f>IFERROR(__xludf.DUMMYFUNCTION("GOOGLETRANSLATE(B1513,""zh_cn"",""vi"")"),"khôn ngoan")</f>
        <v>khôn ngoan</v>
      </c>
      <c r="G1513" s="20" t="s">
        <v>11046</v>
      </c>
      <c r="H1513" s="6"/>
      <c r="I1513" s="11" t="b">
        <f t="shared" si="2"/>
        <v>0</v>
      </c>
      <c r="J1513" s="24"/>
      <c r="K1513" s="11" t="b">
        <f t="shared" si="3"/>
        <v>0</v>
      </c>
    </row>
    <row r="1514" ht="22.5" customHeight="1">
      <c r="A1514" s="12">
        <f t="shared" si="4"/>
        <v>3512</v>
      </c>
      <c r="B1514" s="30" t="s">
        <v>11047</v>
      </c>
      <c r="C1514" s="7" t="str">
        <f t="shared" si="6"/>
        <v>🔊</v>
      </c>
      <c r="D1514" s="8" t="s">
        <v>11048</v>
      </c>
      <c r="E1514" s="6" t="s">
        <v>61</v>
      </c>
      <c r="F1514" s="12" t="str">
        <f>IFERROR(__xludf.DUMMYFUNCTION("GOOGLETRANSLATE(B1514,""zh_cn"",""vi"")"),"cho đến nay")</f>
        <v>cho đến nay</v>
      </c>
      <c r="G1514" s="20" t="s">
        <v>11049</v>
      </c>
      <c r="H1514" s="6"/>
      <c r="I1514" s="11" t="b">
        <f t="shared" si="2"/>
        <v>0</v>
      </c>
      <c r="J1514" s="24"/>
      <c r="K1514" s="11" t="b">
        <f t="shared" si="3"/>
        <v>0</v>
      </c>
    </row>
    <row r="1515" ht="22.5" customHeight="1">
      <c r="A1515" s="12">
        <f t="shared" si="4"/>
        <v>3513</v>
      </c>
      <c r="B1515" s="30" t="s">
        <v>11050</v>
      </c>
      <c r="C1515" s="7" t="str">
        <f t="shared" si="6"/>
        <v>🔊</v>
      </c>
      <c r="D1515" s="8" t="s">
        <v>11051</v>
      </c>
      <c r="E1515" s="6" t="s">
        <v>13</v>
      </c>
      <c r="F1515" s="12" t="str">
        <f>IFERROR(__xludf.DUMMYFUNCTION("GOOGLETRANSLATE(B1515,""zh_cn"",""vi"")"),"đối xử")</f>
        <v>đối xử</v>
      </c>
      <c r="G1515" s="20" t="s">
        <v>11052</v>
      </c>
      <c r="H1515" s="6"/>
      <c r="I1515" s="11" t="b">
        <f t="shared" si="2"/>
        <v>0</v>
      </c>
      <c r="J1515" s="24"/>
      <c r="K1515" s="11" t="b">
        <f t="shared" si="3"/>
        <v>0</v>
      </c>
    </row>
    <row r="1516" ht="22.5" customHeight="1">
      <c r="A1516" s="12">
        <f t="shared" si="4"/>
        <v>3514</v>
      </c>
      <c r="B1516" s="30" t="s">
        <v>11053</v>
      </c>
      <c r="C1516" s="7" t="str">
        <f t="shared" si="6"/>
        <v>🔊</v>
      </c>
      <c r="D1516" s="8" t="s">
        <v>11054</v>
      </c>
      <c r="E1516" s="6" t="s">
        <v>99</v>
      </c>
      <c r="F1516" s="12" t="str">
        <f>IFERROR(__xludf.DUMMYFUNCTION("GOOGLETRANSLATE(B1516,""zh_cn"",""vi"")"),"nổi tiếng")</f>
        <v>nổi tiếng</v>
      </c>
      <c r="G1516" s="20" t="s">
        <v>11055</v>
      </c>
      <c r="H1516" s="6"/>
      <c r="I1516" s="11" t="b">
        <f t="shared" si="2"/>
        <v>0</v>
      </c>
      <c r="J1516" s="24"/>
      <c r="K1516" s="11" t="b">
        <f t="shared" si="3"/>
        <v>0</v>
      </c>
    </row>
    <row r="1517" ht="22.5" customHeight="1">
      <c r="A1517" s="12">
        <f t="shared" si="4"/>
        <v>3515</v>
      </c>
      <c r="B1517" s="30" t="s">
        <v>11056</v>
      </c>
      <c r="C1517" s="7" t="str">
        <f t="shared" si="6"/>
        <v>🔊</v>
      </c>
      <c r="D1517" s="8" t="s">
        <v>11057</v>
      </c>
      <c r="E1517" s="6" t="s">
        <v>3430</v>
      </c>
      <c r="F1517" s="12" t="str">
        <f>IFERROR(__xludf.DUMMYFUNCTION("GOOGLETRANSLATE(B1517,""zh_cn"",""vi"")"),"thông minh")</f>
        <v>thông minh</v>
      </c>
      <c r="G1517" s="20" t="s">
        <v>11058</v>
      </c>
      <c r="H1517" s="6"/>
      <c r="I1517" s="11" t="b">
        <f t="shared" si="2"/>
        <v>0</v>
      </c>
      <c r="J1517" s="24"/>
      <c r="K1517" s="11" t="b">
        <f t="shared" si="3"/>
        <v>0</v>
      </c>
    </row>
    <row r="1518" ht="22.5" customHeight="1">
      <c r="A1518" s="12">
        <f t="shared" si="4"/>
        <v>3516</v>
      </c>
      <c r="B1518" s="30" t="s">
        <v>11059</v>
      </c>
      <c r="C1518" s="7" t="str">
        <f t="shared" si="6"/>
        <v>🔊</v>
      </c>
      <c r="D1518" s="8" t="s">
        <v>11060</v>
      </c>
      <c r="E1518" s="6" t="s">
        <v>368</v>
      </c>
      <c r="F1518" s="12" t="str">
        <f>IFERROR(__xludf.DUMMYFUNCTION("GOOGLETRANSLATE(B1518,""zh_cn"",""vi"")"),"thực hiện")</f>
        <v>thực hiện</v>
      </c>
      <c r="G1518" s="20" t="s">
        <v>11061</v>
      </c>
      <c r="H1518" s="6"/>
      <c r="I1518" s="11" t="b">
        <f t="shared" si="2"/>
        <v>0</v>
      </c>
      <c r="J1518" s="24"/>
      <c r="K1518" s="11" t="b">
        <f t="shared" si="3"/>
        <v>0</v>
      </c>
    </row>
    <row r="1519" ht="22.5" customHeight="1">
      <c r="A1519" s="12">
        <f t="shared" si="4"/>
        <v>3517</v>
      </c>
      <c r="B1519" s="30" t="s">
        <v>11062</v>
      </c>
      <c r="C1519" s="7" t="str">
        <f t="shared" si="6"/>
        <v>🔊</v>
      </c>
      <c r="D1519" s="8" t="s">
        <v>11063</v>
      </c>
      <c r="E1519" s="6" t="s">
        <v>27</v>
      </c>
      <c r="F1519" s="12" t="str">
        <f>IFERROR(__xludf.DUMMYFUNCTION("GOOGLETRANSLATE(B1519,""zh_cn"",""vi"")"),"tình nguyện viên")</f>
        <v>tình nguyện viên</v>
      </c>
      <c r="G1519" s="20" t="s">
        <v>11064</v>
      </c>
      <c r="H1519" s="6"/>
      <c r="I1519" s="11" t="b">
        <f t="shared" si="2"/>
        <v>0</v>
      </c>
      <c r="J1519" s="24"/>
      <c r="K1519" s="11" t="b">
        <f t="shared" si="3"/>
        <v>0</v>
      </c>
    </row>
    <row r="1520" ht="22.5" customHeight="1">
      <c r="A1520" s="12">
        <f t="shared" si="4"/>
        <v>3518</v>
      </c>
      <c r="B1520" s="30" t="s">
        <v>11065</v>
      </c>
      <c r="C1520" s="7" t="str">
        <f t="shared" si="6"/>
        <v>🔊</v>
      </c>
      <c r="D1520" s="8" t="s">
        <v>11066</v>
      </c>
      <c r="E1520" s="6" t="s">
        <v>13</v>
      </c>
      <c r="F1520" s="12" t="str">
        <f>IFERROR(__xludf.DUMMYFUNCTION("GOOGLETRANSLATE(B1520,""zh_cn"",""vi"")"),"sản xuất")</f>
        <v>sản xuất</v>
      </c>
      <c r="G1520" s="20" t="s">
        <v>11067</v>
      </c>
      <c r="H1520" s="6"/>
      <c r="I1520" s="11" t="b">
        <f t="shared" si="2"/>
        <v>0</v>
      </c>
      <c r="J1520" s="24"/>
      <c r="K1520" s="11" t="b">
        <f t="shared" si="3"/>
        <v>0</v>
      </c>
    </row>
    <row r="1521" ht="22.5" customHeight="1">
      <c r="A1521" s="12">
        <f t="shared" si="4"/>
        <v>3519</v>
      </c>
      <c r="B1521" s="30" t="s">
        <v>11068</v>
      </c>
      <c r="C1521" s="7" t="str">
        <f t="shared" si="6"/>
        <v>🔊</v>
      </c>
      <c r="D1521" s="8" t="s">
        <v>11069</v>
      </c>
      <c r="E1521" s="6" t="s">
        <v>13</v>
      </c>
      <c r="F1521" s="12" t="str">
        <f>IFERROR(__xludf.DUMMYFUNCTION("GOOGLETRANSLATE(B1521,""zh_cn"",""vi"")"),"Sản xuất")</f>
        <v>Sản xuất</v>
      </c>
      <c r="G1521" s="20" t="s">
        <v>11070</v>
      </c>
      <c r="H1521" s="6"/>
      <c r="I1521" s="11" t="b">
        <f t="shared" si="2"/>
        <v>0</v>
      </c>
      <c r="J1521" s="24"/>
      <c r="K1521" s="11" t="b">
        <f t="shared" si="3"/>
        <v>0</v>
      </c>
    </row>
    <row r="1522" ht="22.5" customHeight="1">
      <c r="A1522" s="12">
        <f t="shared" si="4"/>
        <v>3520</v>
      </c>
      <c r="B1522" s="30" t="s">
        <v>11071</v>
      </c>
      <c r="C1522" s="7" t="str">
        <f t="shared" si="6"/>
        <v>🔊</v>
      </c>
      <c r="D1522" s="8" t="s">
        <v>11072</v>
      </c>
      <c r="E1522" s="6" t="s">
        <v>99</v>
      </c>
      <c r="F1522" s="12" t="str">
        <f>IFERROR(__xludf.DUMMYFUNCTION("GOOGLETRANSLATE(B1522,""zh_cn"",""vi"")"),"lớn lao")</f>
        <v>lớn lao</v>
      </c>
      <c r="G1522" s="20" t="s">
        <v>11073</v>
      </c>
      <c r="H1522" s="6"/>
      <c r="I1522" s="11" t="b">
        <f t="shared" si="2"/>
        <v>0</v>
      </c>
      <c r="J1522" s="24"/>
      <c r="K1522" s="11" t="b">
        <f t="shared" si="3"/>
        <v>0</v>
      </c>
    </row>
    <row r="1523" ht="22.5" customHeight="1">
      <c r="A1523" s="12">
        <f t="shared" si="4"/>
        <v>3521</v>
      </c>
      <c r="B1523" s="30" t="s">
        <v>11074</v>
      </c>
      <c r="C1523" s="7" t="str">
        <f t="shared" si="6"/>
        <v>🔊</v>
      </c>
      <c r="D1523" s="8" t="s">
        <v>11075</v>
      </c>
      <c r="E1523" s="6" t="s">
        <v>99</v>
      </c>
      <c r="F1523" s="12" t="str">
        <f>IFERROR(__xludf.DUMMYFUNCTION("GOOGLETRANSLATE(B1523,""zh_cn"",""vi"")"),"nhiều")</f>
        <v>nhiều</v>
      </c>
      <c r="G1523" s="20" t="s">
        <v>11076</v>
      </c>
      <c r="H1523" s="6"/>
      <c r="I1523" s="11" t="b">
        <f t="shared" si="2"/>
        <v>0</v>
      </c>
      <c r="J1523" s="24"/>
      <c r="K1523" s="11" t="b">
        <f t="shared" si="3"/>
        <v>0</v>
      </c>
    </row>
    <row r="1524" ht="22.5" customHeight="1">
      <c r="A1524" s="12">
        <f t="shared" si="4"/>
        <v>3522</v>
      </c>
      <c r="B1524" s="30" t="s">
        <v>11077</v>
      </c>
      <c r="C1524" s="7" t="str">
        <f t="shared" si="6"/>
        <v>🔊</v>
      </c>
      <c r="D1524" s="8" t="s">
        <v>11078</v>
      </c>
      <c r="E1524" s="6" t="s">
        <v>27</v>
      </c>
      <c r="F1524" s="12" t="str">
        <f>IFERROR(__xludf.DUMMYFUNCTION("GOOGLETRANSLATE(B1524,""zh_cn"",""vi"")"),"Trung Quốc")</f>
        <v>Trung Quốc</v>
      </c>
      <c r="G1524" s="20" t="s">
        <v>11079</v>
      </c>
      <c r="H1524" s="6"/>
      <c r="I1524" s="11" t="b">
        <f t="shared" si="2"/>
        <v>0</v>
      </c>
      <c r="J1524" s="24"/>
      <c r="K1524" s="11" t="b">
        <f t="shared" si="3"/>
        <v>0</v>
      </c>
    </row>
    <row r="1525" ht="22.5" customHeight="1">
      <c r="A1525" s="12">
        <f t="shared" si="4"/>
        <v>3523</v>
      </c>
      <c r="B1525" s="30" t="s">
        <v>11080</v>
      </c>
      <c r="C1525" s="7" t="str">
        <f t="shared" si="6"/>
        <v>🔊</v>
      </c>
      <c r="D1525" s="8" t="s">
        <v>11081</v>
      </c>
      <c r="E1525" s="14"/>
      <c r="F1525" s="12" t="str">
        <f>IFERROR(__xludf.DUMMYFUNCTION("GOOGLETRANSLATE(B1525,""zh_cn"",""vi"")"),"Quốc gia Trung Quốc")</f>
        <v>Quốc gia Trung Quốc</v>
      </c>
      <c r="G1525" s="20" t="s">
        <v>11082</v>
      </c>
      <c r="H1525" s="6"/>
      <c r="I1525" s="11" t="b">
        <f t="shared" si="2"/>
        <v>0</v>
      </c>
      <c r="J1525" s="24"/>
      <c r="K1525" s="11" t="b">
        <f t="shared" si="3"/>
        <v>0</v>
      </c>
    </row>
    <row r="1526" ht="22.5" customHeight="1">
      <c r="A1526" s="12">
        <f t="shared" si="4"/>
        <v>3524</v>
      </c>
      <c r="B1526" s="30" t="s">
        <v>11083</v>
      </c>
      <c r="C1526" s="7" t="str">
        <f t="shared" si="6"/>
        <v>🔊</v>
      </c>
      <c r="D1526" s="8" t="s">
        <v>11084</v>
      </c>
      <c r="E1526" s="6" t="s">
        <v>99</v>
      </c>
      <c r="F1526" s="12" t="str">
        <f>IFERROR(__xludf.DUMMYFUNCTION("GOOGLETRANSLATE(B1526,""zh_cn"",""vi"")"),"trung cấp")</f>
        <v>trung cấp</v>
      </c>
      <c r="G1526" s="20" t="s">
        <v>11085</v>
      </c>
      <c r="H1526" s="6"/>
      <c r="I1526" s="11" t="b">
        <f t="shared" si="2"/>
        <v>0</v>
      </c>
      <c r="J1526" s="24"/>
      <c r="K1526" s="11" t="b">
        <f t="shared" si="3"/>
        <v>0</v>
      </c>
    </row>
    <row r="1527" ht="22.5" customHeight="1">
      <c r="A1527" s="12">
        <f t="shared" si="4"/>
        <v>3525</v>
      </c>
      <c r="B1527" s="30" t="s">
        <v>11086</v>
      </c>
      <c r="C1527" s="7" t="str">
        <f t="shared" si="6"/>
        <v>🔊</v>
      </c>
      <c r="D1527" s="8" t="s">
        <v>11087</v>
      </c>
      <c r="E1527" s="6" t="s">
        <v>27</v>
      </c>
      <c r="F1527" s="12" t="str">
        <f>IFERROR(__xludf.DUMMYFUNCTION("GOOGLETRANSLATE(B1527,""zh_cn"",""vi"")"),"người trung gian")</f>
        <v>người trung gian</v>
      </c>
      <c r="G1527" s="20" t="s">
        <v>11088</v>
      </c>
      <c r="H1527" s="6"/>
      <c r="I1527" s="11" t="b">
        <f t="shared" si="2"/>
        <v>0</v>
      </c>
      <c r="J1527" s="24"/>
      <c r="K1527" s="11" t="b">
        <f t="shared" si="3"/>
        <v>0</v>
      </c>
    </row>
    <row r="1528" ht="22.5" customHeight="1">
      <c r="A1528" s="12">
        <f t="shared" si="4"/>
        <v>3526</v>
      </c>
      <c r="B1528" s="30" t="s">
        <v>11089</v>
      </c>
      <c r="C1528" s="7" t="str">
        <f t="shared" si="6"/>
        <v>🔊</v>
      </c>
      <c r="D1528" s="8" t="s">
        <v>11090</v>
      </c>
      <c r="E1528" s="6" t="s">
        <v>27</v>
      </c>
      <c r="F1528" s="12" t="str">
        <f>IFERROR(__xludf.DUMMYFUNCTION("GOOGLETRANSLATE(B1528,""zh_cn"",""vi"")"),"kiểu")</f>
        <v>kiểu</v>
      </c>
      <c r="G1528" s="20" t="s">
        <v>11091</v>
      </c>
      <c r="H1528" s="6"/>
      <c r="I1528" s="11" t="b">
        <f t="shared" si="2"/>
        <v>0</v>
      </c>
      <c r="J1528" s="24"/>
      <c r="K1528" s="11" t="b">
        <f t="shared" si="3"/>
        <v>0</v>
      </c>
    </row>
    <row r="1529" ht="22.5" customHeight="1">
      <c r="A1529" s="12">
        <f t="shared" si="4"/>
        <v>3527</v>
      </c>
      <c r="B1529" s="30" t="s">
        <v>11092</v>
      </c>
      <c r="C1529" s="7" t="str">
        <f t="shared" si="6"/>
        <v>🔊</v>
      </c>
      <c r="D1529" s="8" t="s">
        <v>11093</v>
      </c>
      <c r="E1529" s="6" t="s">
        <v>27</v>
      </c>
      <c r="F1529" s="12" t="str">
        <f>IFERROR(__xludf.DUMMYFUNCTION("GOOGLETRANSLATE(B1529,""zh_cn"",""vi"")"),"cân nặng")</f>
        <v>cân nặng</v>
      </c>
      <c r="G1529" s="20" t="s">
        <v>11094</v>
      </c>
      <c r="H1529" s="6"/>
      <c r="I1529" s="11" t="b">
        <f t="shared" si="2"/>
        <v>0</v>
      </c>
      <c r="J1529" s="24"/>
      <c r="K1529" s="11" t="b">
        <f t="shared" si="3"/>
        <v>0</v>
      </c>
    </row>
    <row r="1530" ht="22.5" customHeight="1">
      <c r="A1530" s="12">
        <f t="shared" si="4"/>
        <v>3528</v>
      </c>
      <c r="B1530" s="30" t="s">
        <v>11095</v>
      </c>
      <c r="C1530" s="7" t="str">
        <f t="shared" si="6"/>
        <v>🔊</v>
      </c>
      <c r="D1530" s="8" t="s">
        <v>11096</v>
      </c>
      <c r="E1530" s="6" t="s">
        <v>27</v>
      </c>
      <c r="F1530" s="12" t="str">
        <f>IFERROR(__xludf.DUMMYFUNCTION("GOOGLETRANSLATE(B1530,""zh_cn"",""vi"")"),"Giữa kỳ")</f>
        <v>Giữa kỳ</v>
      </c>
      <c r="G1530" s="20" t="s">
        <v>11097</v>
      </c>
      <c r="H1530" s="6"/>
      <c r="I1530" s="11" t="b">
        <f t="shared" si="2"/>
        <v>0</v>
      </c>
      <c r="J1530" s="24"/>
      <c r="K1530" s="11" t="b">
        <f t="shared" si="3"/>
        <v>0</v>
      </c>
    </row>
    <row r="1531" ht="22.5" customHeight="1">
      <c r="A1531" s="12">
        <f t="shared" si="4"/>
        <v>3529</v>
      </c>
      <c r="B1531" s="30" t="s">
        <v>11098</v>
      </c>
      <c r="C1531" s="7" t="str">
        <f t="shared" si="6"/>
        <v>🔊</v>
      </c>
      <c r="D1531" s="8" t="s">
        <v>11099</v>
      </c>
      <c r="E1531" s="6" t="s">
        <v>27</v>
      </c>
      <c r="F1531" s="12" t="str">
        <f>IFERROR(__xludf.DUMMYFUNCTION("GOOGLETRANSLATE(B1531,""zh_cn"",""vi"")"),"Trung Quốc và các nước ngoài")</f>
        <v>Trung Quốc và các nước ngoài</v>
      </c>
      <c r="G1531" s="20" t="s">
        <v>11100</v>
      </c>
      <c r="H1531" s="6"/>
      <c r="I1531" s="11" t="b">
        <f t="shared" si="2"/>
        <v>0</v>
      </c>
      <c r="J1531" s="24"/>
      <c r="K1531" s="11" t="b">
        <f t="shared" si="3"/>
        <v>0</v>
      </c>
    </row>
    <row r="1532" ht="22.5" customHeight="1">
      <c r="A1532" s="12">
        <f t="shared" si="4"/>
        <v>3530</v>
      </c>
      <c r="B1532" s="30" t="s">
        <v>11101</v>
      </c>
      <c r="C1532" s="7" t="str">
        <f t="shared" si="6"/>
        <v>🔊</v>
      </c>
      <c r="D1532" s="8" t="s">
        <v>11102</v>
      </c>
      <c r="E1532" s="6" t="s">
        <v>27</v>
      </c>
      <c r="F1532" s="12" t="str">
        <f>IFERROR(__xludf.DUMMYFUNCTION("GOOGLETRANSLATE(B1532,""zh_cn"",""vi"")"),"trung tâm")</f>
        <v>trung tâm</v>
      </c>
      <c r="G1532" s="20" t="s">
        <v>11103</v>
      </c>
      <c r="H1532" s="6"/>
      <c r="I1532" s="11" t="b">
        <f t="shared" si="2"/>
        <v>0</v>
      </c>
      <c r="J1532" s="24"/>
      <c r="K1532" s="11" t="b">
        <f t="shared" si="3"/>
        <v>0</v>
      </c>
    </row>
    <row r="1533" ht="22.5" customHeight="1">
      <c r="A1533" s="12">
        <f t="shared" si="4"/>
        <v>3531</v>
      </c>
      <c r="B1533" s="30" t="s">
        <v>11104</v>
      </c>
      <c r="C1533" s="7" t="str">
        <f t="shared" si="6"/>
        <v>🔊</v>
      </c>
      <c r="D1533" s="8" t="s">
        <v>11105</v>
      </c>
      <c r="E1533" s="6" t="s">
        <v>27</v>
      </c>
      <c r="F1533" s="12" t="str">
        <f>IFERROR(__xludf.DUMMYFUNCTION("GOOGLETRANSLATE(B1533,""zh_cn"",""vi"")"),"y học cổ truyền Trung Quốc")</f>
        <v>y học cổ truyền Trung Quốc</v>
      </c>
      <c r="G1533" s="20" t="s">
        <v>11106</v>
      </c>
      <c r="H1533" s="6"/>
      <c r="I1533" s="11" t="b">
        <f t="shared" si="2"/>
        <v>0</v>
      </c>
      <c r="J1533" s="24"/>
      <c r="K1533" s="11" t="b">
        <f t="shared" si="3"/>
        <v>0</v>
      </c>
    </row>
    <row r="1534" ht="22.5" customHeight="1">
      <c r="A1534" s="12">
        <f t="shared" si="4"/>
        <v>3532</v>
      </c>
      <c r="B1534" s="30" t="s">
        <v>11107</v>
      </c>
      <c r="C1534" s="7" t="str">
        <f t="shared" si="6"/>
        <v>🔊</v>
      </c>
      <c r="D1534" s="8" t="s">
        <v>11108</v>
      </c>
      <c r="E1534" s="6" t="s">
        <v>27</v>
      </c>
      <c r="F1534" s="12" t="str">
        <f>IFERROR(__xludf.DUMMYFUNCTION("GOOGLETRANSLATE(B1534,""zh_cn"",""vi"")"),"Y học cổ truyền Trung Quốc")</f>
        <v>Y học cổ truyền Trung Quốc</v>
      </c>
      <c r="G1534" s="20" t="s">
        <v>11109</v>
      </c>
      <c r="H1534" s="6"/>
      <c r="I1534" s="11" t="b">
        <f t="shared" si="2"/>
        <v>0</v>
      </c>
      <c r="J1534" s="24"/>
      <c r="K1534" s="11" t="b">
        <f t="shared" si="3"/>
        <v>0</v>
      </c>
    </row>
    <row r="1535" ht="22.5" customHeight="1">
      <c r="A1535" s="12">
        <f t="shared" si="4"/>
        <v>3533</v>
      </c>
      <c r="B1535" s="30" t="s">
        <v>11110</v>
      </c>
      <c r="C1535" s="7" t="str">
        <f t="shared" si="6"/>
        <v>🔊</v>
      </c>
      <c r="D1535" s="8" t="s">
        <v>11111</v>
      </c>
      <c r="E1535" s="6" t="s">
        <v>13</v>
      </c>
      <c r="F1535" s="12" t="str">
        <f>IFERROR(__xludf.DUMMYFUNCTION("GOOGLETRANSLATE(B1535,""zh_cn"",""vi"")"),"Trồng cây")</f>
        <v>Trồng cây</v>
      </c>
      <c r="G1535" s="20" t="s">
        <v>11112</v>
      </c>
      <c r="H1535" s="6"/>
      <c r="I1535" s="11" t="b">
        <f t="shared" si="2"/>
        <v>0</v>
      </c>
      <c r="J1535" s="24"/>
      <c r="K1535" s="11" t="b">
        <f t="shared" si="3"/>
        <v>0</v>
      </c>
    </row>
    <row r="1536" ht="22.5" customHeight="1">
      <c r="A1536" s="12">
        <f t="shared" si="4"/>
        <v>3534</v>
      </c>
      <c r="B1536" s="30" t="s">
        <v>11113</v>
      </c>
      <c r="C1536" s="7" t="str">
        <f t="shared" si="6"/>
        <v>🔊</v>
      </c>
      <c r="D1536" s="8" t="s">
        <v>11114</v>
      </c>
      <c r="E1536" s="6" t="s">
        <v>27</v>
      </c>
      <c r="F1536" s="12" t="str">
        <f>IFERROR(__xludf.DUMMYFUNCTION("GOOGLETRANSLATE(B1536,""zh_cn"",""vi"")"),"hạt giống")</f>
        <v>hạt giống</v>
      </c>
      <c r="G1536" s="20" t="s">
        <v>11115</v>
      </c>
      <c r="H1536" s="6"/>
      <c r="I1536" s="11" t="b">
        <f t="shared" si="2"/>
        <v>0</v>
      </c>
      <c r="J1536" s="24"/>
      <c r="K1536" s="11" t="b">
        <f t="shared" si="3"/>
        <v>0</v>
      </c>
    </row>
    <row r="1537" ht="22.5" customHeight="1">
      <c r="A1537" s="12">
        <f t="shared" si="4"/>
        <v>3535</v>
      </c>
      <c r="B1537" s="30" t="s">
        <v>11116</v>
      </c>
      <c r="C1537" s="7" t="str">
        <f t="shared" si="6"/>
        <v>🔊</v>
      </c>
      <c r="D1537" s="8" t="s">
        <v>11117</v>
      </c>
      <c r="E1537" s="6" t="s">
        <v>27</v>
      </c>
      <c r="F1537" s="12" t="str">
        <f>IFERROR(__xludf.DUMMYFUNCTION("GOOGLETRANSLATE(B1537,""zh_cn"",""vi"")"),"dịp kỉ niệm")</f>
        <v>dịp kỉ niệm</v>
      </c>
      <c r="G1537" s="20" t="s">
        <v>11118</v>
      </c>
      <c r="H1537" s="6"/>
      <c r="I1537" s="11" t="b">
        <f t="shared" si="2"/>
        <v>0</v>
      </c>
      <c r="J1537" s="24"/>
      <c r="K1537" s="11" t="b">
        <f t="shared" si="3"/>
        <v>0</v>
      </c>
    </row>
    <row r="1538" ht="22.5" customHeight="1">
      <c r="A1538" s="12">
        <f t="shared" si="4"/>
        <v>3536</v>
      </c>
      <c r="B1538" s="30" t="s">
        <v>11119</v>
      </c>
      <c r="C1538" s="7" t="str">
        <f t="shared" si="6"/>
        <v>🔊</v>
      </c>
      <c r="D1538" s="8" t="s">
        <v>11120</v>
      </c>
      <c r="E1538" s="6" t="s">
        <v>13</v>
      </c>
      <c r="F1538" s="12" t="str">
        <f>IFERROR(__xludf.DUMMYFUNCTION("GOOGLETRANSLATE(B1538,""zh_cn"",""vi"")"),"đầu bếp")</f>
        <v>đầu bếp</v>
      </c>
      <c r="G1538" s="20" t="s">
        <v>11121</v>
      </c>
      <c r="H1538" s="6"/>
      <c r="I1538" s="11" t="b">
        <f t="shared" si="2"/>
        <v>0</v>
      </c>
      <c r="J1538" s="24"/>
      <c r="K1538" s="11" t="b">
        <f t="shared" si="3"/>
        <v>0</v>
      </c>
    </row>
    <row r="1539" ht="22.5" customHeight="1">
      <c r="A1539" s="12">
        <f t="shared" si="4"/>
        <v>3537</v>
      </c>
      <c r="B1539" s="30" t="s">
        <v>11122</v>
      </c>
      <c r="C1539" s="7" t="str">
        <f t="shared" si="6"/>
        <v>🔊</v>
      </c>
      <c r="D1539" s="8" t="s">
        <v>11123</v>
      </c>
      <c r="E1539" s="6" t="s">
        <v>27</v>
      </c>
      <c r="F1539" s="12" t="str">
        <f>IFERROR(__xludf.DUMMYFUNCTION("GOOGLETRANSLATE(B1539,""zh_cn"",""vi"")"),"con lợn")</f>
        <v>con lợn</v>
      </c>
      <c r="G1539" s="20" t="s">
        <v>11124</v>
      </c>
      <c r="H1539" s="6"/>
      <c r="I1539" s="11" t="b">
        <f t="shared" si="2"/>
        <v>0</v>
      </c>
      <c r="J1539" s="24"/>
      <c r="K1539" s="11" t="b">
        <f t="shared" si="3"/>
        <v>0</v>
      </c>
    </row>
    <row r="1540" ht="22.5" customHeight="1">
      <c r="A1540" s="12">
        <f t="shared" si="4"/>
        <v>3538</v>
      </c>
      <c r="B1540" s="30" t="s">
        <v>11125</v>
      </c>
      <c r="C1540" s="7" t="str">
        <f t="shared" si="6"/>
        <v>🔊</v>
      </c>
      <c r="D1540" s="8" t="s">
        <v>11126</v>
      </c>
      <c r="E1540" s="6" t="s">
        <v>13</v>
      </c>
      <c r="F1540" s="12" t="str">
        <f>IFERROR(__xludf.DUMMYFUNCTION("GOOGLETRANSLATE(B1540,""zh_cn"",""vi"")"),"Nắm bắt")</f>
        <v>Nắm bắt</v>
      </c>
      <c r="G1540" s="20" t="s">
        <v>11127</v>
      </c>
      <c r="H1540" s="6"/>
      <c r="I1540" s="11" t="b">
        <f t="shared" si="2"/>
        <v>0</v>
      </c>
      <c r="J1540" s="24"/>
      <c r="K1540" s="11" t="b">
        <f t="shared" si="3"/>
        <v>0</v>
      </c>
    </row>
    <row r="1541" ht="22.5" customHeight="1">
      <c r="A1541" s="12">
        <f t="shared" si="4"/>
        <v>3539</v>
      </c>
      <c r="B1541" s="30" t="s">
        <v>11128</v>
      </c>
      <c r="C1541" s="7" t="str">
        <f t="shared" si="6"/>
        <v>🔊</v>
      </c>
      <c r="D1541" s="8" t="s">
        <v>11129</v>
      </c>
      <c r="E1541" s="6" t="s">
        <v>13</v>
      </c>
      <c r="F1541" s="12" t="str">
        <f>IFERROR(__xludf.DUMMYFUNCTION("GOOGLETRANSLATE(B1541,""zh_cn"",""vi"")"),"hãy chú ý kỹ")</f>
        <v>hãy chú ý kỹ</v>
      </c>
      <c r="G1541" s="20" t="s">
        <v>11130</v>
      </c>
      <c r="H1541" s="6"/>
      <c r="I1541" s="11" t="b">
        <f t="shared" si="2"/>
        <v>0</v>
      </c>
      <c r="J1541" s="24"/>
      <c r="K1541" s="11" t="b">
        <f t="shared" si="3"/>
        <v>0</v>
      </c>
    </row>
    <row r="1542" ht="22.5" customHeight="1">
      <c r="A1542" s="12">
        <f t="shared" si="4"/>
        <v>3540</v>
      </c>
      <c r="B1542" s="30" t="s">
        <v>11131</v>
      </c>
      <c r="C1542" s="7" t="str">
        <f t="shared" si="6"/>
        <v>🔊</v>
      </c>
      <c r="D1542" s="8" t="s">
        <v>11132</v>
      </c>
      <c r="E1542" s="6" t="s">
        <v>13</v>
      </c>
      <c r="F1542" s="12" t="str">
        <f>IFERROR(__xludf.DUMMYFUNCTION("GOOGLETRANSLATE(B1542,""zh_cn"",""vi"")"),"thay đổi")</f>
        <v>thay đổi</v>
      </c>
      <c r="G1542" s="20" t="s">
        <v>11133</v>
      </c>
      <c r="H1542" s="6"/>
      <c r="I1542" s="11" t="b">
        <f t="shared" si="2"/>
        <v>0</v>
      </c>
      <c r="J1542" s="24"/>
      <c r="K1542" s="11" t="b">
        <f t="shared" si="3"/>
        <v>0</v>
      </c>
    </row>
    <row r="1543" ht="22.5" customHeight="1">
      <c r="A1543" s="12">
        <f t="shared" si="4"/>
        <v>3541</v>
      </c>
      <c r="B1543" s="30" t="s">
        <v>11134</v>
      </c>
      <c r="C1543" s="7" t="str">
        <f t="shared" si="6"/>
        <v>🔊</v>
      </c>
      <c r="D1543" s="8" t="s">
        <v>11135</v>
      </c>
      <c r="E1543" s="6" t="s">
        <v>13</v>
      </c>
      <c r="F1543" s="12" t="str">
        <f>IFERROR(__xludf.DUMMYFUNCTION("GOOGLETRANSLATE(B1543,""zh_cn"",""vi"")"),"Va chạm")</f>
        <v>Va chạm</v>
      </c>
      <c r="G1543" s="20" t="s">
        <v>11136</v>
      </c>
      <c r="H1543" s="6"/>
      <c r="I1543" s="11" t="b">
        <f t="shared" si="2"/>
        <v>0</v>
      </c>
      <c r="J1543" s="24"/>
      <c r="K1543" s="11" t="b">
        <f t="shared" si="3"/>
        <v>0</v>
      </c>
    </row>
    <row r="1544" ht="22.5" customHeight="1">
      <c r="A1544" s="12">
        <f t="shared" si="4"/>
        <v>3542</v>
      </c>
      <c r="B1544" s="30" t="s">
        <v>11137</v>
      </c>
      <c r="C1544" s="7" t="str">
        <f t="shared" si="6"/>
        <v>🔊</v>
      </c>
      <c r="D1544" s="8" t="s">
        <v>11138</v>
      </c>
      <c r="E1544" s="6" t="s">
        <v>13</v>
      </c>
      <c r="F1544" s="12" t="str">
        <f>IFERROR(__xludf.DUMMYFUNCTION("GOOGLETRANSLATE(B1544,""zh_cn"",""vi"")"),"Kể")</f>
        <v>Kể</v>
      </c>
      <c r="G1544" s="20" t="s">
        <v>11139</v>
      </c>
      <c r="H1544" s="6"/>
      <c r="I1544" s="11" t="b">
        <f t="shared" si="2"/>
        <v>0</v>
      </c>
      <c r="J1544" s="24"/>
      <c r="K1544" s="11" t="b">
        <f t="shared" si="3"/>
        <v>0</v>
      </c>
    </row>
    <row r="1545" ht="22.5" customHeight="1">
      <c r="A1545" s="12">
        <f t="shared" si="4"/>
        <v>3543</v>
      </c>
      <c r="B1545" s="30" t="s">
        <v>11140</v>
      </c>
      <c r="C1545" s="7" t="str">
        <f t="shared" si="6"/>
        <v>🔊</v>
      </c>
      <c r="D1545" s="8" t="s">
        <v>11141</v>
      </c>
      <c r="E1545" s="6" t="s">
        <v>27</v>
      </c>
      <c r="F1545" s="12" t="str">
        <f>IFERROR(__xludf.DUMMYFUNCTION("GOOGLETRANSLATE(B1545,""zh_cn"",""vi"")"),"tình huống")</f>
        <v>tình huống</v>
      </c>
      <c r="G1545" s="20" t="s">
        <v>11142</v>
      </c>
      <c r="H1545" s="6"/>
      <c r="I1545" s="11" t="b">
        <f t="shared" si="2"/>
        <v>0</v>
      </c>
      <c r="J1545" s="24"/>
      <c r="K1545" s="11" t="b">
        <f t="shared" si="3"/>
        <v>0</v>
      </c>
    </row>
    <row r="1546" ht="22.5" customHeight="1">
      <c r="A1546" s="12">
        <f t="shared" si="4"/>
        <v>3544</v>
      </c>
      <c r="B1546" s="30" t="s">
        <v>11143</v>
      </c>
      <c r="C1546" s="7" t="str">
        <f t="shared" si="6"/>
        <v>🔊</v>
      </c>
      <c r="D1546" s="8" t="s">
        <v>11144</v>
      </c>
      <c r="E1546" s="6" t="s">
        <v>232</v>
      </c>
      <c r="F1546" s="12" t="str">
        <f>IFERROR(__xludf.DUMMYFUNCTION("GOOGLETRANSLATE(B1546,""zh_cn"",""vi"")"),"trang trí")</f>
        <v>trang trí</v>
      </c>
      <c r="G1546" s="20" t="s">
        <v>11145</v>
      </c>
      <c r="H1546" s="6"/>
      <c r="I1546" s="11" t="b">
        <f t="shared" si="2"/>
        <v>0</v>
      </c>
      <c r="J1546" s="24"/>
      <c r="K1546" s="11" t="b">
        <f t="shared" si="3"/>
        <v>0</v>
      </c>
    </row>
    <row r="1547" ht="22.5" customHeight="1">
      <c r="A1547" s="12">
        <f t="shared" si="4"/>
        <v>3545</v>
      </c>
      <c r="B1547" s="30" t="s">
        <v>11146</v>
      </c>
      <c r="C1547" s="7" t="str">
        <f t="shared" si="6"/>
        <v>🔊</v>
      </c>
      <c r="D1547" s="8" t="s">
        <v>11147</v>
      </c>
      <c r="E1547" s="6" t="s">
        <v>27</v>
      </c>
      <c r="F1547" s="12" t="str">
        <f>IFERROR(__xludf.DUMMYFUNCTION("GOOGLETRANSLATE(B1547,""zh_cn"",""vi"")"),"tình trạng")</f>
        <v>tình trạng</v>
      </c>
      <c r="G1547" s="20" t="s">
        <v>11148</v>
      </c>
      <c r="H1547" s="6"/>
      <c r="I1547" s="11" t="b">
        <f t="shared" si="2"/>
        <v>0</v>
      </c>
      <c r="J1547" s="24"/>
      <c r="K1547" s="11" t="b">
        <f t="shared" si="3"/>
        <v>0</v>
      </c>
    </row>
    <row r="1548" ht="22.5" customHeight="1">
      <c r="A1548" s="12">
        <f t="shared" si="4"/>
        <v>3546</v>
      </c>
      <c r="B1548" s="30" t="s">
        <v>11149</v>
      </c>
      <c r="C1548" s="7" t="str">
        <f t="shared" si="6"/>
        <v>🔊</v>
      </c>
      <c r="D1548" s="8" t="s">
        <v>11150</v>
      </c>
      <c r="E1548" s="6" t="s">
        <v>13</v>
      </c>
      <c r="F1548" s="12" t="str">
        <f>IFERROR(__xludf.DUMMYFUNCTION("GOOGLETRANSLATE(B1548,""zh_cn"",""vi"")"),"cung cấp")</f>
        <v>cung cấp</v>
      </c>
      <c r="G1548" s="20" t="s">
        <v>11151</v>
      </c>
      <c r="H1548" s="6"/>
      <c r="I1548" s="11" t="b">
        <f t="shared" si="2"/>
        <v>0</v>
      </c>
      <c r="J1548" s="24"/>
      <c r="K1548" s="11" t="b">
        <f t="shared" si="3"/>
        <v>0</v>
      </c>
    </row>
    <row r="1549" ht="22.5" customHeight="1">
      <c r="A1549" s="12">
        <f t="shared" si="4"/>
        <v>3547</v>
      </c>
      <c r="B1549" s="30" t="s">
        <v>11152</v>
      </c>
      <c r="C1549" s="7" t="str">
        <f t="shared" si="6"/>
        <v>🔊</v>
      </c>
      <c r="D1549" s="8" t="s">
        <v>11153</v>
      </c>
      <c r="E1549" s="6" t="s">
        <v>27</v>
      </c>
      <c r="F1549" s="12" t="str">
        <f>IFERROR(__xludf.DUMMYFUNCTION("GOOGLETRANSLATE(B1549,""zh_cn"",""vi"")"),"chuyên gia")</f>
        <v>chuyên gia</v>
      </c>
      <c r="G1549" s="20" t="s">
        <v>11154</v>
      </c>
      <c r="H1549" s="6"/>
      <c r="I1549" s="11" t="b">
        <f t="shared" si="2"/>
        <v>0</v>
      </c>
      <c r="J1549" s="24"/>
      <c r="K1549" s="11" t="b">
        <f t="shared" si="3"/>
        <v>0</v>
      </c>
    </row>
    <row r="1550" ht="22.5" customHeight="1">
      <c r="A1550" s="12">
        <f t="shared" si="4"/>
        <v>3548</v>
      </c>
      <c r="B1550" s="30" t="s">
        <v>11155</v>
      </c>
      <c r="C1550" s="7" t="str">
        <f t="shared" si="6"/>
        <v>🔊</v>
      </c>
      <c r="D1550" s="8" t="s">
        <v>11156</v>
      </c>
      <c r="E1550" s="6" t="s">
        <v>99</v>
      </c>
      <c r="F1550" s="12" t="str">
        <f>IFERROR(__xludf.DUMMYFUNCTION("GOOGLETRANSLATE(B1550,""zh_cn"",""vi"")"),"tập trung")</f>
        <v>tập trung</v>
      </c>
      <c r="G1550" s="20" t="s">
        <v>11157</v>
      </c>
      <c r="H1550" s="6"/>
      <c r="I1550" s="11" t="b">
        <f t="shared" si="2"/>
        <v>0</v>
      </c>
      <c r="J1550" s="24"/>
      <c r="K1550" s="11" t="b">
        <f t="shared" si="3"/>
        <v>0</v>
      </c>
    </row>
    <row r="1551" ht="22.5" customHeight="1">
      <c r="A1551" s="12">
        <f t="shared" si="4"/>
        <v>3549</v>
      </c>
      <c r="B1551" s="30" t="s">
        <v>11158</v>
      </c>
      <c r="C1551" s="7" t="str">
        <f t="shared" si="6"/>
        <v>🔊</v>
      </c>
      <c r="D1551" s="8" t="s">
        <v>11159</v>
      </c>
      <c r="E1551" s="6" t="s">
        <v>61</v>
      </c>
      <c r="F1551" s="12" t="str">
        <f>IFERROR(__xludf.DUMMYFUNCTION("GOOGLETRANSLATE(B1551,""zh_cn"",""vi"")"),"Dần dần")</f>
        <v>Dần dần</v>
      </c>
      <c r="G1551" s="20" t="s">
        <v>11160</v>
      </c>
      <c r="H1551" s="6"/>
      <c r="I1551" s="11" t="b">
        <f t="shared" si="2"/>
        <v>0</v>
      </c>
      <c r="J1551" s="24"/>
      <c r="K1551" s="11" t="b">
        <f t="shared" si="3"/>
        <v>0</v>
      </c>
    </row>
    <row r="1552" ht="22.5" customHeight="1">
      <c r="A1552" s="12">
        <f t="shared" si="4"/>
        <v>3550</v>
      </c>
      <c r="B1552" s="30" t="s">
        <v>11161</v>
      </c>
      <c r="C1552" s="7" t="str">
        <f t="shared" si="6"/>
        <v>🔊</v>
      </c>
      <c r="D1552" s="8" t="s">
        <v>11162</v>
      </c>
      <c r="E1552" s="6" t="s">
        <v>13</v>
      </c>
      <c r="F1552" s="12" t="str">
        <f>IFERROR(__xludf.DUMMYFUNCTION("GOOGLETRANSLATE(B1552,""zh_cn"",""vi"")"),"đăng ký")</f>
        <v>đăng ký</v>
      </c>
      <c r="G1552" s="20" t="s">
        <v>11163</v>
      </c>
      <c r="H1552" s="6"/>
      <c r="I1552" s="11" t="b">
        <f t="shared" si="2"/>
        <v>0</v>
      </c>
      <c r="J1552" s="24"/>
      <c r="K1552" s="11" t="b">
        <f t="shared" si="3"/>
        <v>0</v>
      </c>
    </row>
    <row r="1553" ht="22.5" customHeight="1">
      <c r="A1553" s="12">
        <f t="shared" si="4"/>
        <v>3551</v>
      </c>
      <c r="B1553" s="30" t="s">
        <v>11164</v>
      </c>
      <c r="C1553" s="7" t="str">
        <f t="shared" si="6"/>
        <v>🔊</v>
      </c>
      <c r="D1553" s="8" t="s">
        <v>11165</v>
      </c>
      <c r="E1553" s="6" t="s">
        <v>13</v>
      </c>
      <c r="F1553" s="12" t="str">
        <f>IFERROR(__xludf.DUMMYFUNCTION("GOOGLETRANSLATE(B1553,""zh_cn"",""vi"")"),"Chủ nhà")</f>
        <v>Chủ nhà</v>
      </c>
      <c r="G1553" s="20" t="s">
        <v>11166</v>
      </c>
      <c r="H1553" s="6"/>
      <c r="I1553" s="11" t="b">
        <f t="shared" si="2"/>
        <v>0</v>
      </c>
      <c r="J1553" s="24"/>
      <c r="K1553" s="11" t="b">
        <f t="shared" si="3"/>
        <v>0</v>
      </c>
    </row>
    <row r="1554" ht="22.5" customHeight="1">
      <c r="A1554" s="12">
        <f t="shared" si="4"/>
        <v>3552</v>
      </c>
      <c r="B1554" s="30" t="s">
        <v>11167</v>
      </c>
      <c r="C1554" s="7" t="str">
        <f t="shared" si="6"/>
        <v>🔊</v>
      </c>
      <c r="D1554" s="8" t="s">
        <v>11168</v>
      </c>
      <c r="E1554" s="6" t="s">
        <v>99</v>
      </c>
      <c r="F1554" s="12" t="str">
        <f>IFERROR(__xludf.DUMMYFUNCTION("GOOGLETRANSLATE(B1554,""zh_cn"",""vi"")"),"sáng kiến")</f>
        <v>sáng kiến</v>
      </c>
      <c r="G1554" s="20" t="s">
        <v>11169</v>
      </c>
      <c r="H1554" s="6"/>
      <c r="I1554" s="11" t="b">
        <f t="shared" si="2"/>
        <v>0</v>
      </c>
      <c r="J1554" s="24"/>
      <c r="K1554" s="11" t="b">
        <f t="shared" si="3"/>
        <v>0</v>
      </c>
    </row>
    <row r="1555" ht="22.5" customHeight="1">
      <c r="A1555" s="12">
        <f t="shared" si="4"/>
        <v>3553</v>
      </c>
      <c r="B1555" s="30" t="s">
        <v>11170</v>
      </c>
      <c r="C1555" s="7" t="str">
        <f t="shared" si="6"/>
        <v>🔊</v>
      </c>
      <c r="D1555" s="8" t="s">
        <v>11171</v>
      </c>
      <c r="E1555" s="6" t="s">
        <v>27</v>
      </c>
      <c r="F1555" s="12" t="str">
        <f>IFERROR(__xludf.DUMMYFUNCTION("GOOGLETRANSLATE(B1555,""zh_cn"",""vi"")"),"nhà ở")</f>
        <v>nhà ở</v>
      </c>
      <c r="G1555" s="20" t="s">
        <v>11172</v>
      </c>
      <c r="H1555" s="6"/>
      <c r="I1555" s="11" t="b">
        <f t="shared" si="2"/>
        <v>0</v>
      </c>
      <c r="J1555" s="24"/>
      <c r="K1555" s="11" t="b">
        <f t="shared" si="3"/>
        <v>0</v>
      </c>
    </row>
    <row r="1556" ht="22.5" customHeight="1">
      <c r="A1556" s="12">
        <f t="shared" si="4"/>
        <v>3554</v>
      </c>
      <c r="B1556" s="30" t="s">
        <v>11173</v>
      </c>
      <c r="C1556" s="7" t="str">
        <f t="shared" si="6"/>
        <v>🔊</v>
      </c>
      <c r="D1556" s="8" t="s">
        <v>11174</v>
      </c>
      <c r="E1556" s="6" t="s">
        <v>99</v>
      </c>
      <c r="F1556" s="12" t="str">
        <f>IFERROR(__xludf.DUMMYFUNCTION("GOOGLETRANSLATE(B1556,""zh_cn"",""vi"")"),"chủ quan")</f>
        <v>chủ quan</v>
      </c>
      <c r="G1556" s="20" t="s">
        <v>11175</v>
      </c>
      <c r="H1556" s="6"/>
      <c r="I1556" s="11" t="b">
        <f t="shared" si="2"/>
        <v>0</v>
      </c>
      <c r="J1556" s="24"/>
      <c r="K1556" s="11" t="b">
        <f t="shared" si="3"/>
        <v>0</v>
      </c>
    </row>
    <row r="1557" ht="22.5" customHeight="1">
      <c r="A1557" s="12">
        <f t="shared" si="4"/>
        <v>3555</v>
      </c>
      <c r="B1557" s="30" t="s">
        <v>11176</v>
      </c>
      <c r="C1557" s="7" t="str">
        <f t="shared" si="6"/>
        <v>🔊</v>
      </c>
      <c r="D1557" s="8" t="s">
        <v>11177</v>
      </c>
      <c r="E1557" s="6" t="s">
        <v>13</v>
      </c>
      <c r="F1557" s="12" t="str">
        <f>IFERROR(__xludf.DUMMYFUNCTION("GOOGLETRANSLATE(B1557,""zh_cn"",""vi"")"),"Đuổi")</f>
        <v>Đuổi</v>
      </c>
      <c r="G1557" s="20" t="s">
        <v>11178</v>
      </c>
      <c r="H1557" s="6"/>
      <c r="I1557" s="11" t="b">
        <f t="shared" si="2"/>
        <v>0</v>
      </c>
      <c r="J1557" s="24"/>
      <c r="K1557" s="11" t="b">
        <f t="shared" si="3"/>
        <v>0</v>
      </c>
    </row>
    <row r="1558" ht="22.5" customHeight="1">
      <c r="A1558" s="12">
        <f t="shared" si="4"/>
        <v>3556</v>
      </c>
      <c r="B1558" s="30" t="s">
        <v>11179</v>
      </c>
      <c r="C1558" s="7" t="str">
        <f t="shared" si="6"/>
        <v>🔊</v>
      </c>
      <c r="D1558" s="8" t="s">
        <v>11180</v>
      </c>
      <c r="E1558" s="6" t="s">
        <v>13</v>
      </c>
      <c r="F1558" s="12" t="str">
        <f>IFERROR(__xludf.DUMMYFUNCTION("GOOGLETRANSLATE(B1558,""zh_cn"",""vi"")"),"Theo đuổi")</f>
        <v>Theo đuổi</v>
      </c>
      <c r="G1558" s="20" t="s">
        <v>11181</v>
      </c>
      <c r="H1558" s="6"/>
      <c r="I1558" s="11" t="b">
        <f t="shared" si="2"/>
        <v>0</v>
      </c>
      <c r="J1558" s="24"/>
      <c r="K1558" s="11" t="b">
        <f t="shared" si="3"/>
        <v>0</v>
      </c>
    </row>
    <row r="1559" ht="22.5" customHeight="1">
      <c r="A1559" s="12">
        <f t="shared" si="4"/>
        <v>3557</v>
      </c>
      <c r="B1559" s="30" t="s">
        <v>11182</v>
      </c>
      <c r="C1559" s="7" t="str">
        <f t="shared" si="6"/>
        <v>🔊</v>
      </c>
      <c r="D1559" s="8" t="s">
        <v>11183</v>
      </c>
      <c r="E1559" s="6" t="s">
        <v>61</v>
      </c>
      <c r="F1559" s="12" t="str">
        <f>IFERROR(__xludf.DUMMYFUNCTION("GOOGLETRANSLATE(B1559,""zh_cn"",""vi"")"),"dần dần")</f>
        <v>dần dần</v>
      </c>
      <c r="G1559" s="20" t="s">
        <v>11184</v>
      </c>
      <c r="H1559" s="6"/>
      <c r="I1559" s="11" t="b">
        <f t="shared" si="2"/>
        <v>0</v>
      </c>
      <c r="J1559" s="24"/>
      <c r="K1559" s="11" t="b">
        <f t="shared" si="3"/>
        <v>0</v>
      </c>
    </row>
    <row r="1560" ht="22.5" customHeight="1">
      <c r="A1560" s="12">
        <f t="shared" si="4"/>
        <v>3558</v>
      </c>
      <c r="B1560" s="30" t="s">
        <v>11185</v>
      </c>
      <c r="C1560" s="7" t="str">
        <f t="shared" si="6"/>
        <v>🔊</v>
      </c>
      <c r="D1560" s="8" t="s">
        <v>11186</v>
      </c>
      <c r="E1560" s="6" t="s">
        <v>27</v>
      </c>
      <c r="F1560" s="12" t="str">
        <f>IFERROR(__xludf.DUMMYFUNCTION("GOOGLETRANSLATE(B1560,""zh_cn"",""vi"")"),"Người sở hữu")</f>
        <v>Người sở hữu</v>
      </c>
      <c r="G1560" s="20" t="s">
        <v>11187</v>
      </c>
      <c r="H1560" s="6"/>
      <c r="I1560" s="11" t="b">
        <f t="shared" si="2"/>
        <v>0</v>
      </c>
      <c r="J1560" s="24"/>
      <c r="K1560" s="11" t="b">
        <f t="shared" si="3"/>
        <v>0</v>
      </c>
    </row>
    <row r="1561" ht="22.5" customHeight="1">
      <c r="A1561" s="12">
        <f t="shared" si="4"/>
        <v>3559</v>
      </c>
      <c r="B1561" s="30" t="s">
        <v>11188</v>
      </c>
      <c r="C1561" s="7" t="str">
        <f t="shared" si="6"/>
        <v>🔊</v>
      </c>
      <c r="D1561" s="8" t="s">
        <v>11189</v>
      </c>
      <c r="E1561" s="6" t="s">
        <v>27</v>
      </c>
      <c r="F1561" s="12" t="str">
        <f>IFERROR(__xludf.DUMMYFUNCTION("GOOGLETRANSLATE(B1561,""zh_cn"",""vi"")"),"giám đốc")</f>
        <v>giám đốc</v>
      </c>
      <c r="G1561" s="20" t="s">
        <v>11190</v>
      </c>
      <c r="H1561" s="6"/>
      <c r="I1561" s="11" t="b">
        <f t="shared" si="2"/>
        <v>0</v>
      </c>
      <c r="J1561" s="24"/>
      <c r="K1561" s="11" t="b">
        <f t="shared" si="3"/>
        <v>0</v>
      </c>
    </row>
    <row r="1562" ht="22.5" customHeight="1">
      <c r="A1562" s="12">
        <f t="shared" si="4"/>
        <v>3560</v>
      </c>
      <c r="B1562" s="30" t="s">
        <v>11191</v>
      </c>
      <c r="C1562" s="7" t="str">
        <f t="shared" si="6"/>
        <v>🔊</v>
      </c>
      <c r="D1562" s="8" t="s">
        <v>11192</v>
      </c>
      <c r="E1562" s="6" t="s">
        <v>27</v>
      </c>
      <c r="F1562" s="12" t="str">
        <f>IFERROR(__xludf.DUMMYFUNCTION("GOOGLETRANSLATE(B1562,""zh_cn"",""vi"")"),"thực phẩm chính")</f>
        <v>thực phẩm chính</v>
      </c>
      <c r="G1562" s="20" t="s">
        <v>11193</v>
      </c>
      <c r="H1562" s="6"/>
      <c r="I1562" s="11" t="b">
        <f t="shared" si="2"/>
        <v>0</v>
      </c>
      <c r="J1562" s="24"/>
      <c r="K1562" s="11" t="b">
        <f t="shared" si="3"/>
        <v>0</v>
      </c>
    </row>
    <row r="1563" ht="22.5" customHeight="1">
      <c r="A1563" s="12">
        <f t="shared" si="4"/>
        <v>3561</v>
      </c>
      <c r="B1563" s="30" t="s">
        <v>11194</v>
      </c>
      <c r="C1563" s="7" t="str">
        <f t="shared" si="6"/>
        <v>🔊</v>
      </c>
      <c r="D1563" s="8" t="s">
        <v>11195</v>
      </c>
      <c r="E1563" s="6" t="s">
        <v>13</v>
      </c>
      <c r="F1563" s="12" t="str">
        <f>IFERROR(__xludf.DUMMYFUNCTION("GOOGLETRANSLATE(B1563,""zh_cn"",""vi"")"),"ở lại")</f>
        <v>ở lại</v>
      </c>
      <c r="G1563" s="20" t="s">
        <v>11196</v>
      </c>
      <c r="H1563" s="6"/>
      <c r="I1563" s="11" t="b">
        <f t="shared" si="2"/>
        <v>0</v>
      </c>
      <c r="J1563" s="24"/>
      <c r="K1563" s="11" t="b">
        <f t="shared" si="3"/>
        <v>0</v>
      </c>
    </row>
    <row r="1564" ht="22.5" customHeight="1">
      <c r="A1564" s="12">
        <f t="shared" si="4"/>
        <v>3562</v>
      </c>
      <c r="B1564" s="30" t="s">
        <v>11197</v>
      </c>
      <c r="C1564" s="7" t="str">
        <f t="shared" si="6"/>
        <v>🔊</v>
      </c>
      <c r="D1564" s="8" t="s">
        <v>11198</v>
      </c>
      <c r="E1564" s="6" t="s">
        <v>27</v>
      </c>
      <c r="F1564" s="12" t="str">
        <f>IFERROR(__xludf.DUMMYFUNCTION("GOOGLETRANSLATE(B1564,""zh_cn"",""vi"")"),"chủ đề")</f>
        <v>chủ đề</v>
      </c>
      <c r="G1564" s="20" t="s">
        <v>11199</v>
      </c>
      <c r="H1564" s="6"/>
      <c r="I1564" s="11" t="b">
        <f t="shared" si="2"/>
        <v>0</v>
      </c>
      <c r="J1564" s="24"/>
      <c r="K1564" s="11" t="b">
        <f t="shared" si="3"/>
        <v>0</v>
      </c>
    </row>
    <row r="1565" ht="22.5" customHeight="1">
      <c r="A1565" s="12">
        <f t="shared" si="4"/>
        <v>3563</v>
      </c>
      <c r="B1565" s="30" t="s">
        <v>11200</v>
      </c>
      <c r="C1565" s="7" t="str">
        <f t="shared" si="6"/>
        <v>🔊</v>
      </c>
      <c r="D1565" s="8" t="s">
        <v>11201</v>
      </c>
      <c r="E1565" s="6" t="s">
        <v>27</v>
      </c>
      <c r="F1565" s="12" t="str">
        <f>IFERROR(__xludf.DUMMYFUNCTION("GOOGLETRANSLATE(B1565,""zh_cn"",""vi"")"),"Chủ tịch")</f>
        <v>Chủ tịch</v>
      </c>
      <c r="G1565" s="20" t="s">
        <v>11202</v>
      </c>
      <c r="H1565" s="6"/>
      <c r="I1565" s="11" t="b">
        <f t="shared" si="2"/>
        <v>0</v>
      </c>
      <c r="J1565" s="24"/>
      <c r="K1565" s="11" t="b">
        <f t="shared" si="3"/>
        <v>0</v>
      </c>
    </row>
    <row r="1566" ht="22.5" customHeight="1">
      <c r="A1566" s="12">
        <f t="shared" si="4"/>
        <v>3564</v>
      </c>
      <c r="B1566" s="30" t="s">
        <v>11203</v>
      </c>
      <c r="C1566" s="7" t="str">
        <f t="shared" si="6"/>
        <v>🔊</v>
      </c>
      <c r="D1566" s="8" t="s">
        <v>11204</v>
      </c>
      <c r="E1566" s="6" t="s">
        <v>27</v>
      </c>
      <c r="F1566" s="12" t="str">
        <f>IFERROR(__xludf.DUMMYFUNCTION("GOOGLETRANSLATE(B1566,""zh_cn"",""vi"")"),"Địa chỉ")</f>
        <v>Địa chỉ</v>
      </c>
      <c r="G1566" s="20" t="s">
        <v>11205</v>
      </c>
      <c r="H1566" s="6"/>
      <c r="I1566" s="11" t="b">
        <f t="shared" si="2"/>
        <v>0</v>
      </c>
      <c r="J1566" s="24"/>
      <c r="K1566" s="11" t="b">
        <f t="shared" si="3"/>
        <v>0</v>
      </c>
    </row>
    <row r="1567" ht="22.5" customHeight="1">
      <c r="A1567" s="12">
        <f t="shared" si="4"/>
        <v>3565</v>
      </c>
      <c r="B1567" s="30" t="s">
        <v>11206</v>
      </c>
      <c r="C1567" s="7" t="str">
        <f t="shared" si="6"/>
        <v>🔊</v>
      </c>
      <c r="D1567" s="8" t="s">
        <v>11207</v>
      </c>
      <c r="E1567" s="6" t="s">
        <v>13</v>
      </c>
      <c r="F1567" s="12" t="str">
        <f>IFERROR(__xludf.DUMMYFUNCTION("GOOGLETRANSLATE(B1567,""zh_cn"",""vi"")"),"Hãy chú ý đến")</f>
        <v>Hãy chú ý đến</v>
      </c>
      <c r="G1567" s="20" t="s">
        <v>11208</v>
      </c>
      <c r="H1567" s="6"/>
      <c r="I1567" s="11" t="b">
        <f t="shared" si="2"/>
        <v>0</v>
      </c>
      <c r="J1567" s="24"/>
      <c r="K1567" s="11" t="b">
        <f t="shared" si="3"/>
        <v>0</v>
      </c>
    </row>
    <row r="1568" ht="22.5" customHeight="1">
      <c r="A1568" s="12">
        <f t="shared" si="4"/>
        <v>3566</v>
      </c>
      <c r="B1568" s="30" t="s">
        <v>11209</v>
      </c>
      <c r="C1568" s="7" t="str">
        <f t="shared" si="6"/>
        <v>🔊</v>
      </c>
      <c r="D1568" s="8" t="s">
        <v>11210</v>
      </c>
      <c r="E1568" s="6" t="s">
        <v>27</v>
      </c>
      <c r="F1568" s="12" t="str">
        <f>IFERROR(__xludf.DUMMYFUNCTION("GOOGLETRANSLATE(B1568,""zh_cn"",""vi"")"),"cây tre ")</f>
        <v>cây tre </v>
      </c>
      <c r="G1568" s="20" t="s">
        <v>11211</v>
      </c>
      <c r="H1568" s="6"/>
      <c r="I1568" s="11" t="b">
        <f t="shared" si="2"/>
        <v>0</v>
      </c>
      <c r="J1568" s="24"/>
      <c r="K1568" s="11" t="b">
        <f t="shared" si="3"/>
        <v>0</v>
      </c>
    </row>
    <row r="1569" ht="22.5" customHeight="1">
      <c r="A1569" s="12">
        <f t="shared" si="4"/>
        <v>3567</v>
      </c>
      <c r="B1569" s="30" t="s">
        <v>11212</v>
      </c>
      <c r="C1569" s="7" t="str">
        <f t="shared" si="6"/>
        <v>🔊</v>
      </c>
      <c r="D1569" s="8" t="s">
        <v>11213</v>
      </c>
      <c r="E1569" s="6" t="s">
        <v>99</v>
      </c>
      <c r="F1569" s="12" t="str">
        <f>IFERROR(__xludf.DUMMYFUNCTION("GOOGLETRANSLATE(B1569,""zh_cn"",""vi"")"),"màu tím")</f>
        <v>màu tím</v>
      </c>
      <c r="G1569" s="20" t="s">
        <v>11214</v>
      </c>
      <c r="H1569" s="6"/>
      <c r="I1569" s="11" t="b">
        <f t="shared" si="2"/>
        <v>0</v>
      </c>
      <c r="J1569" s="24"/>
      <c r="K1569" s="11" t="b">
        <f t="shared" si="3"/>
        <v>0</v>
      </c>
    </row>
    <row r="1570" ht="22.5" customHeight="1">
      <c r="A1570" s="12">
        <f t="shared" si="4"/>
        <v>3568</v>
      </c>
      <c r="B1570" s="30" t="s">
        <v>11215</v>
      </c>
      <c r="C1570" s="7" t="str">
        <f t="shared" si="6"/>
        <v>🔊</v>
      </c>
      <c r="D1570" s="8" t="s">
        <v>11216</v>
      </c>
      <c r="E1570" s="6" t="s">
        <v>1766</v>
      </c>
      <c r="F1570" s="12" t="str">
        <f>IFERROR(__xludf.DUMMYFUNCTION("GOOGLETRANSLATE(B1570,""zh_cn"",""vi"")"),"từ")</f>
        <v>từ</v>
      </c>
      <c r="G1570" s="20" t="s">
        <v>11217</v>
      </c>
      <c r="H1570" s="6"/>
      <c r="I1570" s="11" t="b">
        <f t="shared" si="2"/>
        <v>0</v>
      </c>
      <c r="J1570" s="24"/>
      <c r="K1570" s="11" t="b">
        <f t="shared" si="3"/>
        <v>0</v>
      </c>
    </row>
    <row r="1571" ht="22.5" customHeight="1">
      <c r="A1571" s="12">
        <f t="shared" si="4"/>
        <v>3569</v>
      </c>
      <c r="B1571" s="30" t="s">
        <v>11218</v>
      </c>
      <c r="C1571" s="7" t="str">
        <f t="shared" si="6"/>
        <v>🔊</v>
      </c>
      <c r="D1571" s="8" t="s">
        <v>11219</v>
      </c>
      <c r="E1571" s="6" t="s">
        <v>5100</v>
      </c>
      <c r="F1571" s="12" t="str">
        <f>IFERROR(__xludf.DUMMYFUNCTION("GOOGLETRANSLATE(B1571,""zh_cn"",""vi"")"),"tự động")</f>
        <v>tự động</v>
      </c>
      <c r="G1571" s="20" t="s">
        <v>11220</v>
      </c>
      <c r="H1571" s="6"/>
      <c r="I1571" s="11" t="b">
        <f t="shared" si="2"/>
        <v>0</v>
      </c>
      <c r="J1571" s="24"/>
      <c r="K1571" s="11" t="b">
        <f t="shared" si="3"/>
        <v>0</v>
      </c>
    </row>
    <row r="1572" ht="22.5" customHeight="1">
      <c r="A1572" s="12">
        <f t="shared" si="4"/>
        <v>3570</v>
      </c>
      <c r="B1572" s="30" t="s">
        <v>11221</v>
      </c>
      <c r="C1572" s="7" t="str">
        <f t="shared" si="6"/>
        <v>🔊</v>
      </c>
      <c r="D1572" s="8" t="s">
        <v>11222</v>
      </c>
      <c r="E1572" s="6" t="s">
        <v>27</v>
      </c>
      <c r="F1572" s="12" t="str">
        <f>IFERROR(__xludf.DUMMYFUNCTION("GOOGLETRANSLATE(B1572,""zh_cn"",""vi"")"),"trình độ chuyên môn")</f>
        <v>trình độ chuyên môn</v>
      </c>
      <c r="G1572" s="20" t="s">
        <v>11223</v>
      </c>
      <c r="H1572" s="6"/>
      <c r="I1572" s="11" t="b">
        <f t="shared" si="2"/>
        <v>0</v>
      </c>
      <c r="J1572" s="24"/>
      <c r="K1572" s="11" t="b">
        <f t="shared" si="3"/>
        <v>0</v>
      </c>
    </row>
    <row r="1573" ht="22.5" customHeight="1">
      <c r="A1573" s="12">
        <f t="shared" si="4"/>
        <v>3571</v>
      </c>
      <c r="B1573" s="30" t="s">
        <v>11224</v>
      </c>
      <c r="C1573" s="7" t="str">
        <f t="shared" si="6"/>
        <v>🔊</v>
      </c>
      <c r="D1573" s="8" t="s">
        <v>11225</v>
      </c>
      <c r="E1573" s="6" t="s">
        <v>27</v>
      </c>
      <c r="F1573" s="12" t="str">
        <f>IFERROR(__xludf.DUMMYFUNCTION("GOOGLETRANSLATE(B1573,""zh_cn"",""vi"")"),"quỹ")</f>
        <v>quỹ</v>
      </c>
      <c r="G1573" s="20" t="s">
        <v>11226</v>
      </c>
      <c r="H1573" s="6"/>
      <c r="I1573" s="11" t="b">
        <f t="shared" si="2"/>
        <v>0</v>
      </c>
      <c r="J1573" s="24"/>
      <c r="K1573" s="11" t="b">
        <f t="shared" si="3"/>
        <v>0</v>
      </c>
    </row>
    <row r="1574" ht="22.5" customHeight="1">
      <c r="A1574" s="12">
        <f t="shared" si="4"/>
        <v>3572</v>
      </c>
      <c r="B1574" s="30" t="s">
        <v>11227</v>
      </c>
      <c r="C1574" s="7" t="str">
        <f t="shared" si="6"/>
        <v>🔊</v>
      </c>
      <c r="D1574" s="8" t="s">
        <v>11228</v>
      </c>
      <c r="E1574" s="6" t="s">
        <v>368</v>
      </c>
      <c r="F1574" s="12" t="str">
        <f>IFERROR(__xludf.DUMMYFUNCTION("GOOGLETRANSLATE(B1574,""zh_cn"",""vi"")"),"biết rõ")</f>
        <v>biết rõ</v>
      </c>
      <c r="G1574" s="20" t="s">
        <v>11229</v>
      </c>
      <c r="H1574" s="6"/>
      <c r="I1574" s="11" t="b">
        <f t="shared" si="2"/>
        <v>0</v>
      </c>
      <c r="J1574" s="24"/>
      <c r="K1574" s="11" t="b">
        <f t="shared" si="3"/>
        <v>0</v>
      </c>
    </row>
    <row r="1575" ht="22.5" customHeight="1">
      <c r="A1575" s="12">
        <f t="shared" si="4"/>
        <v>3573</v>
      </c>
      <c r="B1575" s="30" t="s">
        <v>11230</v>
      </c>
      <c r="C1575" s="7" t="str">
        <f t="shared" si="6"/>
        <v>🔊</v>
      </c>
      <c r="D1575" s="8" t="s">
        <v>11231</v>
      </c>
      <c r="E1575" s="6" t="s">
        <v>27</v>
      </c>
      <c r="F1575" s="12" t="str">
        <f>IFERROR(__xludf.DUMMYFUNCTION("GOOGLETRANSLATE(B1575,""zh_cn"",""vi"")"),"thư")</f>
        <v>thư</v>
      </c>
      <c r="G1575" s="20" t="s">
        <v>11232</v>
      </c>
      <c r="H1575" s="6"/>
      <c r="I1575" s="11" t="b">
        <f t="shared" si="2"/>
        <v>0</v>
      </c>
      <c r="J1575" s="24"/>
      <c r="K1575" s="11" t="b">
        <f t="shared" si="3"/>
        <v>0</v>
      </c>
    </row>
    <row r="1576" ht="22.5" customHeight="1">
      <c r="A1576" s="12">
        <f t="shared" si="4"/>
        <v>3574</v>
      </c>
      <c r="B1576" s="30" t="s">
        <v>11233</v>
      </c>
      <c r="C1576" s="7" t="str">
        <f t="shared" si="6"/>
        <v>🔊</v>
      </c>
      <c r="D1576" s="8" t="s">
        <v>11234</v>
      </c>
      <c r="E1576" s="6" t="s">
        <v>27</v>
      </c>
      <c r="F1576" s="12" t="str">
        <f>IFERROR(__xludf.DUMMYFUNCTION("GOOGLETRANSLATE(B1576,""zh_cn"",""vi"")"),"đứa trẻ")</f>
        <v>đứa trẻ</v>
      </c>
      <c r="G1576" s="20" t="s">
        <v>11235</v>
      </c>
      <c r="H1576" s="6"/>
      <c r="I1576" s="11" t="b">
        <f t="shared" si="2"/>
        <v>0</v>
      </c>
      <c r="J1576" s="24"/>
      <c r="K1576" s="11" t="b">
        <f t="shared" si="3"/>
        <v>0</v>
      </c>
    </row>
    <row r="1577" ht="22.5" customHeight="1">
      <c r="A1577" s="12">
        <f t="shared" si="4"/>
        <v>3575</v>
      </c>
      <c r="B1577" s="30" t="s">
        <v>11236</v>
      </c>
      <c r="C1577" s="7" t="str">
        <f t="shared" si="6"/>
        <v>🔊</v>
      </c>
      <c r="D1577" s="8" t="s">
        <v>11237</v>
      </c>
      <c r="E1577" s="6" t="s">
        <v>27</v>
      </c>
      <c r="F1577" s="12" t="str">
        <f>IFERROR(__xludf.DUMMYFUNCTION("GOOGLETRANSLATE(B1577,""zh_cn"",""vi"")"),"chính nó")</f>
        <v>chính nó</v>
      </c>
      <c r="G1577" s="20" t="s">
        <v>11238</v>
      </c>
      <c r="H1577" s="6"/>
      <c r="I1577" s="11" t="b">
        <f t="shared" si="2"/>
        <v>0</v>
      </c>
      <c r="J1577" s="24"/>
      <c r="K1577" s="11" t="b">
        <f t="shared" si="3"/>
        <v>0</v>
      </c>
    </row>
    <row r="1578" ht="22.5" customHeight="1">
      <c r="A1578" s="12">
        <f t="shared" si="4"/>
        <v>3576</v>
      </c>
      <c r="B1578" s="30" t="s">
        <v>11239</v>
      </c>
      <c r="C1578" s="7" t="str">
        <f t="shared" si="6"/>
        <v>🔊</v>
      </c>
      <c r="D1578" s="8" t="s">
        <v>11240</v>
      </c>
      <c r="E1578" s="6" t="s">
        <v>27</v>
      </c>
      <c r="F1578" s="12" t="str">
        <f>IFERROR(__xludf.DUMMYFUNCTION("GOOGLETRANSLATE(B1578,""zh_cn"",""vi"")"),"tư thế")</f>
        <v>tư thế</v>
      </c>
      <c r="G1578" s="20" t="s">
        <v>11241</v>
      </c>
      <c r="H1578" s="6"/>
      <c r="I1578" s="11" t="b">
        <f t="shared" si="2"/>
        <v>0</v>
      </c>
      <c r="J1578" s="24"/>
      <c r="K1578" s="11" t="b">
        <f t="shared" si="3"/>
        <v>0</v>
      </c>
    </row>
    <row r="1579" ht="22.5" customHeight="1">
      <c r="A1579" s="12">
        <f t="shared" si="4"/>
        <v>3577</v>
      </c>
      <c r="B1579" s="30" t="s">
        <v>11242</v>
      </c>
      <c r="C1579" s="7" t="str">
        <f t="shared" si="6"/>
        <v>🔊</v>
      </c>
      <c r="D1579" s="8" t="s">
        <v>11243</v>
      </c>
      <c r="E1579" s="6" t="s">
        <v>13</v>
      </c>
      <c r="F1579" s="12" t="str">
        <f>IFERROR(__xludf.DUMMYFUNCTION("GOOGLETRANSLATE(B1579,""zh_cn"",""vi"")"),"tư vấn")</f>
        <v>tư vấn</v>
      </c>
      <c r="G1579" s="20" t="s">
        <v>11244</v>
      </c>
      <c r="H1579" s="6"/>
      <c r="I1579" s="11" t="b">
        <f t="shared" si="2"/>
        <v>0</v>
      </c>
      <c r="J1579" s="24"/>
      <c r="K1579" s="11" t="b">
        <f t="shared" si="3"/>
        <v>0</v>
      </c>
    </row>
    <row r="1580" ht="22.5" customHeight="1">
      <c r="A1580" s="12">
        <f t="shared" si="4"/>
        <v>3578</v>
      </c>
      <c r="B1580" s="30" t="s">
        <v>11245</v>
      </c>
      <c r="C1580" s="7" t="str">
        <f t="shared" si="6"/>
        <v>🔊</v>
      </c>
      <c r="D1580" s="8" t="s">
        <v>11246</v>
      </c>
      <c r="E1580" s="6" t="s">
        <v>1164</v>
      </c>
      <c r="F1580" s="12" t="str">
        <f>IFERROR(__xludf.DUMMYFUNCTION("GOOGLETRANSLATE(B1580,""zh_cn"",""vi"")"),"miễn phí")</f>
        <v>miễn phí</v>
      </c>
      <c r="G1580" s="20" t="s">
        <v>11247</v>
      </c>
      <c r="H1580" s="6"/>
      <c r="I1580" s="11" t="b">
        <f t="shared" si="2"/>
        <v>0</v>
      </c>
      <c r="J1580" s="24"/>
      <c r="K1580" s="11" t="b">
        <f t="shared" si="3"/>
        <v>0</v>
      </c>
    </row>
    <row r="1581" ht="22.5" customHeight="1">
      <c r="A1581" s="12">
        <f t="shared" si="4"/>
        <v>3579</v>
      </c>
      <c r="B1581" s="30" t="s">
        <v>11248</v>
      </c>
      <c r="C1581" s="7" t="str">
        <f t="shared" si="6"/>
        <v>🔊</v>
      </c>
      <c r="D1581" s="8" t="s">
        <v>11249</v>
      </c>
      <c r="E1581" s="6" t="s">
        <v>27</v>
      </c>
      <c r="F1581" s="12" t="str">
        <f>IFERROR(__xludf.DUMMYFUNCTION("GOOGLETRANSLATE(B1581,""zh_cn"",""vi"")"),"nguồn lực")</f>
        <v>nguồn lực</v>
      </c>
      <c r="G1581" s="20" t="s">
        <v>11250</v>
      </c>
      <c r="H1581" s="6"/>
      <c r="I1581" s="11" t="b">
        <f t="shared" si="2"/>
        <v>0</v>
      </c>
      <c r="J1581" s="24"/>
      <c r="K1581" s="11" t="b">
        <f t="shared" si="3"/>
        <v>0</v>
      </c>
    </row>
    <row r="1582" ht="22.5" customHeight="1">
      <c r="A1582" s="12">
        <f t="shared" si="4"/>
        <v>3580</v>
      </c>
      <c r="B1582" s="30" t="s">
        <v>11251</v>
      </c>
      <c r="C1582" s="7" t="str">
        <f t="shared" si="6"/>
        <v>🔊</v>
      </c>
      <c r="D1582" s="8" t="s">
        <v>11252</v>
      </c>
      <c r="E1582" s="6" t="s">
        <v>27</v>
      </c>
      <c r="F1582" s="12" t="str">
        <f>IFERROR(__xludf.DUMMYFUNCTION("GOOGLETRANSLATE(B1582,""zh_cn"",""vi"")"),"Trụ sở chính")</f>
        <v>Trụ sở chính</v>
      </c>
      <c r="G1582" s="20" t="s">
        <v>11253</v>
      </c>
      <c r="H1582" s="6"/>
      <c r="I1582" s="11" t="b">
        <f t="shared" si="2"/>
        <v>0</v>
      </c>
      <c r="J1582" s="24"/>
      <c r="K1582" s="11" t="b">
        <f t="shared" si="3"/>
        <v>0</v>
      </c>
    </row>
    <row r="1583" ht="22.5" customHeight="1">
      <c r="A1583" s="12">
        <f t="shared" si="4"/>
        <v>3581</v>
      </c>
      <c r="B1583" s="30" t="s">
        <v>11254</v>
      </c>
      <c r="C1583" s="7" t="str">
        <f t="shared" si="6"/>
        <v>🔊</v>
      </c>
      <c r="D1583" s="8" t="s">
        <v>11255</v>
      </c>
      <c r="E1583" s="6" t="s">
        <v>61</v>
      </c>
      <c r="F1583" s="12" t="str">
        <f>IFERROR(__xludf.DUMMYFUNCTION("GOOGLETRANSLATE(B1583,""zh_cn"",""vi"")"),"Tổng cộng")</f>
        <v>Tổng cộng</v>
      </c>
      <c r="G1583" s="20" t="s">
        <v>11256</v>
      </c>
      <c r="H1583" s="6"/>
      <c r="I1583" s="11" t="b">
        <f t="shared" si="2"/>
        <v>0</v>
      </c>
      <c r="J1583" s="24"/>
      <c r="K1583" s="11" t="b">
        <f t="shared" si="3"/>
        <v>0</v>
      </c>
    </row>
    <row r="1584" ht="22.5" customHeight="1">
      <c r="A1584" s="12">
        <f t="shared" si="4"/>
        <v>3582</v>
      </c>
      <c r="B1584" s="30" t="s">
        <v>11257</v>
      </c>
      <c r="C1584" s="7" t="str">
        <f t="shared" si="6"/>
        <v>🔊</v>
      </c>
      <c r="D1584" s="8" t="s">
        <v>11258</v>
      </c>
      <c r="E1584" s="6" t="s">
        <v>13</v>
      </c>
      <c r="F1584" s="12" t="str">
        <f>IFERROR(__xludf.DUMMYFUNCTION("GOOGLETRANSLATE(B1584,""zh_cn"",""vi"")"),"toàn diện")</f>
        <v>toàn diện</v>
      </c>
      <c r="G1584" s="20" t="s">
        <v>11259</v>
      </c>
      <c r="H1584" s="6"/>
      <c r="I1584" s="11" t="b">
        <f t="shared" si="2"/>
        <v>0</v>
      </c>
      <c r="J1584" s="24"/>
      <c r="K1584" s="11" t="b">
        <f t="shared" si="3"/>
        <v>0</v>
      </c>
    </row>
    <row r="1585" ht="22.5" customHeight="1">
      <c r="A1585" s="12">
        <f t="shared" si="4"/>
        <v>3583</v>
      </c>
      <c r="B1585" s="30" t="s">
        <v>11260</v>
      </c>
      <c r="C1585" s="7" t="str">
        <f t="shared" si="6"/>
        <v>🔊</v>
      </c>
      <c r="D1585" s="8" t="s">
        <v>11261</v>
      </c>
      <c r="E1585" s="6" t="s">
        <v>27</v>
      </c>
      <c r="F1585" s="12" t="str">
        <f>IFERROR(__xludf.DUMMYFUNCTION("GOOGLETRANSLATE(B1585,""zh_cn"",""vi"")"),"tổng cộng")</f>
        <v>tổng cộng</v>
      </c>
      <c r="G1585" s="20" t="s">
        <v>11262</v>
      </c>
      <c r="H1585" s="6"/>
      <c r="I1585" s="11" t="b">
        <f t="shared" si="2"/>
        <v>0</v>
      </c>
      <c r="J1585" s="24"/>
      <c r="K1585" s="11" t="b">
        <f t="shared" si="3"/>
        <v>0</v>
      </c>
    </row>
    <row r="1586" ht="22.5" customHeight="1">
      <c r="A1586" s="12">
        <f t="shared" si="4"/>
        <v>3584</v>
      </c>
      <c r="B1586" s="30" t="s">
        <v>11263</v>
      </c>
      <c r="C1586" s="7" t="str">
        <f t="shared" si="6"/>
        <v>🔊</v>
      </c>
      <c r="D1586" s="8" t="s">
        <v>11264</v>
      </c>
      <c r="E1586" s="6" t="s">
        <v>27</v>
      </c>
      <c r="F1586" s="12" t="str">
        <f>IFERROR(__xludf.DUMMYFUNCTION("GOOGLETRANSLATE(B1586,""zh_cn"",""vi"")"),"tổng thể")</f>
        <v>tổng thể</v>
      </c>
      <c r="G1586" s="20" t="s">
        <v>11265</v>
      </c>
      <c r="H1586" s="6"/>
      <c r="I1586" s="11" t="b">
        <f t="shared" si="2"/>
        <v>0</v>
      </c>
      <c r="J1586" s="24"/>
      <c r="K1586" s="11" t="b">
        <f t="shared" si="3"/>
        <v>0</v>
      </c>
    </row>
    <row r="1587" ht="22.5" customHeight="1">
      <c r="A1587" s="12">
        <f t="shared" si="4"/>
        <v>3585</v>
      </c>
      <c r="B1587" s="30" t="s">
        <v>11266</v>
      </c>
      <c r="C1587" s="7" t="str">
        <f t="shared" si="6"/>
        <v>🔊</v>
      </c>
      <c r="D1587" s="8" t="s">
        <v>11267</v>
      </c>
      <c r="E1587" s="6" t="s">
        <v>27</v>
      </c>
      <c r="F1587" s="12" t="str">
        <f>IFERROR(__xludf.DUMMYFUNCTION("GOOGLETRANSLATE(B1587,""zh_cn"",""vi"")"),"chủ tịch")</f>
        <v>chủ tịch</v>
      </c>
      <c r="G1587" s="20" t="s">
        <v>11268</v>
      </c>
      <c r="H1587" s="6"/>
      <c r="I1587" s="11" t="b">
        <f t="shared" si="2"/>
        <v>0</v>
      </c>
      <c r="J1587" s="24"/>
      <c r="K1587" s="11" t="b">
        <f t="shared" si="3"/>
        <v>0</v>
      </c>
    </row>
    <row r="1588" ht="22.5" customHeight="1">
      <c r="A1588" s="12">
        <f t="shared" si="4"/>
        <v>3586</v>
      </c>
      <c r="B1588" s="30" t="s">
        <v>11269</v>
      </c>
      <c r="C1588" s="7" t="str">
        <f t="shared" si="6"/>
        <v>🔊</v>
      </c>
      <c r="D1588" s="8" t="s">
        <v>11270</v>
      </c>
      <c r="E1588" s="6" t="s">
        <v>1132</v>
      </c>
      <c r="F1588" s="12" t="str">
        <f>IFERROR(__xludf.DUMMYFUNCTION("GOOGLETRANSLATE(B1588,""zh_cn"",""vi"")"),"Tóm lại")</f>
        <v>Tóm lại</v>
      </c>
      <c r="G1588" s="20" t="s">
        <v>11271</v>
      </c>
      <c r="H1588" s="6"/>
      <c r="I1588" s="11" t="b">
        <f t="shared" si="2"/>
        <v>0</v>
      </c>
      <c r="J1588" s="24"/>
      <c r="K1588" s="11" t="b">
        <f t="shared" si="3"/>
        <v>0</v>
      </c>
    </row>
    <row r="1589" ht="22.5" customHeight="1">
      <c r="A1589" s="12">
        <f t="shared" si="4"/>
        <v>3587</v>
      </c>
      <c r="B1589" s="30" t="s">
        <v>11272</v>
      </c>
      <c r="C1589" s="7" t="str">
        <f t="shared" si="6"/>
        <v>🔊</v>
      </c>
      <c r="D1589" s="8" t="s">
        <v>11273</v>
      </c>
      <c r="E1589" s="6" t="s">
        <v>437</v>
      </c>
      <c r="F1589" s="12" t="str">
        <f>IFERROR(__xludf.DUMMYFUNCTION("GOOGLETRANSLATE(B1589,""zh_cn"",""vi"")"),"gia tộc")</f>
        <v>gia tộc</v>
      </c>
      <c r="G1589" s="20" t="s">
        <v>11274</v>
      </c>
      <c r="H1589" s="6"/>
      <c r="I1589" s="11" t="b">
        <f t="shared" si="2"/>
        <v>0</v>
      </c>
      <c r="J1589" s="24"/>
      <c r="K1589" s="11" t="b">
        <f t="shared" si="3"/>
        <v>0</v>
      </c>
    </row>
    <row r="1590" ht="22.5" customHeight="1">
      <c r="A1590" s="12">
        <f t="shared" si="4"/>
        <v>3588</v>
      </c>
      <c r="B1590" s="30" t="s">
        <v>11275</v>
      </c>
      <c r="C1590" s="7" t="str">
        <f t="shared" si="6"/>
        <v>🔊</v>
      </c>
      <c r="D1590" s="8" t="s">
        <v>11276</v>
      </c>
      <c r="E1590" s="6" t="s">
        <v>13</v>
      </c>
      <c r="F1590" s="12" t="str">
        <f>IFERROR(__xludf.DUMMYFUNCTION("GOOGLETRANSLATE(B1590,""zh_cn"",""vi"")"),"bố cục")</f>
        <v>bố cục</v>
      </c>
      <c r="G1590" s="20" t="s">
        <v>11277</v>
      </c>
      <c r="H1590" s="6"/>
      <c r="I1590" s="11" t="b">
        <f t="shared" si="2"/>
        <v>0</v>
      </c>
      <c r="J1590" s="24"/>
      <c r="K1590" s="11" t="b">
        <f t="shared" si="3"/>
        <v>0</v>
      </c>
    </row>
    <row r="1591" ht="22.5" customHeight="1">
      <c r="A1591" s="12">
        <f t="shared" si="4"/>
        <v>3589</v>
      </c>
      <c r="B1591" s="30" t="s">
        <v>11278</v>
      </c>
      <c r="C1591" s="7" t="str">
        <f t="shared" si="6"/>
        <v>🔊</v>
      </c>
      <c r="D1591" s="8" t="s">
        <v>11279</v>
      </c>
      <c r="E1591" s="6" t="s">
        <v>13</v>
      </c>
      <c r="F1591" s="12" t="str">
        <f>IFERROR(__xludf.DUMMYFUNCTION("GOOGLETRANSLATE(B1591,""zh_cn"",""vi"")"),"đủ")</f>
        <v>đủ</v>
      </c>
      <c r="G1591" s="20" t="s">
        <v>11280</v>
      </c>
      <c r="H1591" s="6"/>
      <c r="I1591" s="11" t="b">
        <f t="shared" si="2"/>
        <v>0</v>
      </c>
      <c r="J1591" s="24"/>
      <c r="K1591" s="11" t="b">
        <f t="shared" si="3"/>
        <v>0</v>
      </c>
    </row>
    <row r="1592" ht="22.5" customHeight="1">
      <c r="A1592" s="12">
        <f t="shared" si="4"/>
        <v>3590</v>
      </c>
      <c r="B1592" s="30" t="s">
        <v>11281</v>
      </c>
      <c r="C1592" s="7" t="str">
        <f t="shared" si="6"/>
        <v>🔊</v>
      </c>
      <c r="D1592" s="8" t="s">
        <v>11282</v>
      </c>
      <c r="E1592" s="6" t="s">
        <v>232</v>
      </c>
      <c r="F1592" s="12" t="str">
        <f>IFERROR(__xludf.DUMMYFUNCTION("GOOGLETRANSLATE(B1592,""zh_cn"",""vi"")"),"sự kết hợp")</f>
        <v>sự kết hợp</v>
      </c>
      <c r="G1592" s="20" t="s">
        <v>11283</v>
      </c>
      <c r="H1592" s="6"/>
      <c r="I1592" s="11" t="b">
        <f t="shared" si="2"/>
        <v>0</v>
      </c>
      <c r="J1592" s="24"/>
      <c r="K1592" s="11" t="b">
        <f t="shared" si="3"/>
        <v>0</v>
      </c>
    </row>
    <row r="1593" ht="22.5" customHeight="1">
      <c r="A1593" s="12">
        <f t="shared" si="4"/>
        <v>3591</v>
      </c>
      <c r="B1593" s="30" t="s">
        <v>11284</v>
      </c>
      <c r="C1593" s="7" t="str">
        <f t="shared" si="6"/>
        <v>🔊</v>
      </c>
      <c r="D1593" s="8" t="s">
        <v>1694</v>
      </c>
      <c r="E1593" s="6" t="s">
        <v>13</v>
      </c>
      <c r="F1593" s="12" t="str">
        <f>IFERROR(__xludf.DUMMYFUNCTION("GOOGLETRANSLATE(B1593,""zh_cn"",""vi"")"),"say rượu")</f>
        <v>say rượu</v>
      </c>
      <c r="G1593" s="20" t="s">
        <v>11285</v>
      </c>
      <c r="H1593" s="6"/>
      <c r="I1593" s="11" t="b">
        <f t="shared" si="2"/>
        <v>0</v>
      </c>
      <c r="J1593" s="24"/>
      <c r="K1593" s="11" t="b">
        <f t="shared" si="3"/>
        <v>0</v>
      </c>
    </row>
    <row r="1594" ht="22.5" customHeight="1">
      <c r="A1594" s="12">
        <f t="shared" si="4"/>
        <v>3592</v>
      </c>
      <c r="B1594" s="30" t="s">
        <v>11286</v>
      </c>
      <c r="C1594" s="7" t="str">
        <f t="shared" si="6"/>
        <v>🔊</v>
      </c>
      <c r="D1594" s="8" t="s">
        <v>11287</v>
      </c>
      <c r="E1594" s="6" t="s">
        <v>27</v>
      </c>
      <c r="F1594" s="12" t="str">
        <f>IFERROR(__xludf.DUMMYFUNCTION("GOOGLETRANSLATE(B1594,""zh_cn"",""vi"")"),"miệng")</f>
        <v>miệng</v>
      </c>
      <c r="G1594" s="20" t="s">
        <v>11288</v>
      </c>
      <c r="H1594" s="6"/>
      <c r="I1594" s="11" t="b">
        <f t="shared" si="2"/>
        <v>0</v>
      </c>
      <c r="J1594" s="24"/>
      <c r="K1594" s="11" t="b">
        <f t="shared" si="3"/>
        <v>0</v>
      </c>
    </row>
    <row r="1595" ht="22.5" customHeight="1">
      <c r="A1595" s="12">
        <f t="shared" si="4"/>
        <v>3593</v>
      </c>
      <c r="B1595" s="30" t="s">
        <v>11289</v>
      </c>
      <c r="C1595" s="7" t="str">
        <f t="shared" si="6"/>
        <v>🔊</v>
      </c>
      <c r="D1595" s="8" t="s">
        <v>11290</v>
      </c>
      <c r="E1595" s="6" t="s">
        <v>27</v>
      </c>
      <c r="F1595" s="12" t="str">
        <f>IFERROR(__xludf.DUMMYFUNCTION("GOOGLETRANSLATE(B1595,""zh_cn"",""vi"")"),"ban đầu")</f>
        <v>ban đầu</v>
      </c>
      <c r="G1595" s="20" t="s">
        <v>11291</v>
      </c>
      <c r="H1595" s="6"/>
      <c r="I1595" s="11" t="b">
        <f t="shared" si="2"/>
        <v>0</v>
      </c>
      <c r="J1595" s="24"/>
      <c r="K1595" s="11" t="b">
        <f t="shared" si="3"/>
        <v>0</v>
      </c>
    </row>
    <row r="1596" ht="22.5" customHeight="1">
      <c r="A1596" s="12">
        <f t="shared" si="4"/>
        <v>3594</v>
      </c>
      <c r="B1596" s="30" t="s">
        <v>11292</v>
      </c>
      <c r="C1596" s="7" t="str">
        <f t="shared" si="6"/>
        <v>🔊</v>
      </c>
      <c r="D1596" s="8" t="s">
        <v>11293</v>
      </c>
      <c r="E1596" s="6" t="s">
        <v>99</v>
      </c>
      <c r="F1596" s="12" t="str">
        <f>IFERROR(__xludf.DUMMYFUNCTION("GOOGLETRANSLATE(B1596,""zh_cn"",""vi"")"),"tối ưu")</f>
        <v>tối ưu</v>
      </c>
      <c r="G1596" s="20" t="s">
        <v>11294</v>
      </c>
      <c r="H1596" s="6"/>
      <c r="I1596" s="11" t="b">
        <f t="shared" si="2"/>
        <v>0</v>
      </c>
      <c r="J1596" s="24"/>
      <c r="K1596" s="11" t="b">
        <f t="shared" si="3"/>
        <v>0</v>
      </c>
    </row>
    <row r="1597" ht="22.5" customHeight="1">
      <c r="A1597" s="12">
        <f t="shared" si="4"/>
        <v>3595</v>
      </c>
      <c r="B1597" s="30" t="s">
        <v>11295</v>
      </c>
      <c r="C1597" s="7" t="str">
        <f t="shared" si="6"/>
        <v>🔊</v>
      </c>
      <c r="D1597" s="8" t="s">
        <v>11296</v>
      </c>
      <c r="E1597" s="6" t="s">
        <v>27</v>
      </c>
      <c r="F1597" s="12" t="str">
        <f>IFERROR(__xludf.DUMMYFUNCTION("GOOGLETRANSLATE(B1597,""zh_cn"",""vi"")"),"thuê")</f>
        <v>thuê</v>
      </c>
      <c r="G1597" s="20" t="s">
        <v>11297</v>
      </c>
      <c r="H1597" s="6"/>
      <c r="I1597" s="11" t="b">
        <f t="shared" si="2"/>
        <v>0</v>
      </c>
      <c r="J1597" s="24"/>
      <c r="K1597" s="11" t="b">
        <f t="shared" si="3"/>
        <v>0</v>
      </c>
    </row>
    <row r="1598" ht="22.5" customHeight="1">
      <c r="A1598" s="12">
        <f t="shared" si="4"/>
        <v>3596</v>
      </c>
      <c r="B1598" s="30" t="s">
        <v>11298</v>
      </c>
      <c r="C1598" s="7" t="str">
        <f t="shared" si="6"/>
        <v>🔊</v>
      </c>
      <c r="D1598" s="8" t="s">
        <v>11299</v>
      </c>
      <c r="E1598" s="6" t="s">
        <v>368</v>
      </c>
      <c r="F1598" s="12" t="str">
        <f>IFERROR(__xludf.DUMMYFUNCTION("GOOGLETRANSLATE(B1598,""zh_cn"",""vi"")"),"Sự tôn trọng")</f>
        <v>Sự tôn trọng</v>
      </c>
      <c r="G1598" s="20" t="s">
        <v>11300</v>
      </c>
      <c r="H1598" s="6"/>
      <c r="I1598" s="11" t="b">
        <f t="shared" si="2"/>
        <v>0</v>
      </c>
      <c r="J1598" s="24"/>
      <c r="K1598" s="11" t="b">
        <f t="shared" si="3"/>
        <v>0</v>
      </c>
    </row>
    <row r="1599" ht="22.5" customHeight="1">
      <c r="A1599" s="12">
        <f t="shared" si="4"/>
        <v>3597</v>
      </c>
      <c r="B1599" s="30" t="s">
        <v>11301</v>
      </c>
      <c r="C1599" s="7" t="str">
        <f t="shared" si="6"/>
        <v>🔊</v>
      </c>
      <c r="D1599" s="8" t="s">
        <v>11302</v>
      </c>
      <c r="E1599" s="6" t="s">
        <v>13</v>
      </c>
      <c r="F1599" s="12" t="str">
        <f>IFERROR(__xludf.DUMMYFUNCTION("GOOGLETRANSLATE(B1599,""zh_cn"",""vi"")"),"tuân theo")</f>
        <v>tuân theo</v>
      </c>
      <c r="G1599" s="20" t="s">
        <v>11303</v>
      </c>
      <c r="H1599" s="6"/>
      <c r="I1599" s="11" t="b">
        <f t="shared" si="2"/>
        <v>0</v>
      </c>
      <c r="J1599" s="24"/>
      <c r="K1599" s="11" t="b">
        <f t="shared" si="3"/>
        <v>0</v>
      </c>
    </row>
    <row r="1600" ht="22.5" customHeight="1">
      <c r="A1600" s="12">
        <f t="shared" si="4"/>
        <v>3598</v>
      </c>
      <c r="B1600" s="30" t="s">
        <v>11304</v>
      </c>
      <c r="C1600" s="7" t="str">
        <f t="shared" si="6"/>
        <v>🔊</v>
      </c>
      <c r="D1600" s="8" t="s">
        <v>11305</v>
      </c>
      <c r="E1600" s="6" t="s">
        <v>13</v>
      </c>
      <c r="F1600" s="12" t="str">
        <f>IFERROR(__xludf.DUMMYFUNCTION("GOOGLETRANSLATE(B1600,""zh_cn"",""vi"")"),"Làm")</f>
        <v>Làm</v>
      </c>
      <c r="G1600" s="20" t="s">
        <v>11306</v>
      </c>
      <c r="H1600" s="6"/>
      <c r="I1600" s="11" t="b">
        <f t="shared" si="2"/>
        <v>0</v>
      </c>
      <c r="J1600" s="24"/>
      <c r="K1600" s="11" t="b">
        <f t="shared" si="3"/>
        <v>0</v>
      </c>
    </row>
    <row r="1601" ht="22.5" customHeight="1">
      <c r="A1601" s="12">
        <f t="shared" si="4"/>
        <v>3599</v>
      </c>
      <c r="B1601" s="30" t="s">
        <v>11307</v>
      </c>
      <c r="C1601" s="7" t="str">
        <f t="shared" si="6"/>
        <v>🔊</v>
      </c>
      <c r="D1601" s="8" t="s">
        <v>11308</v>
      </c>
      <c r="E1601" s="6" t="s">
        <v>13</v>
      </c>
      <c r="F1601" s="12" t="str">
        <f>IFERROR(__xludf.DUMMYFUNCTION("GOOGLETRANSLATE(B1601,""zh_cn"",""vi"")"),"Ngăn chặn")</f>
        <v>Ngăn chặn</v>
      </c>
      <c r="G1601" s="20" t="s">
        <v>11309</v>
      </c>
      <c r="H1601" s="6"/>
      <c r="I1601" s="11" t="b">
        <f t="shared" si="2"/>
        <v>0</v>
      </c>
      <c r="J1601" s="24"/>
      <c r="K1601" s="11" t="b">
        <f t="shared" si="3"/>
        <v>0</v>
      </c>
    </row>
    <row r="1602" ht="22.5" customHeight="1">
      <c r="A1602" s="12">
        <f t="shared" si="4"/>
        <v>3600</v>
      </c>
      <c r="B1602" s="30" t="s">
        <v>11310</v>
      </c>
      <c r="C1602" s="7" t="str">
        <f t="shared" si="6"/>
        <v>🔊</v>
      </c>
      <c r="D1602" s="8" t="s">
        <v>11311</v>
      </c>
      <c r="E1602" s="6" t="s">
        <v>232</v>
      </c>
      <c r="F1602" s="12" t="str">
        <f>IFERROR(__xludf.DUMMYFUNCTION("GOOGLETRANSLATE(B1602,""zh_cn"",""vi"")"),"tổ chức")</f>
        <v>tổ chức</v>
      </c>
      <c r="G1602" s="20" t="s">
        <v>11312</v>
      </c>
      <c r="H1602" s="6"/>
      <c r="I1602" s="11" t="b">
        <f t="shared" si="2"/>
        <v>0</v>
      </c>
      <c r="J1602" s="24"/>
      <c r="K1602" s="11" t="b">
        <f t="shared" si="3"/>
        <v>0</v>
      </c>
    </row>
  </sheetData>
  <conditionalFormatting sqref="I3:I1602 K3:K1602">
    <cfRule type="expression" dxfId="5" priority="1">
      <formula>I3=TRUE</formula>
    </cfRule>
  </conditionalFormatting>
  <conditionalFormatting sqref="I3:I1602 K3:K1602">
    <cfRule type="expression" dxfId="6" priority="2">
      <formula>I3=FALSE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8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8</v>
      </c>
    </row>
    <row r="3">
      <c r="B3" s="33" t="s">
        <v>11313</v>
      </c>
      <c r="D3" s="34" t="s">
        <v>11314</v>
      </c>
      <c r="F3" s="33" t="s">
        <v>11315</v>
      </c>
    </row>
    <row r="4">
      <c r="B4" s="33" t="s">
        <v>11316</v>
      </c>
      <c r="D4" s="34" t="s">
        <v>11317</v>
      </c>
      <c r="F4" s="33" t="s">
        <v>11318</v>
      </c>
    </row>
    <row r="5">
      <c r="D5" s="3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0"/>
    <col customWidth="1" min="3" max="3" width="10.38"/>
    <col customWidth="1" min="4" max="4" width="17.75"/>
    <col customWidth="1" min="5" max="5" width="22.0"/>
    <col customWidth="1" min="6" max="6" width="16.13"/>
    <col customWidth="1" min="7" max="7" width="22.63"/>
    <col customWidth="1" min="8" max="8" width="16.13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.5" customHeight="1">
      <c r="A2" s="1"/>
      <c r="B2" s="6" t="s">
        <v>11319</v>
      </c>
      <c r="C2" s="1"/>
      <c r="D2" s="2"/>
      <c r="E2" s="1"/>
      <c r="F2" s="1"/>
      <c r="G2" s="1"/>
      <c r="H2" s="21"/>
      <c r="I2" s="21"/>
      <c r="J2" s="21"/>
      <c r="K2" s="21"/>
    </row>
    <row r="3" ht="22.5" customHeight="1">
      <c r="A3" s="5">
        <v>3601.0</v>
      </c>
      <c r="B3" s="6" t="s">
        <v>11320</v>
      </c>
      <c r="C3" s="7" t="str">
        <f t="shared" ref="C3:C302" si="1">HYPERLINK("https://translate.google.com/translate_tts?ie=UTF-8&amp;client=tw-ob&amp;tl=zh-CN&amp;q="&amp;ENCODEURL(B3),"🔊")</f>
        <v>🔊</v>
      </c>
      <c r="D3" s="8" t="s">
        <v>3332</v>
      </c>
      <c r="E3" s="6" t="s">
        <v>27</v>
      </c>
      <c r="F3" s="12" t="str">
        <f>IFERROR(__xludf.DUMMYFUNCTION("GOOGLETRANSLATE(B3,""zh_cn"",""vi"")"),"bờ biển")</f>
        <v>bờ biển</v>
      </c>
      <c r="G3" s="12"/>
      <c r="H3" s="6"/>
      <c r="I3" s="11" t="b">
        <f t="shared" ref="I3:I1802" si="2">H3=B3</f>
        <v>0</v>
      </c>
      <c r="J3" s="6"/>
      <c r="K3" s="11" t="b">
        <f t="shared" ref="K3:K1802" si="3">J3=F3</f>
        <v>0</v>
      </c>
    </row>
    <row r="4" ht="22.5" customHeight="1">
      <c r="A4" s="12">
        <f t="shared" ref="A4:A1802" si="4">A3+1</f>
        <v>3602</v>
      </c>
      <c r="B4" s="6" t="s">
        <v>11321</v>
      </c>
      <c r="C4" s="7" t="str">
        <f t="shared" si="1"/>
        <v>🔊</v>
      </c>
      <c r="D4" s="8" t="s">
        <v>11322</v>
      </c>
      <c r="E4" s="6" t="s">
        <v>99</v>
      </c>
      <c r="F4" s="12" t="str">
        <f>IFERROR(__xludf.DUMMYFUNCTION("GOOGLETRANSLATE(B4,""zh_cn"",""vi"")"),"đắt")</f>
        <v>đắt</v>
      </c>
      <c r="G4" s="12"/>
      <c r="H4" s="6"/>
      <c r="I4" s="11" t="b">
        <f t="shared" si="2"/>
        <v>0</v>
      </c>
      <c r="J4" s="6"/>
      <c r="K4" s="11" t="b">
        <f t="shared" si="3"/>
        <v>0</v>
      </c>
    </row>
    <row r="5" ht="22.5" customHeight="1">
      <c r="A5" s="12">
        <f t="shared" si="4"/>
        <v>3603</v>
      </c>
      <c r="B5" s="6" t="s">
        <v>11323</v>
      </c>
      <c r="C5" s="7" t="str">
        <f t="shared" si="1"/>
        <v>🔊</v>
      </c>
      <c r="D5" s="8" t="s">
        <v>11324</v>
      </c>
      <c r="E5" s="6" t="s">
        <v>27</v>
      </c>
      <c r="F5" s="12" t="str">
        <f>IFERROR(__xludf.DUMMYFUNCTION("GOOGLETRANSLATE(B5,""zh_cn"",""vi"")"),"Trường hợp")</f>
        <v>Trường hợp</v>
      </c>
      <c r="G5" s="12"/>
      <c r="H5" s="6"/>
      <c r="I5" s="11" t="b">
        <f t="shared" si="2"/>
        <v>0</v>
      </c>
      <c r="J5" s="6"/>
      <c r="K5" s="11" t="b">
        <f t="shared" si="3"/>
        <v>0</v>
      </c>
    </row>
    <row r="6" ht="22.5" customHeight="1">
      <c r="A6" s="12">
        <f t="shared" si="4"/>
        <v>3604</v>
      </c>
      <c r="B6" s="6" t="s">
        <v>11325</v>
      </c>
      <c r="C6" s="7" t="str">
        <f t="shared" si="1"/>
        <v>🔊</v>
      </c>
      <c r="D6" s="8" t="s">
        <v>11326</v>
      </c>
      <c r="E6" s="6" t="s">
        <v>13</v>
      </c>
      <c r="F6" s="12" t="str">
        <f>IFERROR(__xludf.DUMMYFUNCTION("GOOGLETRANSLATE(B6,""zh_cn"",""vi"")"),"mát xa")</f>
        <v>mát xa</v>
      </c>
      <c r="G6" s="12"/>
      <c r="H6" s="6"/>
      <c r="I6" s="11" t="b">
        <f t="shared" si="2"/>
        <v>0</v>
      </c>
      <c r="J6" s="6"/>
      <c r="K6" s="11" t="b">
        <f t="shared" si="3"/>
        <v>0</v>
      </c>
    </row>
    <row r="7" ht="22.5" customHeight="1">
      <c r="A7" s="12">
        <f t="shared" si="4"/>
        <v>3605</v>
      </c>
      <c r="B7" s="6" t="s">
        <v>11327</v>
      </c>
      <c r="C7" s="7" t="str">
        <f t="shared" si="1"/>
        <v>🔊</v>
      </c>
      <c r="D7" s="8" t="s">
        <v>11328</v>
      </c>
      <c r="E7" s="6" t="s">
        <v>13</v>
      </c>
      <c r="F7" s="12" t="str">
        <f>IFERROR(__xludf.DUMMYFUNCTION("GOOGLETRANSLATE(B7,""zh_cn"",""vi"")"),"gợi ý")</f>
        <v>gợi ý</v>
      </c>
      <c r="G7" s="12"/>
      <c r="H7" s="6"/>
      <c r="I7" s="11" t="b">
        <f t="shared" si="2"/>
        <v>0</v>
      </c>
      <c r="K7" s="11" t="b">
        <f t="shared" si="3"/>
        <v>0</v>
      </c>
    </row>
    <row r="8" ht="22.5" customHeight="1">
      <c r="A8" s="12">
        <f t="shared" si="4"/>
        <v>3606</v>
      </c>
      <c r="B8" s="6" t="s">
        <v>11329</v>
      </c>
      <c r="C8" s="7" t="str">
        <f t="shared" si="1"/>
        <v>🔊</v>
      </c>
      <c r="D8" s="8" t="s">
        <v>11330</v>
      </c>
      <c r="E8" s="6" t="s">
        <v>13</v>
      </c>
      <c r="F8" s="12" t="str">
        <f>IFERROR(__xludf.DUMMYFUNCTION("GOOGLETRANSLATE(B8,""zh_cn"",""vi"")"),"đánh bại")</f>
        <v>đánh bại</v>
      </c>
      <c r="G8" s="12"/>
      <c r="H8" s="6"/>
      <c r="I8" s="11" t="b">
        <f t="shared" si="2"/>
        <v>0</v>
      </c>
      <c r="K8" s="11" t="b">
        <f t="shared" si="3"/>
        <v>0</v>
      </c>
    </row>
    <row r="9" ht="22.5" customHeight="1">
      <c r="A9" s="12">
        <f t="shared" si="4"/>
        <v>3607</v>
      </c>
      <c r="B9" s="6" t="s">
        <v>11331</v>
      </c>
      <c r="C9" s="7" t="str">
        <f t="shared" si="1"/>
        <v>🔊</v>
      </c>
      <c r="D9" s="8" t="s">
        <v>30</v>
      </c>
      <c r="E9" s="6" t="s">
        <v>13</v>
      </c>
      <c r="F9" s="12" t="str">
        <f>IFERROR(__xludf.DUMMYFUNCTION("GOOGLETRANSLATE(B9,""zh_cn"",""vi"")"),"đặt")</f>
        <v>đặt</v>
      </c>
      <c r="G9" s="12"/>
      <c r="H9" s="6"/>
      <c r="I9" s="11" t="b">
        <f t="shared" si="2"/>
        <v>0</v>
      </c>
      <c r="K9" s="11" t="b">
        <f t="shared" si="3"/>
        <v>0</v>
      </c>
    </row>
    <row r="10" ht="22.5" customHeight="1">
      <c r="A10" s="12">
        <f t="shared" si="4"/>
        <v>3608</v>
      </c>
      <c r="B10" s="6" t="s">
        <v>11332</v>
      </c>
      <c r="C10" s="7" t="str">
        <f t="shared" si="1"/>
        <v>🔊</v>
      </c>
      <c r="D10" s="8" t="s">
        <v>11333</v>
      </c>
      <c r="E10" s="6" t="s">
        <v>61</v>
      </c>
      <c r="F10" s="12" t="str">
        <f>IFERROR(__xludf.DUMMYFUNCTION("GOOGLETRANSLATE(B10,""zh_cn"",""vi"")"),"vô ích")</f>
        <v>vô ích</v>
      </c>
      <c r="G10" s="12"/>
      <c r="H10" s="6"/>
      <c r="I10" s="11" t="b">
        <f t="shared" si="2"/>
        <v>0</v>
      </c>
      <c r="K10" s="11" t="b">
        <f t="shared" si="3"/>
        <v>0</v>
      </c>
    </row>
    <row r="11" ht="22.5" customHeight="1">
      <c r="A11" s="12">
        <f t="shared" si="4"/>
        <v>3609</v>
      </c>
      <c r="B11" s="6" t="s">
        <v>11334</v>
      </c>
      <c r="C11" s="7" t="str">
        <f t="shared" si="1"/>
        <v>🔊</v>
      </c>
      <c r="D11" s="8" t="s">
        <v>11335</v>
      </c>
      <c r="E11" s="6" t="s">
        <v>13</v>
      </c>
      <c r="F11" s="12" t="str">
        <f>IFERROR(__xludf.DUMMYFUNCTION("GOOGLETRANSLATE(B11,""zh_cn"",""vi"")"),"thăm nom")</f>
        <v>thăm nom</v>
      </c>
      <c r="G11" s="12"/>
      <c r="H11" s="6"/>
      <c r="I11" s="11" t="b">
        <f t="shared" si="2"/>
        <v>0</v>
      </c>
      <c r="K11" s="11" t="b">
        <f t="shared" si="3"/>
        <v>0</v>
      </c>
    </row>
    <row r="12" ht="22.5" customHeight="1">
      <c r="A12" s="12">
        <f t="shared" si="4"/>
        <v>3610</v>
      </c>
      <c r="B12" s="6" t="s">
        <v>11336</v>
      </c>
      <c r="C12" s="7" t="str">
        <f t="shared" si="1"/>
        <v>🔊</v>
      </c>
      <c r="D12" s="8" t="s">
        <v>11337</v>
      </c>
      <c r="E12" s="6" t="s">
        <v>13</v>
      </c>
      <c r="F12" s="12" t="str">
        <f>IFERROR(__xludf.DUMMYFUNCTION("GOOGLETRANSLATE(B12,""zh_cn"",""vi"")"),"Vị trí")</f>
        <v>Vị trí</v>
      </c>
      <c r="G12" s="12"/>
      <c r="H12" s="6"/>
      <c r="I12" s="11" t="b">
        <f t="shared" si="2"/>
        <v>0</v>
      </c>
      <c r="K12" s="11" t="b">
        <f t="shared" si="3"/>
        <v>0</v>
      </c>
    </row>
    <row r="13" ht="22.5" customHeight="1">
      <c r="A13" s="12">
        <f t="shared" si="4"/>
        <v>3611</v>
      </c>
      <c r="B13" s="6" t="s">
        <v>11338</v>
      </c>
      <c r="C13" s="7" t="str">
        <f t="shared" si="1"/>
        <v>🔊</v>
      </c>
      <c r="D13" s="8" t="s">
        <v>11339</v>
      </c>
      <c r="E13" s="6" t="s">
        <v>27</v>
      </c>
      <c r="F13" s="12" t="str">
        <f>IFERROR(__xludf.DUMMYFUNCTION("GOOGLETRANSLATE(B13,""zh_cn"",""vi"")"),"điểm phần trăm")</f>
        <v>điểm phần trăm</v>
      </c>
      <c r="G13" s="12"/>
      <c r="H13" s="6"/>
      <c r="I13" s="11" t="b">
        <f t="shared" si="2"/>
        <v>0</v>
      </c>
      <c r="K13" s="11" t="b">
        <f t="shared" si="3"/>
        <v>0</v>
      </c>
    </row>
    <row r="14" ht="22.5" customHeight="1">
      <c r="A14" s="12">
        <f t="shared" si="4"/>
        <v>3612</v>
      </c>
      <c r="B14" s="6" t="s">
        <v>11340</v>
      </c>
      <c r="C14" s="7" t="str">
        <f t="shared" si="1"/>
        <v>🔊</v>
      </c>
      <c r="D14" s="8" t="s">
        <v>11341</v>
      </c>
      <c r="E14" s="6" t="s">
        <v>27</v>
      </c>
      <c r="F14" s="12" t="str">
        <f>IFERROR(__xludf.DUMMYFUNCTION("GOOGLETRANSLATE(B14,""zh_cn"",""vi"")"),"Cửa hàng bách hóa")</f>
        <v>Cửa hàng bách hóa</v>
      </c>
      <c r="G14" s="12"/>
      <c r="H14" s="6"/>
      <c r="I14" s="11" t="b">
        <f t="shared" si="2"/>
        <v>0</v>
      </c>
      <c r="K14" s="11" t="b">
        <f t="shared" si="3"/>
        <v>0</v>
      </c>
    </row>
    <row r="15" ht="22.5" customHeight="1">
      <c r="A15" s="12">
        <f t="shared" si="4"/>
        <v>3613</v>
      </c>
      <c r="B15" s="6" t="s">
        <v>11342</v>
      </c>
      <c r="C15" s="7" t="str">
        <f t="shared" si="1"/>
        <v>🔊</v>
      </c>
      <c r="D15" s="8" t="s">
        <v>11343</v>
      </c>
      <c r="E15" s="6" t="s">
        <v>27</v>
      </c>
      <c r="F15" s="12" t="str">
        <f>IFERROR(__xludf.DUMMYFUNCTION("GOOGLETRANSLATE(B15,""zh_cn"",""vi"")"),"cổ áo trắng")</f>
        <v>cổ áo trắng</v>
      </c>
      <c r="G15" s="12"/>
      <c r="H15" s="6"/>
      <c r="I15" s="11" t="b">
        <f t="shared" si="2"/>
        <v>0</v>
      </c>
      <c r="K15" s="11" t="b">
        <f t="shared" si="3"/>
        <v>0</v>
      </c>
    </row>
    <row r="16" ht="22.5" customHeight="1">
      <c r="A16" s="12">
        <f t="shared" si="4"/>
        <v>3614</v>
      </c>
      <c r="B16" s="6" t="s">
        <v>11344</v>
      </c>
      <c r="C16" s="7" t="str">
        <f t="shared" si="1"/>
        <v>🔊</v>
      </c>
      <c r="D16" s="8" t="s">
        <v>11345</v>
      </c>
      <c r="E16" s="6" t="s">
        <v>13</v>
      </c>
      <c r="F16" s="12" t="str">
        <f>IFERROR(__xludf.DUMMYFUNCTION("GOOGLETRANSLATE(B16,""zh_cn"",""vi"")"),"đến thăm nhà nhân dịp năm mới")</f>
        <v>đến thăm nhà nhân dịp năm mới</v>
      </c>
      <c r="G16" s="12"/>
      <c r="H16" s="6"/>
      <c r="I16" s="11" t="b">
        <f t="shared" si="2"/>
        <v>0</v>
      </c>
      <c r="K16" s="11" t="b">
        <f t="shared" si="3"/>
        <v>0</v>
      </c>
    </row>
    <row r="17" ht="22.5" customHeight="1">
      <c r="A17" s="12">
        <f t="shared" si="4"/>
        <v>3615</v>
      </c>
      <c r="B17" s="6" t="s">
        <v>11346</v>
      </c>
      <c r="C17" s="7" t="str">
        <f t="shared" si="1"/>
        <v>🔊</v>
      </c>
      <c r="D17" s="8" t="s">
        <v>11347</v>
      </c>
      <c r="E17" s="6" t="s">
        <v>13</v>
      </c>
      <c r="F17" s="12" t="str">
        <f>IFERROR(__xludf.DUMMYFUNCTION("GOOGLETRANSLATE(B17,""zh_cn"",""vi"")"),"loại bỏ")</f>
        <v>loại bỏ</v>
      </c>
      <c r="G17" s="12"/>
      <c r="H17" s="6"/>
      <c r="I17" s="11" t="b">
        <f t="shared" si="2"/>
        <v>0</v>
      </c>
      <c r="K17" s="11" t="b">
        <f t="shared" si="3"/>
        <v>0</v>
      </c>
    </row>
    <row r="18" ht="22.5" customHeight="1">
      <c r="A18" s="12">
        <f t="shared" si="4"/>
        <v>3616</v>
      </c>
      <c r="B18" s="6" t="s">
        <v>11348</v>
      </c>
      <c r="C18" s="7" t="str">
        <f t="shared" si="1"/>
        <v>🔊</v>
      </c>
      <c r="D18" s="8" t="s">
        <v>11349</v>
      </c>
      <c r="E18" s="6" t="s">
        <v>259</v>
      </c>
      <c r="F18" s="12" t="str">
        <f>IFERROR(__xludf.DUMMYFUNCTION("GOOGLETRANSLATE(B18,""zh_cn"",""vi"")"),"phiên bản")</f>
        <v>phiên bản</v>
      </c>
      <c r="G18" s="12"/>
      <c r="H18" s="6"/>
      <c r="I18" s="11" t="b">
        <f t="shared" si="2"/>
        <v>0</v>
      </c>
      <c r="K18" s="11" t="b">
        <f t="shared" si="3"/>
        <v>0</v>
      </c>
    </row>
    <row r="19" ht="22.5" customHeight="1">
      <c r="A19" s="12">
        <f t="shared" si="4"/>
        <v>3617</v>
      </c>
      <c r="B19" s="6" t="s">
        <v>11350</v>
      </c>
      <c r="C19" s="7" t="str">
        <f t="shared" si="1"/>
        <v>🔊</v>
      </c>
      <c r="D19" s="8" t="s">
        <v>11351</v>
      </c>
      <c r="E19" s="6" t="s">
        <v>27</v>
      </c>
      <c r="F19" s="12" t="str">
        <f>IFERROR(__xludf.DUMMYFUNCTION("GOOGLETRANSLATE(B19,""zh_cn"",""vi"")"),"Phiên bản")</f>
        <v>Phiên bản</v>
      </c>
      <c r="G19" s="12"/>
      <c r="H19" s="6"/>
      <c r="I19" s="11" t="b">
        <f t="shared" si="2"/>
        <v>0</v>
      </c>
      <c r="K19" s="11" t="b">
        <f t="shared" si="3"/>
        <v>0</v>
      </c>
    </row>
    <row r="20" ht="22.5" customHeight="1">
      <c r="A20" s="12">
        <f t="shared" si="4"/>
        <v>3618</v>
      </c>
      <c r="B20" s="6" t="s">
        <v>11352</v>
      </c>
      <c r="C20" s="7" t="str">
        <f t="shared" si="1"/>
        <v>🔊</v>
      </c>
      <c r="D20" s="8" t="s">
        <v>11353</v>
      </c>
      <c r="E20" s="6" t="s">
        <v>27</v>
      </c>
      <c r="F20" s="12" t="str">
        <f>IFERROR(__xludf.DUMMYFUNCTION("GOOGLETRANSLATE(B20,""zh_cn"",""vi"")"),"bóng chày")</f>
        <v>bóng chày</v>
      </c>
      <c r="G20" s="12"/>
      <c r="H20" s="6"/>
      <c r="I20" s="11" t="b">
        <f t="shared" si="2"/>
        <v>0</v>
      </c>
      <c r="K20" s="11" t="b">
        <f t="shared" si="3"/>
        <v>0</v>
      </c>
    </row>
    <row r="21" ht="22.5" customHeight="1">
      <c r="A21" s="12">
        <f t="shared" si="4"/>
        <v>3619</v>
      </c>
      <c r="B21" s="6" t="s">
        <v>11354</v>
      </c>
      <c r="C21" s="7" t="str">
        <f t="shared" si="1"/>
        <v>🔊</v>
      </c>
      <c r="D21" s="8" t="s">
        <v>11355</v>
      </c>
      <c r="E21" s="6" t="s">
        <v>27</v>
      </c>
      <c r="F21" s="12" t="str">
        <f>IFERROR(__xludf.DUMMYFUNCTION("GOOGLETRANSLATE(B21,""zh_cn"",""vi"")"),"ví dụ")</f>
        <v>ví dụ</v>
      </c>
      <c r="G21" s="12"/>
      <c r="H21" s="6"/>
      <c r="I21" s="11" t="b">
        <f t="shared" si="2"/>
        <v>0</v>
      </c>
      <c r="K21" s="11" t="b">
        <f t="shared" si="3"/>
        <v>0</v>
      </c>
    </row>
    <row r="22" ht="22.5" customHeight="1">
      <c r="A22" s="12">
        <f t="shared" si="4"/>
        <v>3620</v>
      </c>
      <c r="B22" s="6" t="s">
        <v>11356</v>
      </c>
      <c r="C22" s="7" t="str">
        <f t="shared" si="1"/>
        <v>🔊</v>
      </c>
      <c r="D22" s="8" t="s">
        <v>11357</v>
      </c>
      <c r="E22" s="6" t="s">
        <v>13</v>
      </c>
      <c r="F22" s="12" t="str">
        <f>IFERROR(__xludf.DUMMYFUNCTION("GOOGLETRANSLATE(B22,""zh_cn"",""vi"")"),"Đi kèm")</f>
        <v>Đi kèm</v>
      </c>
      <c r="G22" s="12"/>
      <c r="H22" s="6"/>
      <c r="I22" s="11" t="b">
        <f t="shared" si="2"/>
        <v>0</v>
      </c>
      <c r="K22" s="11" t="b">
        <f t="shared" si="3"/>
        <v>0</v>
      </c>
    </row>
    <row r="23" ht="22.5" customHeight="1">
      <c r="A23" s="12">
        <f t="shared" si="4"/>
        <v>3621</v>
      </c>
      <c r="B23" s="6" t="s">
        <v>11358</v>
      </c>
      <c r="C23" s="7" t="str">
        <f t="shared" si="1"/>
        <v>🔊</v>
      </c>
      <c r="D23" s="8" t="s">
        <v>11359</v>
      </c>
      <c r="E23" s="6" t="s">
        <v>13</v>
      </c>
      <c r="F23" s="12" t="str">
        <f>IFERROR(__xludf.DUMMYFUNCTION("GOOGLETRANSLATE(B23,""zh_cn"",""vi"")"),"Đang chơi")</f>
        <v>Đang chơi</v>
      </c>
      <c r="G23" s="12"/>
      <c r="H23" s="6"/>
      <c r="I23" s="11" t="b">
        <f t="shared" si="2"/>
        <v>0</v>
      </c>
      <c r="K23" s="11" t="b">
        <f t="shared" si="3"/>
        <v>0</v>
      </c>
    </row>
    <row r="24" ht="22.5" customHeight="1">
      <c r="A24" s="12">
        <f t="shared" si="4"/>
        <v>3622</v>
      </c>
      <c r="B24" s="6" t="s">
        <v>11360</v>
      </c>
      <c r="C24" s="7" t="str">
        <f t="shared" si="1"/>
        <v>🔊</v>
      </c>
      <c r="D24" s="8" t="s">
        <v>3364</v>
      </c>
      <c r="E24" s="6" t="s">
        <v>13</v>
      </c>
      <c r="F24" s="12" t="str">
        <f>IFERROR(__xludf.DUMMYFUNCTION("GOOGLETRANSLATE(B24,""zh_cn"",""vi"")"),"nổ")</f>
        <v>nổ</v>
      </c>
      <c r="G24" s="12"/>
      <c r="H24" s="6"/>
      <c r="I24" s="11" t="b">
        <f t="shared" si="2"/>
        <v>0</v>
      </c>
      <c r="K24" s="11" t="b">
        <f t="shared" si="3"/>
        <v>0</v>
      </c>
    </row>
    <row r="25" ht="22.5" customHeight="1">
      <c r="A25" s="12">
        <f t="shared" si="4"/>
        <v>3623</v>
      </c>
      <c r="B25" s="6" t="s">
        <v>11361</v>
      </c>
      <c r="C25" s="7" t="str">
        <f t="shared" si="1"/>
        <v>🔊</v>
      </c>
      <c r="D25" s="8" t="s">
        <v>11362</v>
      </c>
      <c r="E25" s="6" t="s">
        <v>13</v>
      </c>
      <c r="F25" s="12" t="str">
        <f>IFERROR(__xludf.DUMMYFUNCTION("GOOGLETRANSLATE(B25,""zh_cn"",""vi"")"),"bùng phát")</f>
        <v>bùng phát</v>
      </c>
      <c r="G25" s="12"/>
      <c r="H25" s="6"/>
      <c r="I25" s="11" t="b">
        <f t="shared" si="2"/>
        <v>0</v>
      </c>
      <c r="K25" s="11" t="b">
        <f t="shared" si="3"/>
        <v>0</v>
      </c>
    </row>
    <row r="26" ht="22.5" customHeight="1">
      <c r="A26" s="12">
        <f t="shared" si="4"/>
        <v>3624</v>
      </c>
      <c r="B26" s="6" t="s">
        <v>11363</v>
      </c>
      <c r="C26" s="7" t="str">
        <f t="shared" si="1"/>
        <v>🔊</v>
      </c>
      <c r="D26" s="8" t="s">
        <v>11364</v>
      </c>
      <c r="E26" s="6" t="s">
        <v>13</v>
      </c>
      <c r="F26" s="12" t="str">
        <f>IFERROR(__xludf.DUMMYFUNCTION("GOOGLETRANSLATE(B26,""zh_cn"",""vi"")"),"giam giữ")</f>
        <v>giam giữ</v>
      </c>
      <c r="G26" s="12"/>
      <c r="H26" s="6"/>
      <c r="I26" s="11" t="b">
        <f t="shared" si="2"/>
        <v>0</v>
      </c>
      <c r="K26" s="11" t="b">
        <f t="shared" si="3"/>
        <v>0</v>
      </c>
    </row>
    <row r="27" ht="22.5" customHeight="1">
      <c r="A27" s="12">
        <f t="shared" si="4"/>
        <v>3625</v>
      </c>
      <c r="B27" s="6" t="s">
        <v>11365</v>
      </c>
      <c r="C27" s="7" t="str">
        <f t="shared" si="1"/>
        <v>🔊</v>
      </c>
      <c r="D27" s="8" t="s">
        <v>11366</v>
      </c>
      <c r="E27" s="6" t="s">
        <v>13</v>
      </c>
      <c r="F27" s="12" t="str">
        <f>IFERROR(__xludf.DUMMYFUNCTION("GOOGLETRANSLATE(B27,""zh_cn"",""vi"")"),"chăm sóc sức khỏe")</f>
        <v>chăm sóc sức khỏe</v>
      </c>
      <c r="G27" s="12"/>
      <c r="H27" s="6"/>
      <c r="I27" s="11" t="b">
        <f t="shared" si="2"/>
        <v>0</v>
      </c>
      <c r="K27" s="11" t="b">
        <f t="shared" si="3"/>
        <v>0</v>
      </c>
    </row>
    <row r="28" ht="22.5" customHeight="1">
      <c r="A28" s="12">
        <f t="shared" si="4"/>
        <v>3626</v>
      </c>
      <c r="B28" s="6" t="s">
        <v>11367</v>
      </c>
      <c r="C28" s="7" t="str">
        <f t="shared" si="1"/>
        <v>🔊</v>
      </c>
      <c r="D28" s="8" t="s">
        <v>11368</v>
      </c>
      <c r="E28" s="6" t="s">
        <v>27</v>
      </c>
      <c r="F28" s="12" t="str">
        <f>IFERROR(__xludf.DUMMYFUNCTION("GOOGLETRANSLATE(B28,""zh_cn"",""vi"")"),"nhấn")</f>
        <v>nhấn</v>
      </c>
      <c r="G28" s="12"/>
      <c r="H28" s="6"/>
      <c r="I28" s="11" t="b">
        <f t="shared" si="2"/>
        <v>0</v>
      </c>
      <c r="K28" s="11" t="b">
        <f t="shared" si="3"/>
        <v>0</v>
      </c>
    </row>
    <row r="29" ht="22.5" customHeight="1">
      <c r="A29" s="12">
        <f t="shared" si="4"/>
        <v>3627</v>
      </c>
      <c r="B29" s="6" t="s">
        <v>11369</v>
      </c>
      <c r="C29" s="7" t="str">
        <f t="shared" si="1"/>
        <v>🔊</v>
      </c>
      <c r="D29" s="8" t="s">
        <v>11370</v>
      </c>
      <c r="E29" s="6" t="s">
        <v>27</v>
      </c>
      <c r="F29" s="12" t="str">
        <f>IFERROR(__xludf.DUMMYFUNCTION("GOOGLETRANSLATE(B29,""zh_cn"",""vi"")"),"Bạo lực")</f>
        <v>Bạo lực</v>
      </c>
      <c r="G29" s="12"/>
      <c r="H29" s="6"/>
      <c r="I29" s="11" t="b">
        <f t="shared" si="2"/>
        <v>0</v>
      </c>
      <c r="K29" s="11" t="b">
        <f t="shared" si="3"/>
        <v>0</v>
      </c>
    </row>
    <row r="30" ht="22.5" customHeight="1">
      <c r="A30" s="12">
        <f t="shared" si="4"/>
        <v>3628</v>
      </c>
      <c r="B30" s="6" t="s">
        <v>11371</v>
      </c>
      <c r="C30" s="7" t="str">
        <f t="shared" si="1"/>
        <v>🔊</v>
      </c>
      <c r="D30" s="8" t="s">
        <v>11372</v>
      </c>
      <c r="E30" s="6" t="s">
        <v>13</v>
      </c>
      <c r="F30" s="12" t="str">
        <f>IFERROR(__xludf.DUMMYFUNCTION("GOOGLETRANSLATE(B30,""zh_cn"",""vi"")"),"Phơi bày")</f>
        <v>Phơi bày</v>
      </c>
      <c r="G30" s="12"/>
      <c r="H30" s="6"/>
      <c r="I30" s="11" t="b">
        <f t="shared" si="2"/>
        <v>0</v>
      </c>
      <c r="K30" s="11" t="b">
        <f t="shared" si="3"/>
        <v>0</v>
      </c>
    </row>
    <row r="31" ht="22.5" customHeight="1">
      <c r="A31" s="12">
        <f t="shared" si="4"/>
        <v>3629</v>
      </c>
      <c r="B31" s="6" t="s">
        <v>11373</v>
      </c>
      <c r="C31" s="7" t="str">
        <f t="shared" si="1"/>
        <v>🔊</v>
      </c>
      <c r="D31" s="8" t="s">
        <v>11374</v>
      </c>
      <c r="E31" s="6" t="s">
        <v>13</v>
      </c>
      <c r="F31" s="12" t="str">
        <f>IFERROR(__xludf.DUMMYFUNCTION("GOOGLETRANSLATE(B31,""zh_cn"",""vi"")"),"Giữ ấm")</f>
        <v>Giữ ấm</v>
      </c>
      <c r="G31" s="12"/>
      <c r="H31" s="6"/>
      <c r="I31" s="11" t="b">
        <f t="shared" si="2"/>
        <v>0</v>
      </c>
      <c r="K31" s="11" t="b">
        <f t="shared" si="3"/>
        <v>0</v>
      </c>
    </row>
    <row r="32" ht="22.5" customHeight="1">
      <c r="A32" s="12">
        <f t="shared" si="4"/>
        <v>3630</v>
      </c>
      <c r="B32" s="6" t="s">
        <v>11375</v>
      </c>
      <c r="C32" s="7" t="str">
        <f t="shared" si="1"/>
        <v>🔊</v>
      </c>
      <c r="D32" s="8" t="s">
        <v>11376</v>
      </c>
      <c r="E32" s="6" t="s">
        <v>27</v>
      </c>
      <c r="F32" s="12" t="str">
        <f>IFERROR(__xludf.DUMMYFUNCTION("GOOGLETRANSLATE(B32,""zh_cn"",""vi"")"),"Báo")</f>
        <v>Báo</v>
      </c>
      <c r="G32" s="12"/>
      <c r="H32" s="6"/>
      <c r="I32" s="11" t="b">
        <f t="shared" si="2"/>
        <v>0</v>
      </c>
      <c r="K32" s="11" t="b">
        <f t="shared" si="3"/>
        <v>0</v>
      </c>
    </row>
    <row r="33" ht="22.5" customHeight="1">
      <c r="A33" s="12">
        <f t="shared" si="4"/>
        <v>3631</v>
      </c>
      <c r="B33" s="6" t="s">
        <v>11377</v>
      </c>
      <c r="C33" s="7" t="str">
        <f t="shared" si="1"/>
        <v>🔊</v>
      </c>
      <c r="D33" s="8" t="s">
        <v>11378</v>
      </c>
      <c r="E33" s="6" t="s">
        <v>13</v>
      </c>
      <c r="F33" s="12" t="str">
        <f>IFERROR(__xludf.DUMMYFUNCTION("GOOGLETRANSLATE(B33,""zh_cn"",""vi"")"),"Bảo hành")</f>
        <v>Bảo hành</v>
      </c>
      <c r="G33" s="12"/>
      <c r="H33" s="6"/>
      <c r="I33" s="11" t="b">
        <f t="shared" si="2"/>
        <v>0</v>
      </c>
      <c r="K33" s="11" t="b">
        <f t="shared" si="3"/>
        <v>0</v>
      </c>
    </row>
    <row r="34" ht="22.5" customHeight="1">
      <c r="A34" s="12">
        <f t="shared" si="4"/>
        <v>3632</v>
      </c>
      <c r="B34" s="6" t="s">
        <v>11379</v>
      </c>
      <c r="C34" s="7" t="str">
        <f t="shared" si="1"/>
        <v>🔊</v>
      </c>
      <c r="D34" s="8" t="s">
        <v>11380</v>
      </c>
      <c r="E34" s="6" t="s">
        <v>13</v>
      </c>
      <c r="F34" s="12" t="str">
        <f>IFERROR(__xludf.DUMMYFUNCTION("GOOGLETRANSLATE(B34,""zh_cn"",""vi"")"),"nổ")</f>
        <v>nổ</v>
      </c>
      <c r="G34" s="12"/>
      <c r="H34" s="6"/>
      <c r="I34" s="11" t="b">
        <f t="shared" si="2"/>
        <v>0</v>
      </c>
      <c r="K34" s="11" t="b">
        <f t="shared" si="3"/>
        <v>0</v>
      </c>
    </row>
    <row r="35" ht="22.5" customHeight="1">
      <c r="A35" s="12">
        <f t="shared" si="4"/>
        <v>3633</v>
      </c>
      <c r="B35" s="6" t="s">
        <v>11381</v>
      </c>
      <c r="C35" s="7" t="str">
        <f t="shared" si="1"/>
        <v>🔊</v>
      </c>
      <c r="D35" s="8" t="s">
        <v>11382</v>
      </c>
      <c r="E35" s="6" t="s">
        <v>232</v>
      </c>
      <c r="F35" s="12" t="str">
        <f>IFERROR(__xludf.DUMMYFUNCTION("GOOGLETRANSLATE(B35,""zh_cn"",""vi"")"),"Đảm bảo")</f>
        <v>Đảm bảo</v>
      </c>
      <c r="G35" s="12"/>
      <c r="H35" s="6"/>
      <c r="I35" s="11" t="b">
        <f t="shared" si="2"/>
        <v>0</v>
      </c>
      <c r="K35" s="11" t="b">
        <f t="shared" si="3"/>
        <v>0</v>
      </c>
    </row>
    <row r="36" ht="22.5" customHeight="1">
      <c r="A36" s="12">
        <f t="shared" si="4"/>
        <v>3634</v>
      </c>
      <c r="B36" s="6" t="s">
        <v>11383</v>
      </c>
      <c r="C36" s="7" t="str">
        <f t="shared" si="1"/>
        <v>🔊</v>
      </c>
      <c r="D36" s="8" t="s">
        <v>11384</v>
      </c>
      <c r="E36" s="6" t="s">
        <v>99</v>
      </c>
      <c r="F36" s="12" t="str">
        <f>IFERROR(__xludf.DUMMYFUNCTION("GOOGLETRANSLATE(B36,""zh_cn"",""vi"")"),"thụ động")</f>
        <v>thụ động</v>
      </c>
      <c r="G36" s="12"/>
      <c r="H36" s="6"/>
      <c r="I36" s="11" t="b">
        <f t="shared" si="2"/>
        <v>0</v>
      </c>
      <c r="K36" s="11" t="b">
        <f t="shared" si="3"/>
        <v>0</v>
      </c>
    </row>
    <row r="37" ht="22.5" customHeight="1">
      <c r="A37" s="12">
        <f t="shared" si="4"/>
        <v>3635</v>
      </c>
      <c r="B37" s="6" t="s">
        <v>11385</v>
      </c>
      <c r="C37" s="7" t="str">
        <f t="shared" si="1"/>
        <v>🔊</v>
      </c>
      <c r="D37" s="8" t="s">
        <v>11386</v>
      </c>
      <c r="E37" s="6" t="s">
        <v>99</v>
      </c>
      <c r="F37" s="12" t="str">
        <f>IFERROR(__xludf.DUMMYFUNCTION("GOOGLETRANSLATE(B37,""zh_cn"",""vi"")"),"bi quan")</f>
        <v>bi quan</v>
      </c>
      <c r="G37" s="12"/>
      <c r="H37" s="6"/>
      <c r="I37" s="11" t="b">
        <f t="shared" si="2"/>
        <v>0</v>
      </c>
      <c r="K37" s="11" t="b">
        <f t="shared" si="3"/>
        <v>0</v>
      </c>
    </row>
    <row r="38" ht="22.5" customHeight="1">
      <c r="A38" s="12">
        <f t="shared" si="4"/>
        <v>3636</v>
      </c>
      <c r="B38" s="6" t="s">
        <v>11387</v>
      </c>
      <c r="C38" s="7" t="str">
        <f t="shared" si="1"/>
        <v>🔊</v>
      </c>
      <c r="D38" s="8" t="s">
        <v>11388</v>
      </c>
      <c r="E38" s="6" t="s">
        <v>27</v>
      </c>
      <c r="F38" s="12" t="str">
        <f>IFERROR(__xludf.DUMMYFUNCTION("GOOGLETRANSLATE(B38,""zh_cn"",""vi"")"),"Bắc Cực")</f>
        <v>Bắc Cực</v>
      </c>
      <c r="G38" s="12"/>
      <c r="H38" s="6"/>
      <c r="I38" s="11" t="b">
        <f t="shared" si="2"/>
        <v>0</v>
      </c>
      <c r="K38" s="11" t="b">
        <f t="shared" si="3"/>
        <v>0</v>
      </c>
    </row>
    <row r="39" ht="22.5" customHeight="1">
      <c r="A39" s="12">
        <f t="shared" si="4"/>
        <v>3637</v>
      </c>
      <c r="B39" s="6" t="s">
        <v>11389</v>
      </c>
      <c r="C39" s="7" t="str">
        <f t="shared" si="1"/>
        <v>🔊</v>
      </c>
      <c r="D39" s="8" t="s">
        <v>11390</v>
      </c>
      <c r="E39" s="6" t="s">
        <v>27</v>
      </c>
      <c r="F39" s="12" t="str">
        <f>IFERROR(__xludf.DUMMYFUNCTION("GOOGLETRANSLATE(B39,""zh_cn"",""vi"")"),"bi kịch")</f>
        <v>bi kịch</v>
      </c>
      <c r="G39" s="12"/>
      <c r="H39" s="6"/>
      <c r="I39" s="11" t="b">
        <f t="shared" si="2"/>
        <v>0</v>
      </c>
      <c r="K39" s="11" t="b">
        <f t="shared" si="3"/>
        <v>0</v>
      </c>
    </row>
    <row r="40" ht="22.5" customHeight="1">
      <c r="A40" s="12">
        <f t="shared" si="4"/>
        <v>3638</v>
      </c>
      <c r="B40" s="6" t="s">
        <v>11391</v>
      </c>
      <c r="C40" s="7" t="str">
        <f t="shared" si="1"/>
        <v>🔊</v>
      </c>
      <c r="D40" s="8" t="s">
        <v>11392</v>
      </c>
      <c r="E40" s="6" t="s">
        <v>27</v>
      </c>
      <c r="F40" s="12" t="str">
        <f>IFERROR(__xludf.DUMMYFUNCTION("GOOGLETRANSLATE(B40,""zh_cn"",""vi"")"),"Bắc Mỹ")</f>
        <v>Bắc Mỹ</v>
      </c>
      <c r="G40" s="12"/>
      <c r="H40" s="6"/>
      <c r="I40" s="11" t="b">
        <f t="shared" si="2"/>
        <v>0</v>
      </c>
      <c r="K40" s="11" t="b">
        <f t="shared" si="3"/>
        <v>0</v>
      </c>
    </row>
    <row r="41" ht="22.5" customHeight="1">
      <c r="A41" s="12">
        <f t="shared" si="4"/>
        <v>3639</v>
      </c>
      <c r="B41" s="6" t="s">
        <v>11393</v>
      </c>
      <c r="C41" s="7" t="str">
        <f t="shared" si="1"/>
        <v>🔊</v>
      </c>
      <c r="D41" s="8" t="s">
        <v>11394</v>
      </c>
      <c r="E41" s="6" t="s">
        <v>13</v>
      </c>
      <c r="F41" s="12" t="str">
        <f>IFERROR(__xludf.DUMMYFUNCTION("GOOGLETRANSLATE(B41,""zh_cn"",""vi"")"),"Bị ép")</f>
        <v>Bị ép</v>
      </c>
      <c r="G41" s="12"/>
      <c r="H41" s="6"/>
      <c r="I41" s="11" t="b">
        <f t="shared" si="2"/>
        <v>0</v>
      </c>
      <c r="K41" s="11" t="b">
        <f t="shared" si="3"/>
        <v>0</v>
      </c>
    </row>
    <row r="42" ht="22.5" customHeight="1">
      <c r="A42" s="12">
        <f t="shared" si="4"/>
        <v>3640</v>
      </c>
      <c r="B42" s="6" t="s">
        <v>11395</v>
      </c>
      <c r="C42" s="7" t="str">
        <f t="shared" si="1"/>
        <v>🔊</v>
      </c>
      <c r="D42" s="8" t="s">
        <v>11396</v>
      </c>
      <c r="E42" s="6" t="s">
        <v>99</v>
      </c>
      <c r="F42" s="12" t="str">
        <f>IFERROR(__xludf.DUMMYFUNCTION("GOOGLETRANSLATE(B42,""zh_cn"",""vi"")"),"buồn")</f>
        <v>buồn</v>
      </c>
      <c r="G42" s="12"/>
      <c r="H42" s="6"/>
      <c r="I42" s="11" t="b">
        <f t="shared" si="2"/>
        <v>0</v>
      </c>
      <c r="K42" s="11" t="b">
        <f t="shared" si="3"/>
        <v>0</v>
      </c>
    </row>
    <row r="43" ht="22.5" customHeight="1">
      <c r="A43" s="12">
        <f t="shared" si="4"/>
        <v>3641</v>
      </c>
      <c r="B43" s="6" t="s">
        <v>11397</v>
      </c>
      <c r="C43" s="7" t="str">
        <f t="shared" si="1"/>
        <v>🔊</v>
      </c>
      <c r="D43" s="8" t="s">
        <v>11398</v>
      </c>
      <c r="E43" s="6" t="s">
        <v>27</v>
      </c>
      <c r="F43" s="12" t="str">
        <f>IFERROR(__xludf.DUMMYFUNCTION("GOOGLETRANSLATE(B43,""zh_cn"",""vi"")"),"Áo vest")</f>
        <v>Áo vest</v>
      </c>
      <c r="G43" s="12"/>
      <c r="H43" s="6"/>
      <c r="I43" s="11" t="b">
        <f t="shared" si="2"/>
        <v>0</v>
      </c>
      <c r="K43" s="11" t="b">
        <f t="shared" si="3"/>
        <v>0</v>
      </c>
    </row>
    <row r="44" ht="22.5" customHeight="1">
      <c r="A44" s="12">
        <f t="shared" si="4"/>
        <v>3642</v>
      </c>
      <c r="B44" s="6" t="s">
        <v>11399</v>
      </c>
      <c r="C44" s="7" t="str">
        <f t="shared" si="1"/>
        <v>🔊</v>
      </c>
      <c r="D44" s="8" t="s">
        <v>11400</v>
      </c>
      <c r="E44" s="6" t="s">
        <v>13</v>
      </c>
      <c r="F44" s="12" t="str">
        <f>IFERROR(__xludf.DUMMYFUNCTION("GOOGLETRANSLATE(B44,""zh_cn"",""vi"")"),"dự phòng")</f>
        <v>dự phòng</v>
      </c>
      <c r="G44" s="12"/>
      <c r="H44" s="6"/>
      <c r="I44" s="11" t="b">
        <f t="shared" si="2"/>
        <v>0</v>
      </c>
      <c r="K44" s="11" t="b">
        <f t="shared" si="3"/>
        <v>0</v>
      </c>
    </row>
    <row r="45" ht="22.5" customHeight="1">
      <c r="A45" s="12">
        <f t="shared" si="4"/>
        <v>3643</v>
      </c>
      <c r="B45" s="6" t="s">
        <v>11401</v>
      </c>
      <c r="C45" s="7" t="str">
        <f t="shared" si="1"/>
        <v>🔊</v>
      </c>
      <c r="D45" s="8" t="s">
        <v>11402</v>
      </c>
      <c r="E45" s="6" t="s">
        <v>13</v>
      </c>
      <c r="F45" s="12" t="str">
        <f>IFERROR(__xludf.DUMMYFUNCTION("GOOGLETRANSLATE(B45,""zh_cn"",""vi"")"),"Nhân đôi")</f>
        <v>Nhân đôi</v>
      </c>
      <c r="G45" s="12"/>
      <c r="H45" s="6"/>
      <c r="I45" s="11" t="b">
        <f t="shared" si="2"/>
        <v>0</v>
      </c>
      <c r="K45" s="11" t="b">
        <f t="shared" si="3"/>
        <v>0</v>
      </c>
    </row>
    <row r="46" ht="22.5" customHeight="1">
      <c r="A46" s="12">
        <f t="shared" si="4"/>
        <v>3644</v>
      </c>
      <c r="B46" s="6" t="s">
        <v>11403</v>
      </c>
      <c r="C46" s="7" t="str">
        <f t="shared" si="1"/>
        <v>🔊</v>
      </c>
      <c r="D46" s="8" t="s">
        <v>11404</v>
      </c>
      <c r="E46" s="6" t="s">
        <v>3089</v>
      </c>
      <c r="F46" s="12" t="str">
        <f>IFERROR(__xludf.DUMMYFUNCTION("GOOGLETRANSLATE(B46,""zh_cn"",""vi"")"),"bản năng")</f>
        <v>bản năng</v>
      </c>
      <c r="G46" s="12"/>
      <c r="H46" s="6"/>
      <c r="I46" s="11" t="b">
        <f t="shared" si="2"/>
        <v>0</v>
      </c>
      <c r="K46" s="11" t="b">
        <f t="shared" si="3"/>
        <v>0</v>
      </c>
    </row>
    <row r="47" ht="22.5" customHeight="1">
      <c r="A47" s="12">
        <f t="shared" si="4"/>
        <v>3645</v>
      </c>
      <c r="B47" s="6" t="s">
        <v>11405</v>
      </c>
      <c r="C47" s="7" t="str">
        <f t="shared" si="1"/>
        <v>🔊</v>
      </c>
      <c r="D47" s="8" t="s">
        <v>11406</v>
      </c>
      <c r="E47" s="6" t="s">
        <v>13</v>
      </c>
      <c r="F47" s="12" t="str">
        <f>IFERROR(__xludf.DUMMYFUNCTION("GOOGLETRANSLATE(B47,""zh_cn"",""vi"")"),"chạy")</f>
        <v>chạy</v>
      </c>
      <c r="G47" s="12"/>
      <c r="H47" s="6"/>
      <c r="I47" s="11" t="b">
        <f t="shared" si="2"/>
        <v>0</v>
      </c>
      <c r="K47" s="11" t="b">
        <f t="shared" si="3"/>
        <v>0</v>
      </c>
    </row>
    <row r="48" ht="22.5" customHeight="1">
      <c r="A48" s="12">
        <f t="shared" si="4"/>
        <v>3646</v>
      </c>
      <c r="B48" s="6" t="s">
        <v>11407</v>
      </c>
      <c r="C48" s="7" t="str">
        <f t="shared" si="1"/>
        <v>🔊</v>
      </c>
      <c r="D48" s="8" t="s">
        <v>11408</v>
      </c>
      <c r="E48" s="6" t="s">
        <v>106</v>
      </c>
      <c r="F48" s="12" t="str">
        <f>IFERROR(__xludf.DUMMYFUNCTION("GOOGLETRANSLATE(B48,""zh_cn"",""vi"")"),"chính nó")</f>
        <v>chính nó</v>
      </c>
      <c r="G48" s="12"/>
      <c r="H48" s="6"/>
      <c r="I48" s="11" t="b">
        <f t="shared" si="2"/>
        <v>0</v>
      </c>
      <c r="K48" s="11" t="b">
        <f t="shared" si="3"/>
        <v>0</v>
      </c>
    </row>
    <row r="49" ht="22.5" customHeight="1">
      <c r="A49" s="12">
        <f t="shared" si="4"/>
        <v>3647</v>
      </c>
      <c r="B49" s="6" t="s">
        <v>11409</v>
      </c>
      <c r="C49" s="7" t="str">
        <f t="shared" si="1"/>
        <v>🔊</v>
      </c>
      <c r="D49" s="8" t="s">
        <v>11410</v>
      </c>
      <c r="E49" s="6" t="s">
        <v>27</v>
      </c>
      <c r="F49" s="12" t="str">
        <f>IFERROR(__xludf.DUMMYFUNCTION("GOOGLETRANSLATE(B49,""zh_cn"",""vi"")"),"Địa phương")</f>
        <v>Địa phương</v>
      </c>
      <c r="G49" s="12"/>
      <c r="H49" s="6"/>
      <c r="I49" s="11" t="b">
        <f t="shared" si="2"/>
        <v>0</v>
      </c>
      <c r="K49" s="11" t="b">
        <f t="shared" si="3"/>
        <v>0</v>
      </c>
    </row>
    <row r="50" ht="22.5" customHeight="1">
      <c r="A50" s="12">
        <f t="shared" si="4"/>
        <v>3648</v>
      </c>
      <c r="B50" s="6" t="s">
        <v>11411</v>
      </c>
      <c r="C50" s="7" t="str">
        <f t="shared" si="1"/>
        <v>🔊</v>
      </c>
      <c r="D50" s="8" t="s">
        <v>6757</v>
      </c>
      <c r="E50" s="6" t="s">
        <v>13</v>
      </c>
      <c r="F50" s="12" t="str">
        <f>IFERROR(__xludf.DUMMYFUNCTION("GOOGLETRANSLATE(B50,""zh_cn"",""vi"")"),"đóng")</f>
        <v>đóng</v>
      </c>
      <c r="G50" s="12"/>
      <c r="H50" s="6"/>
      <c r="I50" s="11" t="b">
        <f t="shared" si="2"/>
        <v>0</v>
      </c>
      <c r="K50" s="11" t="b">
        <f t="shared" si="3"/>
        <v>0</v>
      </c>
    </row>
    <row r="51" ht="22.5" customHeight="1">
      <c r="A51" s="12">
        <f t="shared" si="4"/>
        <v>3649</v>
      </c>
      <c r="B51" s="6" t="s">
        <v>11412</v>
      </c>
      <c r="C51" s="7" t="str">
        <f t="shared" si="1"/>
        <v>🔊</v>
      </c>
      <c r="D51" s="8" t="s">
        <v>6757</v>
      </c>
      <c r="E51" s="6" t="s">
        <v>13</v>
      </c>
      <c r="F51" s="12" t="str">
        <f>IFERROR(__xludf.DUMMYFUNCTION("GOOGLETRANSLATE(B51,""zh_cn"",""vi"")"),"tránh xa")</f>
        <v>tránh xa</v>
      </c>
      <c r="G51" s="12"/>
      <c r="H51" s="6"/>
      <c r="I51" s="11" t="b">
        <f t="shared" si="2"/>
        <v>0</v>
      </c>
      <c r="K51" s="11" t="b">
        <f t="shared" si="3"/>
        <v>0</v>
      </c>
    </row>
    <row r="52" ht="22.5" customHeight="1">
      <c r="A52" s="12">
        <f t="shared" si="4"/>
        <v>3650</v>
      </c>
      <c r="B52" s="6" t="s">
        <v>11413</v>
      </c>
      <c r="C52" s="7" t="str">
        <f t="shared" si="1"/>
        <v>🔊</v>
      </c>
      <c r="D52" s="8" t="s">
        <v>11414</v>
      </c>
      <c r="E52" s="6" t="s">
        <v>13</v>
      </c>
      <c r="F52" s="12" t="str">
        <f>IFERROR(__xludf.DUMMYFUNCTION("GOOGLETRANSLATE(B52,""zh_cn"",""vi"")"),"lực lượng")</f>
        <v>lực lượng</v>
      </c>
      <c r="G52" s="12"/>
      <c r="H52" s="6"/>
      <c r="I52" s="11" t="b">
        <f t="shared" si="2"/>
        <v>0</v>
      </c>
      <c r="K52" s="11" t="b">
        <f t="shared" si="3"/>
        <v>0</v>
      </c>
    </row>
    <row r="53" ht="22.5" customHeight="1">
      <c r="A53" s="12">
        <f t="shared" si="4"/>
        <v>3651</v>
      </c>
      <c r="B53" s="6" t="s">
        <v>11415</v>
      </c>
      <c r="C53" s="7" t="str">
        <f t="shared" si="1"/>
        <v>🔊</v>
      </c>
      <c r="D53" s="8" t="s">
        <v>51</v>
      </c>
      <c r="E53" s="6" t="s">
        <v>13</v>
      </c>
      <c r="F53" s="12" t="str">
        <f>IFERROR(__xludf.DUMMYFUNCTION("GOOGLETRANSLATE(B53,""zh_cn"",""vi"")"),"Biên tập viên")</f>
        <v>Biên tập viên</v>
      </c>
      <c r="G53" s="12"/>
      <c r="H53" s="6"/>
      <c r="I53" s="11" t="b">
        <f t="shared" si="2"/>
        <v>0</v>
      </c>
      <c r="K53" s="11" t="b">
        <f t="shared" si="3"/>
        <v>0</v>
      </c>
    </row>
    <row r="54" ht="22.5" customHeight="1">
      <c r="A54" s="12">
        <f t="shared" si="4"/>
        <v>3652</v>
      </c>
      <c r="B54" s="6" t="s">
        <v>11416</v>
      </c>
      <c r="C54" s="7" t="str">
        <f t="shared" si="1"/>
        <v>🔊</v>
      </c>
      <c r="D54" s="8" t="s">
        <v>11417</v>
      </c>
      <c r="E54" s="6" t="s">
        <v>433</v>
      </c>
      <c r="F54" s="12" t="str">
        <f>IFERROR(__xludf.DUMMYFUNCTION("GOOGLETRANSLATE(B54,""zh_cn"",""vi"")"),"Khắp mọi nơi")</f>
        <v>Khắp mọi nơi</v>
      </c>
      <c r="G54" s="12"/>
      <c r="H54" s="6"/>
      <c r="I54" s="11" t="b">
        <f t="shared" si="2"/>
        <v>0</v>
      </c>
      <c r="K54" s="11" t="b">
        <f t="shared" si="3"/>
        <v>0</v>
      </c>
    </row>
    <row r="55" ht="22.5" customHeight="1">
      <c r="A55" s="12">
        <f t="shared" si="4"/>
        <v>3653</v>
      </c>
      <c r="B55" s="6" t="s">
        <v>11418</v>
      </c>
      <c r="C55" s="7" t="str">
        <f t="shared" si="1"/>
        <v>🔊</v>
      </c>
      <c r="D55" s="8" t="s">
        <v>11419</v>
      </c>
      <c r="E55" s="6" t="s">
        <v>232</v>
      </c>
      <c r="F55" s="12" t="str">
        <f>IFERROR(__xludf.DUMMYFUNCTION("GOOGLETRANSLATE(B55,""zh_cn"",""vi"")"),"biên tập")</f>
        <v>biên tập</v>
      </c>
      <c r="G55" s="12"/>
      <c r="H55" s="6"/>
      <c r="I55" s="11" t="b">
        <f t="shared" si="2"/>
        <v>0</v>
      </c>
      <c r="K55" s="11" t="b">
        <f t="shared" si="3"/>
        <v>0</v>
      </c>
    </row>
    <row r="56" ht="22.5" customHeight="1">
      <c r="A56" s="12">
        <f t="shared" si="4"/>
        <v>3654</v>
      </c>
      <c r="B56" s="6" t="s">
        <v>11420</v>
      </c>
      <c r="C56" s="7" t="str">
        <f t="shared" si="1"/>
        <v>🔊</v>
      </c>
      <c r="D56" s="8" t="s">
        <v>11421</v>
      </c>
      <c r="E56" s="6" t="s">
        <v>99</v>
      </c>
      <c r="F56" s="12" t="str">
        <f>IFERROR(__xludf.DUMMYFUNCTION("GOOGLETRANSLATE(B56,""zh_cn"",""vi"")"),"Thuận lợi")</f>
        <v>Thuận lợi</v>
      </c>
      <c r="G56" s="12"/>
      <c r="H56" s="6"/>
      <c r="I56" s="11" t="b">
        <f t="shared" si="2"/>
        <v>0</v>
      </c>
      <c r="K56" s="11" t="b">
        <f t="shared" si="3"/>
        <v>0</v>
      </c>
    </row>
    <row r="57" ht="22.5" customHeight="1">
      <c r="A57" s="12">
        <f t="shared" si="4"/>
        <v>3655</v>
      </c>
      <c r="B57" s="6" t="s">
        <v>11422</v>
      </c>
      <c r="C57" s="7" t="str">
        <f t="shared" si="1"/>
        <v>🔊</v>
      </c>
      <c r="D57" s="8" t="s">
        <v>11423</v>
      </c>
      <c r="E57" s="6" t="s">
        <v>13</v>
      </c>
      <c r="F57" s="12" t="str">
        <f>IFERROR(__xludf.DUMMYFUNCTION("GOOGLETRANSLATE(B57,""zh_cn"",""vi"")"),"viết")</f>
        <v>viết</v>
      </c>
      <c r="G57" s="12"/>
      <c r="H57" s="6"/>
      <c r="I57" s="11" t="b">
        <f t="shared" si="2"/>
        <v>0</v>
      </c>
      <c r="K57" s="11" t="b">
        <f t="shared" si="3"/>
        <v>0</v>
      </c>
    </row>
    <row r="58" ht="22.5" customHeight="1">
      <c r="A58" s="12">
        <f t="shared" si="4"/>
        <v>3656</v>
      </c>
      <c r="B58" s="6" t="s">
        <v>11424</v>
      </c>
      <c r="C58" s="7" t="str">
        <f t="shared" si="1"/>
        <v>🔊</v>
      </c>
      <c r="D58" s="8" t="s">
        <v>11425</v>
      </c>
      <c r="E58" s="6" t="s">
        <v>13</v>
      </c>
      <c r="F58" s="12" t="str">
        <f>IFERROR(__xludf.DUMMYFUNCTION("GOOGLETRANSLATE(B58,""zh_cn"",""vi"")"),"Sự suy thoái")</f>
        <v>Sự suy thoái</v>
      </c>
      <c r="G58" s="12"/>
      <c r="H58" s="6"/>
      <c r="I58" s="11" t="b">
        <f t="shared" si="2"/>
        <v>0</v>
      </c>
      <c r="K58" s="11" t="b">
        <f t="shared" si="3"/>
        <v>0</v>
      </c>
    </row>
    <row r="59" ht="22.5" customHeight="1">
      <c r="A59" s="12">
        <f t="shared" si="4"/>
        <v>3657</v>
      </c>
      <c r="B59" s="6" t="s">
        <v>11426</v>
      </c>
      <c r="C59" s="7" t="str">
        <f t="shared" si="1"/>
        <v>🔊</v>
      </c>
      <c r="D59" s="8" t="s">
        <v>11427</v>
      </c>
      <c r="E59" s="6" t="s">
        <v>13</v>
      </c>
      <c r="F59" s="12" t="str">
        <f>IFERROR(__xludf.DUMMYFUNCTION("GOOGLETRANSLATE(B59,""zh_cn"",""vi"")"),"Ví dụ")</f>
        <v>Ví dụ</v>
      </c>
      <c r="G59" s="12"/>
      <c r="H59" s="6"/>
      <c r="I59" s="11" t="b">
        <f t="shared" si="2"/>
        <v>0</v>
      </c>
      <c r="K59" s="11" t="b">
        <f t="shared" si="3"/>
        <v>0</v>
      </c>
    </row>
    <row r="60" ht="22.5" customHeight="1">
      <c r="A60" s="12">
        <f t="shared" si="4"/>
        <v>3658</v>
      </c>
      <c r="B60" s="6" t="s">
        <v>11428</v>
      </c>
      <c r="C60" s="7" t="str">
        <f t="shared" si="1"/>
        <v>🔊</v>
      </c>
      <c r="D60" s="8" t="s">
        <v>1812</v>
      </c>
      <c r="E60" s="6" t="s">
        <v>27</v>
      </c>
      <c r="F60" s="12" t="str">
        <f>IFERROR(__xludf.DUMMYFUNCTION("GOOGLETRANSLATE(B60,""zh_cn"",""vi"")"),"binh lính")</f>
        <v>binh lính</v>
      </c>
      <c r="G60" s="12"/>
      <c r="H60" s="6"/>
      <c r="I60" s="11" t="b">
        <f t="shared" si="2"/>
        <v>0</v>
      </c>
      <c r="K60" s="11" t="b">
        <f t="shared" si="3"/>
        <v>0</v>
      </c>
    </row>
    <row r="61" ht="22.5" customHeight="1">
      <c r="A61" s="12">
        <f t="shared" si="4"/>
        <v>3659</v>
      </c>
      <c r="B61" s="6" t="s">
        <v>11429</v>
      </c>
      <c r="C61" s="7" t="str">
        <f t="shared" si="1"/>
        <v>🔊</v>
      </c>
      <c r="D61" s="8" t="s">
        <v>11430</v>
      </c>
      <c r="E61" s="6" t="s">
        <v>27</v>
      </c>
      <c r="F61" s="12" t="str">
        <f>IFERROR(__xludf.DUMMYFUNCTION("GOOGLETRANSLATE(B61,""zh_cn"",""vi"")"),"Vi-rút")</f>
        <v>Vi-rút</v>
      </c>
      <c r="G61" s="12"/>
      <c r="H61" s="6"/>
      <c r="I61" s="11" t="b">
        <f t="shared" si="2"/>
        <v>0</v>
      </c>
      <c r="K61" s="11" t="b">
        <f t="shared" si="3"/>
        <v>0</v>
      </c>
    </row>
    <row r="62" ht="22.5" customHeight="1">
      <c r="A62" s="12">
        <f t="shared" si="4"/>
        <v>3660</v>
      </c>
      <c r="B62" s="6" t="s">
        <v>11431</v>
      </c>
      <c r="C62" s="7" t="str">
        <f t="shared" si="1"/>
        <v>🔊</v>
      </c>
      <c r="D62" s="8" t="s">
        <v>11432</v>
      </c>
      <c r="E62" s="6" t="s">
        <v>99</v>
      </c>
      <c r="F62" s="12" t="str">
        <f>IFERROR(__xludf.DUMMYFUNCTION("GOOGLETRANSLATE(B62,""zh_cn"",""vi"")"),"Yêu cầu")</f>
        <v>Yêu cầu</v>
      </c>
      <c r="G62" s="12"/>
      <c r="H62" s="6"/>
      <c r="I62" s="11" t="b">
        <f t="shared" si="2"/>
        <v>0</v>
      </c>
      <c r="K62" s="11" t="b">
        <f t="shared" si="3"/>
        <v>0</v>
      </c>
    </row>
    <row r="63" ht="22.5" customHeight="1">
      <c r="A63" s="12">
        <f t="shared" si="4"/>
        <v>3661</v>
      </c>
      <c r="B63" s="6" t="s">
        <v>11433</v>
      </c>
      <c r="C63" s="7" t="str">
        <f t="shared" si="1"/>
        <v>🔊</v>
      </c>
      <c r="D63" s="8" t="s">
        <v>11434</v>
      </c>
      <c r="E63" s="6" t="s">
        <v>27</v>
      </c>
      <c r="F63" s="12" t="str">
        <f>IFERROR(__xludf.DUMMYFUNCTION("GOOGLETRANSLATE(B63,""zh_cn"",""vi"")"),"tỷ lệ")</f>
        <v>tỷ lệ</v>
      </c>
      <c r="G63" s="12"/>
      <c r="H63" s="6"/>
      <c r="I63" s="11" t="b">
        <f t="shared" si="2"/>
        <v>0</v>
      </c>
      <c r="K63" s="11" t="b">
        <f t="shared" si="3"/>
        <v>0</v>
      </c>
    </row>
    <row r="64" ht="22.5" customHeight="1">
      <c r="A64" s="12">
        <f t="shared" si="4"/>
        <v>3662</v>
      </c>
      <c r="B64" s="6" t="s">
        <v>11435</v>
      </c>
      <c r="C64" s="7" t="str">
        <f t="shared" si="1"/>
        <v>🔊</v>
      </c>
      <c r="D64" s="8" t="s">
        <v>11436</v>
      </c>
      <c r="E64" s="6" t="s">
        <v>13</v>
      </c>
      <c r="F64" s="12" t="str">
        <f>IFERROR(__xludf.DUMMYFUNCTION("GOOGLETRANSLATE(B64,""zh_cn"",""vi"")"),"phát tin")</f>
        <v>phát tin</v>
      </c>
      <c r="G64" s="12"/>
      <c r="H64" s="6"/>
      <c r="I64" s="11" t="b">
        <f t="shared" si="2"/>
        <v>0</v>
      </c>
      <c r="K64" s="11" t="b">
        <f t="shared" si="3"/>
        <v>0</v>
      </c>
    </row>
    <row r="65" ht="22.5" customHeight="1">
      <c r="A65" s="12">
        <f t="shared" si="4"/>
        <v>3663</v>
      </c>
      <c r="B65" s="6" t="s">
        <v>11437</v>
      </c>
      <c r="C65" s="7" t="str">
        <f t="shared" si="1"/>
        <v>🔊</v>
      </c>
      <c r="D65" s="8" t="s">
        <v>11438</v>
      </c>
      <c r="E65" s="6" t="s">
        <v>27</v>
      </c>
      <c r="F65" s="12" t="str">
        <f>IFERROR(__xludf.DUMMYFUNCTION("GOOGLETRANSLATE(B65,""zh_cn"",""vi"")"),"Triển lãm")</f>
        <v>Triển lãm</v>
      </c>
      <c r="G65" s="12"/>
      <c r="H65" s="6"/>
      <c r="I65" s="11" t="b">
        <f t="shared" si="2"/>
        <v>0</v>
      </c>
      <c r="K65" s="11" t="b">
        <f t="shared" si="3"/>
        <v>0</v>
      </c>
    </row>
    <row r="66" ht="22.5" customHeight="1">
      <c r="A66" s="12">
        <f t="shared" si="4"/>
        <v>3664</v>
      </c>
      <c r="B66" s="6" t="s">
        <v>11439</v>
      </c>
      <c r="C66" s="7" t="str">
        <f t="shared" si="1"/>
        <v>🔊</v>
      </c>
      <c r="D66" s="8" t="s">
        <v>11440</v>
      </c>
      <c r="E66" s="6" t="s">
        <v>99</v>
      </c>
      <c r="F66" s="12" t="str">
        <f>IFERROR(__xludf.DUMMYFUNCTION("GOOGLETRANSLATE(B66,""zh_cn"",""vi"")"),"yếu đuối")</f>
        <v>yếu đuối</v>
      </c>
      <c r="G66" s="12"/>
      <c r="H66" s="6"/>
      <c r="I66" s="11" t="b">
        <f t="shared" si="2"/>
        <v>0</v>
      </c>
      <c r="K66" s="11" t="b">
        <f t="shared" si="3"/>
        <v>0</v>
      </c>
    </row>
    <row r="67" ht="22.5" customHeight="1">
      <c r="A67" s="12">
        <f t="shared" si="4"/>
        <v>3665</v>
      </c>
      <c r="B67" s="6" t="s">
        <v>11441</v>
      </c>
      <c r="C67" s="7" t="str">
        <f t="shared" si="1"/>
        <v>🔊</v>
      </c>
      <c r="D67" s="8" t="s">
        <v>11442</v>
      </c>
      <c r="E67" s="6" t="s">
        <v>13</v>
      </c>
      <c r="F67" s="12" t="str">
        <f>IFERROR(__xludf.DUMMYFUNCTION("GOOGLETRANSLATE(B67,""zh_cn"",""vi"")"),"gieo hạt")</f>
        <v>gieo hạt</v>
      </c>
      <c r="G67" s="12"/>
      <c r="H67" s="6"/>
      <c r="I67" s="11" t="b">
        <f t="shared" si="2"/>
        <v>0</v>
      </c>
      <c r="K67" s="11" t="b">
        <f t="shared" si="3"/>
        <v>0</v>
      </c>
    </row>
    <row r="68" ht="22.5" customHeight="1">
      <c r="A68" s="12">
        <f t="shared" si="4"/>
        <v>3666</v>
      </c>
      <c r="B68" s="6" t="s">
        <v>11443</v>
      </c>
      <c r="C68" s="7" t="str">
        <f t="shared" si="1"/>
        <v>🔊</v>
      </c>
      <c r="D68" s="8" t="s">
        <v>11444</v>
      </c>
      <c r="E68" s="6" t="s">
        <v>27</v>
      </c>
      <c r="F68" s="12" t="str">
        <f>IFERROR(__xludf.DUMMYFUNCTION("GOOGLETRANSLATE(B68,""zh_cn"",""vi"")"),"cổ ")</f>
        <v>cổ </v>
      </c>
      <c r="G68" s="12"/>
      <c r="H68" s="6"/>
      <c r="I68" s="11" t="b">
        <f t="shared" si="2"/>
        <v>0</v>
      </c>
      <c r="K68" s="11" t="b">
        <f t="shared" si="3"/>
        <v>0</v>
      </c>
    </row>
    <row r="69" ht="22.5" customHeight="1">
      <c r="A69" s="12">
        <f t="shared" si="4"/>
        <v>3667</v>
      </c>
      <c r="B69" s="6" t="s">
        <v>11445</v>
      </c>
      <c r="C69" s="7" t="str">
        <f t="shared" si="1"/>
        <v>🔊</v>
      </c>
      <c r="D69" s="8" t="s">
        <v>60</v>
      </c>
      <c r="E69" s="6" t="s">
        <v>27</v>
      </c>
      <c r="F69" s="12" t="str">
        <f>IFERROR(__xludf.DUMMYFUNCTION("GOOGLETRANSLATE(B69,""zh_cn"",""vi"")"),"vải")</f>
        <v>vải</v>
      </c>
      <c r="G69" s="12"/>
      <c r="H69" s="6"/>
      <c r="I69" s="11" t="b">
        <f t="shared" si="2"/>
        <v>0</v>
      </c>
      <c r="K69" s="11" t="b">
        <f t="shared" si="3"/>
        <v>0</v>
      </c>
    </row>
    <row r="70" ht="22.5" customHeight="1">
      <c r="A70" s="12">
        <f t="shared" si="4"/>
        <v>3668</v>
      </c>
      <c r="B70" s="6" t="s">
        <v>11446</v>
      </c>
      <c r="C70" s="7" t="str">
        <f t="shared" si="1"/>
        <v>🔊</v>
      </c>
      <c r="D70" s="8" t="s">
        <v>11447</v>
      </c>
      <c r="E70" s="6" t="s">
        <v>13</v>
      </c>
      <c r="F70" s="12" t="str">
        <f>IFERROR(__xludf.DUMMYFUNCTION("GOOGLETRANSLATE(B70,""zh_cn"",""vi"")"),"Sửa chữa")</f>
        <v>Sửa chữa</v>
      </c>
      <c r="G70" s="12"/>
      <c r="H70" s="6"/>
      <c r="I70" s="11" t="b">
        <f t="shared" si="2"/>
        <v>0</v>
      </c>
      <c r="K70" s="11" t="b">
        <f t="shared" si="3"/>
        <v>0</v>
      </c>
    </row>
    <row r="71" ht="22.5" customHeight="1">
      <c r="A71" s="12">
        <f t="shared" si="4"/>
        <v>3669</v>
      </c>
      <c r="B71" s="6" t="s">
        <v>11448</v>
      </c>
      <c r="C71" s="7" t="str">
        <f t="shared" si="1"/>
        <v>🔊</v>
      </c>
      <c r="D71" s="8" t="s">
        <v>11447</v>
      </c>
      <c r="E71" s="6" t="s">
        <v>13</v>
      </c>
      <c r="F71" s="12" t="str">
        <f>IFERROR(__xludf.DUMMYFUNCTION("GOOGLETRANSLATE(B71,""zh_cn"",""vi"")"),"nắm lấy")</f>
        <v>nắm lấy</v>
      </c>
      <c r="G71" s="12"/>
      <c r="H71" s="6"/>
      <c r="I71" s="11" t="b">
        <f t="shared" si="2"/>
        <v>0</v>
      </c>
      <c r="K71" s="11" t="b">
        <f t="shared" si="3"/>
        <v>0</v>
      </c>
    </row>
    <row r="72" ht="22.5" customHeight="1">
      <c r="A72" s="12">
        <f t="shared" si="4"/>
        <v>3670</v>
      </c>
      <c r="B72" s="6" t="s">
        <v>11449</v>
      </c>
      <c r="C72" s="7" t="str">
        <f t="shared" si="1"/>
        <v>🔊</v>
      </c>
      <c r="D72" s="8" t="s">
        <v>11450</v>
      </c>
      <c r="E72" s="14"/>
      <c r="F72" s="12" t="str">
        <f>IFERROR(__xludf.DUMMYFUNCTION("GOOGLETRANSLATE(B72,""zh_cn"",""vi"")"),"thiếu kiên nhẫn")</f>
        <v>thiếu kiên nhẫn</v>
      </c>
      <c r="G72" s="12"/>
      <c r="H72" s="6"/>
      <c r="I72" s="11" t="b">
        <f t="shared" si="2"/>
        <v>0</v>
      </c>
      <c r="K72" s="11" t="b">
        <f t="shared" si="3"/>
        <v>0</v>
      </c>
    </row>
    <row r="73" ht="22.5" customHeight="1">
      <c r="A73" s="12">
        <f t="shared" si="4"/>
        <v>3671</v>
      </c>
      <c r="B73" s="6" t="s">
        <v>11451</v>
      </c>
      <c r="C73" s="7" t="str">
        <f t="shared" si="1"/>
        <v>🔊</v>
      </c>
      <c r="D73" s="8" t="s">
        <v>11452</v>
      </c>
      <c r="E73" s="6" t="s">
        <v>99</v>
      </c>
      <c r="F73" s="12" t="str">
        <f>IFERROR(__xludf.DUMMYFUNCTION("GOOGLETRANSLATE(B73,""zh_cn"",""vi"")"),"băn khoăn")</f>
        <v>băn khoăn</v>
      </c>
      <c r="G73" s="12"/>
      <c r="H73" s="6"/>
      <c r="I73" s="11" t="b">
        <f t="shared" si="2"/>
        <v>0</v>
      </c>
      <c r="K73" s="11" t="b">
        <f t="shared" si="3"/>
        <v>0</v>
      </c>
    </row>
    <row r="74" ht="22.5" customHeight="1">
      <c r="A74" s="12">
        <f t="shared" si="4"/>
        <v>3672</v>
      </c>
      <c r="B74" s="6" t="s">
        <v>11453</v>
      </c>
      <c r="C74" s="7" t="str">
        <f t="shared" si="1"/>
        <v>🔊</v>
      </c>
      <c r="D74" s="8" t="s">
        <v>11454</v>
      </c>
      <c r="E74" s="6" t="s">
        <v>61</v>
      </c>
      <c r="F74" s="12" t="str">
        <f>IFERROR(__xludf.DUMMYFUNCTION("GOOGLETRANSLATE(B74,""zh_cn"",""vi"")"),"Không bao giờ")</f>
        <v>Không bao giờ</v>
      </c>
      <c r="G74" s="12"/>
      <c r="H74" s="6"/>
      <c r="I74" s="11" t="b">
        <f t="shared" si="2"/>
        <v>0</v>
      </c>
      <c r="K74" s="11" t="b">
        <f t="shared" si="3"/>
        <v>0</v>
      </c>
    </row>
    <row r="75" ht="22.5" customHeight="1">
      <c r="A75" s="12">
        <f t="shared" si="4"/>
        <v>3673</v>
      </c>
      <c r="B75" s="6" t="s">
        <v>11455</v>
      </c>
      <c r="C75" s="7" t="str">
        <f t="shared" si="1"/>
        <v>🔊</v>
      </c>
      <c r="D75" s="8" t="s">
        <v>11456</v>
      </c>
      <c r="E75" s="6" t="s">
        <v>13</v>
      </c>
      <c r="F75" s="12" t="str">
        <f>IFERROR(__xludf.DUMMYFUNCTION("GOOGLETRANSLATE(B75,""zh_cn"",""vi"")"),"đền bù")</f>
        <v>đền bù</v>
      </c>
      <c r="G75" s="12"/>
      <c r="H75" s="6"/>
      <c r="I75" s="11" t="b">
        <f t="shared" si="2"/>
        <v>0</v>
      </c>
      <c r="K75" s="11" t="b">
        <f t="shared" si="3"/>
        <v>0</v>
      </c>
    </row>
    <row r="76" ht="22.5" customHeight="1">
      <c r="A76" s="12">
        <f t="shared" si="4"/>
        <v>3674</v>
      </c>
      <c r="B76" s="6" t="s">
        <v>11457</v>
      </c>
      <c r="C76" s="7" t="str">
        <f t="shared" si="1"/>
        <v>🔊</v>
      </c>
      <c r="D76" s="8" t="s">
        <v>11458</v>
      </c>
      <c r="E76" s="6" t="s">
        <v>11459</v>
      </c>
      <c r="F76" s="12" t="str">
        <f>IFERROR(__xludf.DUMMYFUNCTION("GOOGLETRANSLATE(B76,""zh_cn"",""vi"")"),"Không thành công")</f>
        <v>Không thành công</v>
      </c>
      <c r="G76" s="12"/>
      <c r="H76" s="6"/>
      <c r="I76" s="11" t="b">
        <f t="shared" si="2"/>
        <v>0</v>
      </c>
      <c r="K76" s="11" t="b">
        <f t="shared" si="3"/>
        <v>0</v>
      </c>
    </row>
    <row r="77" ht="22.5" customHeight="1">
      <c r="A77" s="12">
        <f t="shared" si="4"/>
        <v>3675</v>
      </c>
      <c r="B77" s="6" t="s">
        <v>11460</v>
      </c>
      <c r="C77" s="7" t="str">
        <f t="shared" si="1"/>
        <v>🔊</v>
      </c>
      <c r="D77" s="8" t="s">
        <v>11461</v>
      </c>
      <c r="E77" s="6" t="s">
        <v>13</v>
      </c>
      <c r="F77" s="12" t="str">
        <f>IFERROR(__xludf.DUMMYFUNCTION("GOOGLETRANSLATE(B77,""zh_cn"",""vi"")"),"KHÔNG")</f>
        <v>KHÔNG</v>
      </c>
      <c r="G77" s="12"/>
      <c r="H77" s="6"/>
      <c r="I77" s="11" t="b">
        <f t="shared" si="2"/>
        <v>0</v>
      </c>
      <c r="K77" s="11" t="b">
        <f t="shared" si="3"/>
        <v>0</v>
      </c>
    </row>
    <row r="78" ht="22.5" customHeight="1">
      <c r="A78" s="12">
        <f t="shared" si="4"/>
        <v>3676</v>
      </c>
      <c r="B78" s="6" t="s">
        <v>11462</v>
      </c>
      <c r="C78" s="7" t="str">
        <f t="shared" si="1"/>
        <v>🔊</v>
      </c>
      <c r="D78" s="8" t="s">
        <v>11463</v>
      </c>
      <c r="E78" s="6" t="s">
        <v>27</v>
      </c>
      <c r="F78" s="12" t="str">
        <f>IFERROR(__xludf.DUMMYFUNCTION("GOOGLETRANSLATE(B78,""zh_cn"",""vi"")"),"lực lượng")</f>
        <v>lực lượng</v>
      </c>
      <c r="G78" s="12"/>
      <c r="H78" s="6"/>
      <c r="I78" s="11" t="b">
        <f t="shared" si="2"/>
        <v>0</v>
      </c>
      <c r="K78" s="11" t="b">
        <f t="shared" si="3"/>
        <v>0</v>
      </c>
    </row>
    <row r="79" ht="22.5" customHeight="1">
      <c r="A79" s="12">
        <f t="shared" si="4"/>
        <v>3677</v>
      </c>
      <c r="B79" s="6" t="s">
        <v>11464</v>
      </c>
      <c r="C79" s="7" t="str">
        <f t="shared" si="1"/>
        <v>🔊</v>
      </c>
      <c r="D79" s="8" t="s">
        <v>11465</v>
      </c>
      <c r="E79" s="6" t="s">
        <v>13</v>
      </c>
      <c r="F79" s="12" t="str">
        <f>IFERROR(__xludf.DUMMYFUNCTION("GOOGLETRANSLATE(B79,""zh_cn"",""vi"")"),"bất kể")</f>
        <v>bất kể</v>
      </c>
      <c r="G79" s="12"/>
      <c r="H79" s="6"/>
      <c r="I79" s="11" t="b">
        <f t="shared" si="2"/>
        <v>0</v>
      </c>
      <c r="K79" s="11" t="b">
        <f t="shared" si="3"/>
        <v>0</v>
      </c>
    </row>
    <row r="80" ht="22.5" customHeight="1">
      <c r="A80" s="12">
        <f t="shared" si="4"/>
        <v>3678</v>
      </c>
      <c r="B80" s="6" t="s">
        <v>11466</v>
      </c>
      <c r="C80" s="7" t="str">
        <f t="shared" si="1"/>
        <v>🔊</v>
      </c>
      <c r="D80" s="8" t="s">
        <v>11467</v>
      </c>
      <c r="E80" s="6" t="s">
        <v>61</v>
      </c>
      <c r="F80" s="12" t="str">
        <f>IFERROR(__xludf.DUMMYFUNCTION("GOOGLETRANSLATE(B80,""zh_cn"",""vi"")"),"Không thể")</f>
        <v>Không thể</v>
      </c>
      <c r="G80" s="12"/>
      <c r="H80" s="6"/>
      <c r="I80" s="11" t="b">
        <f t="shared" si="2"/>
        <v>0</v>
      </c>
      <c r="K80" s="11" t="b">
        <f t="shared" si="3"/>
        <v>0</v>
      </c>
    </row>
    <row r="81" ht="22.5" customHeight="1">
      <c r="A81" s="12">
        <f t="shared" si="4"/>
        <v>3679</v>
      </c>
      <c r="B81" s="6" t="s">
        <v>11468</v>
      </c>
      <c r="C81" s="7" t="str">
        <f t="shared" si="1"/>
        <v>🔊</v>
      </c>
      <c r="D81" s="8" t="s">
        <v>11469</v>
      </c>
      <c r="E81" s="6" t="s">
        <v>13</v>
      </c>
      <c r="F81" s="12" t="str">
        <f>IFERROR(__xludf.DUMMYFUNCTION("GOOGLETRANSLATE(B81,""zh_cn"",""vi"")"),"Dạy kèm")</f>
        <v>Dạy kèm</v>
      </c>
      <c r="G81" s="12"/>
      <c r="H81" s="6"/>
      <c r="I81" s="11" t="b">
        <f t="shared" si="2"/>
        <v>0</v>
      </c>
      <c r="K81" s="11" t="b">
        <f t="shared" si="3"/>
        <v>0</v>
      </c>
    </row>
    <row r="82" ht="22.5" customHeight="1">
      <c r="A82" s="12">
        <f t="shared" si="4"/>
        <v>3680</v>
      </c>
      <c r="B82" s="6" t="s">
        <v>11470</v>
      </c>
      <c r="C82" s="7" t="str">
        <f t="shared" si="1"/>
        <v>🔊</v>
      </c>
      <c r="D82" s="8" t="s">
        <v>11471</v>
      </c>
      <c r="E82" s="6" t="s">
        <v>1132</v>
      </c>
      <c r="F82" s="12" t="str">
        <f>IFERROR(__xludf.DUMMYFUNCTION("GOOGLETRANSLATE(B82,""zh_cn"",""vi"")"),"bất ngờ")</f>
        <v>bất ngờ</v>
      </c>
      <c r="G82" s="12"/>
      <c r="H82" s="6"/>
      <c r="I82" s="11" t="b">
        <f t="shared" si="2"/>
        <v>0</v>
      </c>
      <c r="K82" s="11" t="b">
        <f t="shared" si="3"/>
        <v>0</v>
      </c>
    </row>
    <row r="83" ht="22.5" customHeight="1">
      <c r="A83" s="12">
        <f t="shared" si="4"/>
        <v>3681</v>
      </c>
      <c r="B83" s="6" t="s">
        <v>11472</v>
      </c>
      <c r="C83" s="7" t="str">
        <f t="shared" si="1"/>
        <v>🔊</v>
      </c>
      <c r="D83" s="8" t="s">
        <v>11473</v>
      </c>
      <c r="E83" s="6" t="s">
        <v>99</v>
      </c>
      <c r="F83" s="12" t="str">
        <f>IFERROR(__xludf.DUMMYFUNCTION("GOOGLETRANSLATE(B83,""zh_cn"",""vi"")"),"khó chịu")</f>
        <v>khó chịu</v>
      </c>
      <c r="G83" s="12"/>
      <c r="H83" s="6"/>
      <c r="I83" s="11" t="b">
        <f t="shared" si="2"/>
        <v>0</v>
      </c>
      <c r="K83" s="11" t="b">
        <f t="shared" si="3"/>
        <v>0</v>
      </c>
    </row>
    <row r="84" ht="22.5" customHeight="1">
      <c r="A84" s="12">
        <f t="shared" si="4"/>
        <v>3682</v>
      </c>
      <c r="B84" s="6" t="s">
        <v>11474</v>
      </c>
      <c r="C84" s="7" t="str">
        <f t="shared" si="1"/>
        <v>🔊</v>
      </c>
      <c r="D84" s="8" t="s">
        <v>11475</v>
      </c>
      <c r="E84" s="6" t="s">
        <v>6214</v>
      </c>
      <c r="F84" s="12" t="str">
        <f>IFERROR(__xludf.DUMMYFUNCTION("GOOGLETRANSLATE(B84,""zh_cn"",""vi"")"),"Thỉnh thoảng")</f>
        <v>Thỉnh thoảng</v>
      </c>
      <c r="G84" s="12"/>
      <c r="H84" s="6"/>
      <c r="I84" s="11" t="b">
        <f t="shared" si="2"/>
        <v>0</v>
      </c>
      <c r="K84" s="11" t="b">
        <f t="shared" si="3"/>
        <v>0</v>
      </c>
    </row>
    <row r="85" ht="22.5" customHeight="1">
      <c r="A85" s="12">
        <f t="shared" si="4"/>
        <v>3683</v>
      </c>
      <c r="B85" s="6" t="s">
        <v>11476</v>
      </c>
      <c r="C85" s="7" t="str">
        <f t="shared" si="1"/>
        <v>🔊</v>
      </c>
      <c r="D85" s="8" t="s">
        <v>11477</v>
      </c>
      <c r="E85" s="6" t="s">
        <v>232</v>
      </c>
      <c r="F85" s="12" t="str">
        <f>IFERROR(__xludf.DUMMYFUNCTION("GOOGLETRANSLATE(B85,""zh_cn"",""vi"")"),"trợ cấp")</f>
        <v>trợ cấp</v>
      </c>
      <c r="G85" s="12"/>
      <c r="H85" s="6"/>
      <c r="I85" s="11" t="b">
        <f t="shared" si="2"/>
        <v>0</v>
      </c>
      <c r="K85" s="11" t="b">
        <f t="shared" si="3"/>
        <v>0</v>
      </c>
    </row>
    <row r="86" ht="22.5" customHeight="1">
      <c r="A86" s="12">
        <f t="shared" si="4"/>
        <v>3684</v>
      </c>
      <c r="B86" s="6" t="s">
        <v>11478</v>
      </c>
      <c r="C86" s="7" t="str">
        <f t="shared" si="1"/>
        <v>🔊</v>
      </c>
      <c r="D86" s="8" t="s">
        <v>11479</v>
      </c>
      <c r="E86" s="6" t="s">
        <v>27</v>
      </c>
      <c r="F86" s="12" t="str">
        <f>IFERROR(__xludf.DUMMYFUNCTION("GOOGLETRANSLATE(B86,""zh_cn"",""vi"")"),"Phần")</f>
        <v>Phần</v>
      </c>
      <c r="G86" s="12"/>
      <c r="H86" s="6"/>
      <c r="I86" s="11" t="b">
        <f t="shared" si="2"/>
        <v>0</v>
      </c>
      <c r="K86" s="11" t="b">
        <f t="shared" si="3"/>
        <v>0</v>
      </c>
    </row>
    <row r="87" ht="22.5" customHeight="1">
      <c r="A87" s="12">
        <f t="shared" si="4"/>
        <v>3685</v>
      </c>
      <c r="B87" s="6" t="s">
        <v>11480</v>
      </c>
      <c r="C87" s="7" t="str">
        <f t="shared" si="1"/>
        <v>🔊</v>
      </c>
      <c r="D87" s="8" t="s">
        <v>11481</v>
      </c>
      <c r="E87" s="6" t="s">
        <v>13</v>
      </c>
      <c r="F87" s="12" t="str">
        <f>IFERROR(__xludf.DUMMYFUNCTION("GOOGLETRANSLATE(B87,""zh_cn"",""vi"")"),"Dạy kèm")</f>
        <v>Dạy kèm</v>
      </c>
      <c r="G87" s="12"/>
      <c r="H87" s="6"/>
      <c r="I87" s="11" t="b">
        <f t="shared" si="2"/>
        <v>0</v>
      </c>
      <c r="K87" s="11" t="b">
        <f t="shared" si="3"/>
        <v>0</v>
      </c>
    </row>
    <row r="88" ht="22.5" customHeight="1">
      <c r="A88" s="12">
        <f t="shared" si="4"/>
        <v>3686</v>
      </c>
      <c r="B88" s="6" t="s">
        <v>11482</v>
      </c>
      <c r="C88" s="7" t="str">
        <f t="shared" si="1"/>
        <v>🔊</v>
      </c>
      <c r="D88" s="8" t="s">
        <v>11483</v>
      </c>
      <c r="E88" s="6" t="s">
        <v>13</v>
      </c>
      <c r="F88" s="12" t="str">
        <f>IFERROR(__xludf.DUMMYFUNCTION("GOOGLETRANSLATE(B88,""zh_cn"",""vi"")"),"KHÔNG")</f>
        <v>KHÔNG</v>
      </c>
      <c r="G88" s="12"/>
      <c r="H88" s="6"/>
      <c r="I88" s="11" t="b">
        <f t="shared" si="2"/>
        <v>0</v>
      </c>
      <c r="K88" s="11" t="b">
        <f t="shared" si="3"/>
        <v>0</v>
      </c>
    </row>
    <row r="89" ht="22.5" customHeight="1">
      <c r="A89" s="12">
        <f t="shared" si="4"/>
        <v>3687</v>
      </c>
      <c r="B89" s="6" t="s">
        <v>11484</v>
      </c>
      <c r="C89" s="7" t="str">
        <f t="shared" si="1"/>
        <v>🔊</v>
      </c>
      <c r="D89" s="8" t="s">
        <v>11485</v>
      </c>
      <c r="E89" s="6" t="s">
        <v>13</v>
      </c>
      <c r="F89" s="12" t="str">
        <f>IFERROR(__xludf.DUMMYFUNCTION("GOOGLETRANSLATE(B89,""zh_cn"",""vi"")"),"Không phù hợp")</f>
        <v>Không phù hợp</v>
      </c>
      <c r="G89" s="12"/>
      <c r="H89" s="6"/>
      <c r="I89" s="11" t="b">
        <f t="shared" si="2"/>
        <v>0</v>
      </c>
      <c r="K89" s="11" t="b">
        <f t="shared" si="3"/>
        <v>0</v>
      </c>
    </row>
    <row r="90" ht="22.5" customHeight="1">
      <c r="A90" s="12">
        <f t="shared" si="4"/>
        <v>3688</v>
      </c>
      <c r="B90" s="6" t="s">
        <v>11486</v>
      </c>
      <c r="C90" s="7" t="str">
        <f t="shared" si="1"/>
        <v>🔊</v>
      </c>
      <c r="D90" s="8" t="s">
        <v>11487</v>
      </c>
      <c r="E90" s="6" t="s">
        <v>13</v>
      </c>
      <c r="F90" s="12" t="str">
        <f>IFERROR(__xludf.DUMMYFUNCTION("GOOGLETRANSLATE(B90,""zh_cn"",""vi"")"),"Vô tận")</f>
        <v>Vô tận</v>
      </c>
      <c r="G90" s="12"/>
      <c r="H90" s="6"/>
      <c r="I90" s="11" t="b">
        <f t="shared" si="2"/>
        <v>0</v>
      </c>
      <c r="K90" s="11" t="b">
        <f t="shared" si="3"/>
        <v>0</v>
      </c>
    </row>
    <row r="91" ht="22.5" customHeight="1">
      <c r="A91" s="12">
        <f t="shared" si="4"/>
        <v>3689</v>
      </c>
      <c r="B91" s="6" t="s">
        <v>11488</v>
      </c>
      <c r="C91" s="7" t="str">
        <f t="shared" si="1"/>
        <v>🔊</v>
      </c>
      <c r="D91" s="8" t="s">
        <v>11489</v>
      </c>
      <c r="E91" s="6" t="s">
        <v>13</v>
      </c>
      <c r="F91" s="12" t="str">
        <f>IFERROR(__xludf.DUMMYFUNCTION("GOOGLETRANSLATE(B91,""zh_cn"",""vi"")"),"Sắp xếp")</f>
        <v>Sắp xếp</v>
      </c>
      <c r="G91" s="12"/>
      <c r="H91" s="6"/>
      <c r="I91" s="11" t="b">
        <f t="shared" si="2"/>
        <v>0</v>
      </c>
      <c r="K91" s="11" t="b">
        <f t="shared" si="3"/>
        <v>0</v>
      </c>
    </row>
    <row r="92" ht="22.5" customHeight="1">
      <c r="A92" s="12">
        <f t="shared" si="4"/>
        <v>3690</v>
      </c>
      <c r="B92" s="6" t="s">
        <v>11490</v>
      </c>
      <c r="C92" s="7" t="str">
        <f t="shared" si="1"/>
        <v>🔊</v>
      </c>
      <c r="D92" s="8" t="s">
        <v>11491</v>
      </c>
      <c r="E92" s="6" t="s">
        <v>433</v>
      </c>
      <c r="F92" s="12" t="str">
        <f>IFERROR(__xludf.DUMMYFUNCTION("GOOGLETRANSLATE(B92,""zh_cn"",""vi"")"),"hơn")</f>
        <v>hơn</v>
      </c>
      <c r="G92" s="12"/>
      <c r="H92" s="6"/>
      <c r="I92" s="11" t="b">
        <f t="shared" si="2"/>
        <v>0</v>
      </c>
      <c r="K92" s="11" t="b">
        <f t="shared" si="3"/>
        <v>0</v>
      </c>
    </row>
    <row r="93" ht="22.5" customHeight="1">
      <c r="A93" s="12">
        <f t="shared" si="4"/>
        <v>3691</v>
      </c>
      <c r="B93" s="6" t="s">
        <v>11492</v>
      </c>
      <c r="C93" s="7" t="str">
        <f t="shared" si="1"/>
        <v>🔊</v>
      </c>
      <c r="D93" s="8" t="s">
        <v>11493</v>
      </c>
      <c r="E93" s="6" t="s">
        <v>13</v>
      </c>
      <c r="F93" s="12" t="str">
        <f>IFERROR(__xludf.DUMMYFUNCTION("GOOGLETRANSLATE(B93,""zh_cn"",""vi"")"),"Không đúng trọng tâm")</f>
        <v>Không đúng trọng tâm</v>
      </c>
      <c r="G93" s="12"/>
      <c r="H93" s="6"/>
      <c r="I93" s="11" t="b">
        <f t="shared" si="2"/>
        <v>0</v>
      </c>
      <c r="K93" s="11" t="b">
        <f t="shared" si="3"/>
        <v>0</v>
      </c>
    </row>
    <row r="94" ht="22.5" customHeight="1">
      <c r="A94" s="12">
        <f t="shared" si="4"/>
        <v>3692</v>
      </c>
      <c r="B94" s="6" t="s">
        <v>11494</v>
      </c>
      <c r="C94" s="7" t="str">
        <f t="shared" si="1"/>
        <v>🔊</v>
      </c>
      <c r="D94" s="8" t="s">
        <v>11495</v>
      </c>
      <c r="E94" s="6" t="s">
        <v>27</v>
      </c>
      <c r="F94" s="12" t="str">
        <f>IFERROR(__xludf.DUMMYFUNCTION("GOOGLETRANSLATE(B94,""zh_cn"",""vi"")"),"bước chân")</f>
        <v>bước chân</v>
      </c>
      <c r="G94" s="12"/>
      <c r="H94" s="6"/>
      <c r="I94" s="11" t="b">
        <f t="shared" si="2"/>
        <v>0</v>
      </c>
      <c r="K94" s="11" t="b">
        <f t="shared" si="3"/>
        <v>0</v>
      </c>
    </row>
    <row r="95" ht="22.5" customHeight="1">
      <c r="A95" s="12">
        <f t="shared" si="4"/>
        <v>3693</v>
      </c>
      <c r="B95" s="6" t="s">
        <v>11496</v>
      </c>
      <c r="C95" s="7" t="str">
        <f t="shared" si="1"/>
        <v>🔊</v>
      </c>
      <c r="D95" s="8" t="s">
        <v>11497</v>
      </c>
      <c r="E95" s="6" t="s">
        <v>13</v>
      </c>
      <c r="F95" s="12" t="str">
        <f>IFERROR(__xludf.DUMMYFUNCTION("GOOGLETRANSLATE(B95,""zh_cn"",""vi"")"),"bước lên")</f>
        <v>bước lên</v>
      </c>
      <c r="G95" s="12"/>
      <c r="H95" s="6"/>
      <c r="I95" s="11" t="b">
        <f t="shared" si="2"/>
        <v>0</v>
      </c>
      <c r="K95" s="11" t="b">
        <f t="shared" si="3"/>
        <v>0</v>
      </c>
    </row>
    <row r="96" ht="22.5" customHeight="1">
      <c r="A96" s="12">
        <f t="shared" si="4"/>
        <v>3694</v>
      </c>
      <c r="B96" s="6" t="s">
        <v>11498</v>
      </c>
      <c r="C96" s="7" t="str">
        <f t="shared" si="1"/>
        <v>🔊</v>
      </c>
      <c r="D96" s="8" t="s">
        <v>11499</v>
      </c>
      <c r="E96" s="6" t="s">
        <v>13</v>
      </c>
      <c r="F96" s="12" t="str">
        <f>IFERROR(__xludf.DUMMYFUNCTION("GOOGLETRANSLATE(B96,""zh_cn"",""vi"")"),"đoán")</f>
        <v>đoán</v>
      </c>
      <c r="G96" s="12"/>
      <c r="H96" s="6"/>
      <c r="I96" s="11" t="b">
        <f t="shared" si="2"/>
        <v>0</v>
      </c>
      <c r="K96" s="11" t="b">
        <f t="shared" si="3"/>
        <v>0</v>
      </c>
    </row>
    <row r="97" ht="22.5" customHeight="1">
      <c r="A97" s="12">
        <f t="shared" si="4"/>
        <v>3695</v>
      </c>
      <c r="B97" s="6" t="s">
        <v>11500</v>
      </c>
      <c r="C97" s="7" t="str">
        <f t="shared" si="1"/>
        <v>🔊</v>
      </c>
      <c r="D97" s="8" t="s">
        <v>11501</v>
      </c>
      <c r="E97" s="6" t="s">
        <v>27</v>
      </c>
      <c r="F97" s="12" t="str">
        <f>IFERROR(__xludf.DUMMYFUNCTION("GOOGLETRANSLATE(B97,""zh_cn"",""vi"")"),"tài sản")</f>
        <v>tài sản</v>
      </c>
      <c r="G97" s="12"/>
      <c r="H97" s="6"/>
      <c r="I97" s="11" t="b">
        <f t="shared" si="2"/>
        <v>0</v>
      </c>
      <c r="K97" s="11" t="b">
        <f t="shared" si="3"/>
        <v>0</v>
      </c>
    </row>
    <row r="98" ht="22.5" customHeight="1">
      <c r="A98" s="12">
        <f t="shared" si="4"/>
        <v>3696</v>
      </c>
      <c r="B98" s="6" t="s">
        <v>11502</v>
      </c>
      <c r="C98" s="7" t="str">
        <f t="shared" si="1"/>
        <v>🔊</v>
      </c>
      <c r="D98" s="8" t="s">
        <v>11503</v>
      </c>
      <c r="E98" s="6" t="s">
        <v>27</v>
      </c>
      <c r="F98" s="12" t="str">
        <f>IFERROR(__xludf.DUMMYFUNCTION("GOOGLETRANSLATE(B98,""zh_cn"",""vi"")"),"sự giàu có")</f>
        <v>sự giàu có</v>
      </c>
      <c r="G98" s="12"/>
      <c r="H98" s="6"/>
      <c r="I98" s="11" t="b">
        <f t="shared" si="2"/>
        <v>0</v>
      </c>
      <c r="K98" s="11" t="b">
        <f t="shared" si="3"/>
        <v>0</v>
      </c>
    </row>
    <row r="99" ht="22.5" customHeight="1">
      <c r="A99" s="12">
        <f t="shared" si="4"/>
        <v>3697</v>
      </c>
      <c r="B99" s="6" t="s">
        <v>11504</v>
      </c>
      <c r="C99" s="7" t="str">
        <f t="shared" si="1"/>
        <v>🔊</v>
      </c>
      <c r="D99" s="8" t="s">
        <v>11505</v>
      </c>
      <c r="E99" s="6" t="s">
        <v>232</v>
      </c>
      <c r="F99" s="12" t="str">
        <f>IFERROR(__xludf.DUMMYFUNCTION("GOOGLETRANSLATE(B99,""zh_cn"",""vi"")"),"mua")</f>
        <v>mua</v>
      </c>
      <c r="G99" s="12"/>
      <c r="H99" s="6"/>
      <c r="I99" s="11" t="b">
        <f t="shared" si="2"/>
        <v>0</v>
      </c>
      <c r="K99" s="11" t="b">
        <f t="shared" si="3"/>
        <v>0</v>
      </c>
    </row>
    <row r="100" ht="22.5" customHeight="1">
      <c r="A100" s="12">
        <f t="shared" si="4"/>
        <v>3698</v>
      </c>
      <c r="B100" s="6" t="s">
        <v>11506</v>
      </c>
      <c r="C100" s="7" t="str">
        <f t="shared" si="1"/>
        <v>🔊</v>
      </c>
      <c r="D100" s="8" t="s">
        <v>11507</v>
      </c>
      <c r="E100" s="6" t="s">
        <v>27</v>
      </c>
      <c r="F100" s="12" t="str">
        <f>IFERROR(__xludf.DUMMYFUNCTION("GOOGLETRANSLATE(B100,""zh_cn"",""vi"")"),"cầu vồng")</f>
        <v>cầu vồng</v>
      </c>
      <c r="G100" s="12"/>
      <c r="H100" s="6"/>
      <c r="I100" s="11" t="b">
        <f t="shared" si="2"/>
        <v>0</v>
      </c>
      <c r="K100" s="11" t="b">
        <f t="shared" si="3"/>
        <v>0</v>
      </c>
    </row>
    <row r="101" ht="22.5" customHeight="1">
      <c r="A101" s="12">
        <f t="shared" si="4"/>
        <v>3699</v>
      </c>
      <c r="B101" s="6" t="s">
        <v>11508</v>
      </c>
      <c r="C101" s="7" t="str">
        <f t="shared" si="1"/>
        <v>🔊</v>
      </c>
      <c r="D101" s="8" t="s">
        <v>11509</v>
      </c>
      <c r="E101" s="6" t="s">
        <v>27</v>
      </c>
      <c r="F101" s="12" t="str">
        <f>IFERROR(__xludf.DUMMYFUNCTION("GOOGLETRANSLATE(B101,""zh_cn"",""vi"")"),"tài năng")</f>
        <v>tài năng</v>
      </c>
      <c r="G101" s="12"/>
      <c r="H101" s="6"/>
      <c r="I101" s="11" t="b">
        <f t="shared" si="2"/>
        <v>0</v>
      </c>
      <c r="K101" s="11" t="b">
        <f t="shared" si="3"/>
        <v>0</v>
      </c>
    </row>
    <row r="102" ht="22.5" customHeight="1">
      <c r="A102" s="12">
        <f t="shared" si="4"/>
        <v>3700</v>
      </c>
      <c r="B102" s="6" t="s">
        <v>11510</v>
      </c>
      <c r="C102" s="7" t="str">
        <f t="shared" si="1"/>
        <v>🔊</v>
      </c>
      <c r="D102" s="8" t="s">
        <v>11511</v>
      </c>
      <c r="E102" s="6" t="s">
        <v>13</v>
      </c>
      <c r="F102" s="12" t="str">
        <f>IFERROR(__xludf.DUMMYFUNCTION("GOOGLETRANSLATE(B102,""zh_cn"",""vi"")"),"bộ sưu tập")</f>
        <v>bộ sưu tập</v>
      </c>
      <c r="G102" s="12"/>
      <c r="H102" s="6"/>
      <c r="I102" s="11" t="b">
        <f t="shared" si="2"/>
        <v>0</v>
      </c>
      <c r="K102" s="11" t="b">
        <f t="shared" si="3"/>
        <v>0</v>
      </c>
    </row>
    <row r="103" ht="22.5" customHeight="1">
      <c r="A103" s="12">
        <f t="shared" si="4"/>
        <v>3701</v>
      </c>
      <c r="B103" s="6" t="s">
        <v>11512</v>
      </c>
      <c r="C103" s="7" t="str">
        <f t="shared" si="1"/>
        <v>🔊</v>
      </c>
      <c r="D103" s="8" t="s">
        <v>11513</v>
      </c>
      <c r="E103" s="6" t="s">
        <v>13</v>
      </c>
      <c r="F103" s="12" t="str">
        <f>IFERROR(__xludf.DUMMYFUNCTION("GOOGLETRANSLATE(B103,""zh_cn"",""vi"")"),"nhận con nuôi")</f>
        <v>nhận con nuôi</v>
      </c>
      <c r="G103" s="12"/>
      <c r="H103" s="6"/>
      <c r="I103" s="11" t="b">
        <f t="shared" si="2"/>
        <v>0</v>
      </c>
      <c r="K103" s="11" t="b">
        <f t="shared" si="3"/>
        <v>0</v>
      </c>
    </row>
    <row r="104" ht="22.5" customHeight="1">
      <c r="A104" s="12">
        <f t="shared" si="4"/>
        <v>3702</v>
      </c>
      <c r="B104" s="6" t="s">
        <v>11514</v>
      </c>
      <c r="C104" s="7" t="str">
        <f t="shared" si="1"/>
        <v>🔊</v>
      </c>
      <c r="D104" s="8" t="s">
        <v>11515</v>
      </c>
      <c r="E104" s="6" t="s">
        <v>27</v>
      </c>
      <c r="F104" s="12" t="str">
        <f>IFERROR(__xludf.DUMMYFUNCTION("GOOGLETRANSLATE(B104,""zh_cn"",""vi"")"),"Tài năng")</f>
        <v>Tài năng</v>
      </c>
      <c r="G104" s="12"/>
      <c r="H104" s="6"/>
      <c r="I104" s="11" t="b">
        <f t="shared" si="2"/>
        <v>0</v>
      </c>
      <c r="K104" s="11" t="b">
        <f t="shared" si="3"/>
        <v>0</v>
      </c>
    </row>
    <row r="105" ht="22.5" customHeight="1">
      <c r="A105" s="12">
        <f t="shared" si="4"/>
        <v>3703</v>
      </c>
      <c r="B105" s="6" t="s">
        <v>11516</v>
      </c>
      <c r="C105" s="7" t="str">
        <f t="shared" si="1"/>
        <v>🔊</v>
      </c>
      <c r="D105" s="8" t="s">
        <v>11517</v>
      </c>
      <c r="E105" s="6" t="s">
        <v>27</v>
      </c>
      <c r="F105" s="12" t="str">
        <f>IFERROR(__xludf.DUMMYFUNCTION("GOOGLETRANSLATE(B105,""zh_cn"",""vi"")"),"Xổ số")</f>
        <v>Xổ số</v>
      </c>
      <c r="G105" s="12"/>
      <c r="H105" s="6"/>
      <c r="I105" s="11" t="b">
        <f t="shared" si="2"/>
        <v>0</v>
      </c>
      <c r="K105" s="11" t="b">
        <f t="shared" si="3"/>
        <v>0</v>
      </c>
    </row>
    <row r="106" ht="22.5" customHeight="1">
      <c r="A106" s="12">
        <f t="shared" si="4"/>
        <v>3704</v>
      </c>
      <c r="B106" s="6" t="s">
        <v>11518</v>
      </c>
      <c r="C106" s="7" t="str">
        <f t="shared" si="1"/>
        <v>🔊</v>
      </c>
      <c r="D106" s="8" t="s">
        <v>11519</v>
      </c>
      <c r="E106" s="6" t="s">
        <v>27</v>
      </c>
      <c r="F106" s="12" t="str">
        <f>IFERROR(__xludf.DUMMYFUNCTION("GOOGLETRANSLATE(B106,""zh_cn"",""vi"")"),"tài chính")</f>
        <v>tài chính</v>
      </c>
      <c r="G106" s="12"/>
      <c r="H106" s="6"/>
      <c r="I106" s="11" t="b">
        <f t="shared" si="2"/>
        <v>0</v>
      </c>
      <c r="K106" s="11" t="b">
        <f t="shared" si="3"/>
        <v>0</v>
      </c>
    </row>
    <row r="107" ht="22.5" customHeight="1">
      <c r="A107" s="12">
        <f t="shared" si="4"/>
        <v>3705</v>
      </c>
      <c r="B107" s="6" t="s">
        <v>11520</v>
      </c>
      <c r="C107" s="7" t="str">
        <f t="shared" si="1"/>
        <v>🔊</v>
      </c>
      <c r="D107" s="8" t="s">
        <v>11519</v>
      </c>
      <c r="E107" s="6" t="s">
        <v>27</v>
      </c>
      <c r="F107" s="12" t="str">
        <f>IFERROR(__xludf.DUMMYFUNCTION("GOOGLETRANSLATE(B107,""zh_cn"",""vi"")"),"tài sản")</f>
        <v>tài sản</v>
      </c>
      <c r="G107" s="12"/>
      <c r="H107" s="6"/>
      <c r="I107" s="11" t="b">
        <f t="shared" si="2"/>
        <v>0</v>
      </c>
      <c r="K107" s="11" t="b">
        <f t="shared" si="3"/>
        <v>0</v>
      </c>
    </row>
    <row r="108" ht="22.5" customHeight="1">
      <c r="A108" s="12">
        <f t="shared" si="4"/>
        <v>3706</v>
      </c>
      <c r="B108" s="6" t="s">
        <v>11521</v>
      </c>
      <c r="C108" s="7" t="str">
        <f t="shared" si="1"/>
        <v>🔊</v>
      </c>
      <c r="D108" s="8" t="s">
        <v>11522</v>
      </c>
      <c r="E108" s="6" t="s">
        <v>27</v>
      </c>
      <c r="F108" s="12" t="str">
        <f>IFERROR(__xludf.DUMMYFUNCTION("GOOGLETRANSLATE(B108,""zh_cn"",""vi"")"),"Vật liệu")</f>
        <v>Vật liệu</v>
      </c>
      <c r="G108" s="12"/>
      <c r="H108" s="6"/>
      <c r="I108" s="11" t="b">
        <f t="shared" si="2"/>
        <v>0</v>
      </c>
      <c r="K108" s="11" t="b">
        <f t="shared" si="3"/>
        <v>0</v>
      </c>
    </row>
    <row r="109" ht="22.5" customHeight="1">
      <c r="A109" s="12">
        <f t="shared" si="4"/>
        <v>3707</v>
      </c>
      <c r="B109" s="6" t="s">
        <v>11523</v>
      </c>
      <c r="C109" s="7" t="str">
        <f t="shared" si="1"/>
        <v>🔊</v>
      </c>
      <c r="D109" s="8" t="s">
        <v>11524</v>
      </c>
      <c r="E109" s="6" t="s">
        <v>27</v>
      </c>
      <c r="F109" s="12" t="str">
        <f>IFERROR(__xludf.DUMMYFUNCTION("GOOGLETRANSLATE(B109,""zh_cn"",""vi"")"),"kho chứa")</f>
        <v>kho chứa</v>
      </c>
      <c r="G109" s="12"/>
      <c r="H109" s="6"/>
      <c r="I109" s="11" t="b">
        <f t="shared" si="2"/>
        <v>0</v>
      </c>
      <c r="K109" s="11" t="b">
        <f t="shared" si="3"/>
        <v>0</v>
      </c>
    </row>
    <row r="110" ht="22.5" customHeight="1">
      <c r="A110" s="12">
        <f t="shared" si="4"/>
        <v>3708</v>
      </c>
      <c r="B110" s="6" t="s">
        <v>11525</v>
      </c>
      <c r="C110" s="7" t="str">
        <f t="shared" si="1"/>
        <v>🔊</v>
      </c>
      <c r="D110" s="8" t="s">
        <v>11526</v>
      </c>
      <c r="E110" s="6" t="s">
        <v>27</v>
      </c>
      <c r="F110" s="12" t="str">
        <f>IFERROR(__xludf.DUMMYFUNCTION("GOOGLETRANSLATE(B110,""zh_cn"",""vi"")"),"Khuyết tật")</f>
        <v>Khuyết tật</v>
      </c>
      <c r="G110" s="12"/>
      <c r="H110" s="6"/>
      <c r="I110" s="11" t="b">
        <f t="shared" si="2"/>
        <v>0</v>
      </c>
      <c r="K110" s="11" t="b">
        <f t="shared" si="3"/>
        <v>0</v>
      </c>
    </row>
    <row r="111" ht="22.5" customHeight="1">
      <c r="A111" s="12">
        <f t="shared" si="4"/>
        <v>3709</v>
      </c>
      <c r="B111" s="6" t="s">
        <v>11527</v>
      </c>
      <c r="C111" s="7" t="str">
        <f t="shared" si="1"/>
        <v>🔊</v>
      </c>
      <c r="D111" s="8" t="s">
        <v>11528</v>
      </c>
      <c r="E111" s="6" t="s">
        <v>13</v>
      </c>
      <c r="F111" s="12" t="str">
        <f>IFERROR(__xludf.DUMMYFUNCTION("GOOGLETRANSLATE(B111,""zh_cn"",""vi"")"),"Nhà triển lãm")</f>
        <v>Nhà triển lãm</v>
      </c>
      <c r="G111" s="12"/>
      <c r="H111" s="6"/>
      <c r="I111" s="11" t="b">
        <f t="shared" si="2"/>
        <v>0</v>
      </c>
      <c r="K111" s="11" t="b">
        <f t="shared" si="3"/>
        <v>0</v>
      </c>
    </row>
    <row r="112" ht="22.5" customHeight="1">
      <c r="A112" s="12">
        <f t="shared" si="4"/>
        <v>3710</v>
      </c>
      <c r="B112" s="6" t="s">
        <v>11529</v>
      </c>
      <c r="C112" s="7" t="str">
        <f t="shared" si="1"/>
        <v>🔊</v>
      </c>
      <c r="D112" s="8" t="s">
        <v>11530</v>
      </c>
      <c r="E112" s="6" t="s">
        <v>27</v>
      </c>
      <c r="F112" s="12" t="str">
        <f>IFERROR(__xludf.DUMMYFUNCTION("GOOGLETRANSLATE(B112,""zh_cn"",""vi"")"),"đồng cỏ")</f>
        <v>đồng cỏ</v>
      </c>
      <c r="G112" s="12"/>
      <c r="H112" s="6"/>
      <c r="I112" s="11" t="b">
        <f t="shared" si="2"/>
        <v>0</v>
      </c>
      <c r="K112" s="11" t="b">
        <f t="shared" si="3"/>
        <v>0</v>
      </c>
    </row>
    <row r="113" ht="22.5" customHeight="1">
      <c r="A113" s="12">
        <f t="shared" si="4"/>
        <v>3711</v>
      </c>
      <c r="B113" s="6" t="s">
        <v>11531</v>
      </c>
      <c r="C113" s="7" t="str">
        <f t="shared" si="1"/>
        <v>🔊</v>
      </c>
      <c r="D113" s="8" t="s">
        <v>6910</v>
      </c>
      <c r="E113" s="6" t="s">
        <v>57</v>
      </c>
      <c r="F113" s="12" t="str">
        <f>IFERROR(__xludf.DUMMYFUNCTION("GOOGLETRANSLATE(B113,""zh_cn"",""vi"")"),"bên")</f>
        <v>bên</v>
      </c>
      <c r="G113" s="12"/>
      <c r="H113" s="6"/>
      <c r="I113" s="11" t="b">
        <f t="shared" si="2"/>
        <v>0</v>
      </c>
      <c r="K113" s="11" t="b">
        <f t="shared" si="3"/>
        <v>0</v>
      </c>
    </row>
    <row r="114" ht="22.5" customHeight="1">
      <c r="A114" s="12">
        <f t="shared" si="4"/>
        <v>3712</v>
      </c>
      <c r="B114" s="6" t="s">
        <v>11532</v>
      </c>
      <c r="C114" s="7" t="str">
        <f t="shared" si="1"/>
        <v>🔊</v>
      </c>
      <c r="D114" s="8" t="s">
        <v>11533</v>
      </c>
      <c r="E114" s="6" t="s">
        <v>13</v>
      </c>
      <c r="F114" s="12" t="str">
        <f>IFERROR(__xludf.DUMMYFUNCTION("GOOGLETRANSLATE(B114,""zh_cn"",""vi"")"),"kế hoạch")</f>
        <v>kế hoạch</v>
      </c>
      <c r="G114" s="12"/>
      <c r="H114" s="6"/>
      <c r="I114" s="11" t="b">
        <f t="shared" si="2"/>
        <v>0</v>
      </c>
      <c r="K114" s="11" t="b">
        <f t="shared" si="3"/>
        <v>0</v>
      </c>
    </row>
    <row r="115" ht="22.5" customHeight="1">
      <c r="A115" s="12">
        <f t="shared" si="4"/>
        <v>3713</v>
      </c>
      <c r="B115" s="6" t="s">
        <v>11534</v>
      </c>
      <c r="C115" s="7" t="str">
        <f t="shared" si="1"/>
        <v>🔊</v>
      </c>
      <c r="D115" s="8" t="s">
        <v>11535</v>
      </c>
      <c r="E115" s="6" t="s">
        <v>13</v>
      </c>
      <c r="F115" s="12" t="str">
        <f>IFERROR(__xludf.DUMMYFUNCTION("GOOGLETRANSLATE(B115,""zh_cn"",""vi"")"),"Đo lường")</f>
        <v>Đo lường</v>
      </c>
      <c r="G115" s="12"/>
      <c r="H115" s="6"/>
      <c r="I115" s="11" t="b">
        <f t="shared" si="2"/>
        <v>0</v>
      </c>
      <c r="K115" s="11" t="b">
        <f t="shared" si="3"/>
        <v>0</v>
      </c>
    </row>
    <row r="116" ht="22.5" customHeight="1">
      <c r="A116" s="12">
        <f t="shared" si="4"/>
        <v>3714</v>
      </c>
      <c r="B116" s="6" t="s">
        <v>11536</v>
      </c>
      <c r="C116" s="7" t="str">
        <f t="shared" si="1"/>
        <v>🔊</v>
      </c>
      <c r="D116" s="8" t="s">
        <v>11537</v>
      </c>
      <c r="E116" s="6" t="s">
        <v>27</v>
      </c>
      <c r="F116" s="12" t="str">
        <f>IFERROR(__xludf.DUMMYFUNCTION("GOOGLETRANSLATE(B116,""zh_cn"",""vi"")"),"Chiến lược")</f>
        <v>Chiến lược</v>
      </c>
      <c r="G116" s="12"/>
      <c r="H116" s="6"/>
      <c r="I116" s="11" t="b">
        <f t="shared" si="2"/>
        <v>0</v>
      </c>
      <c r="K116" s="11" t="b">
        <f t="shared" si="3"/>
        <v>0</v>
      </c>
    </row>
    <row r="117" ht="22.5" customHeight="1">
      <c r="A117" s="12">
        <f t="shared" si="4"/>
        <v>3715</v>
      </c>
      <c r="B117" s="6" t="s">
        <v>11538</v>
      </c>
      <c r="C117" s="7" t="str">
        <f t="shared" si="1"/>
        <v>🔊</v>
      </c>
      <c r="D117" s="8" t="s">
        <v>11539</v>
      </c>
      <c r="E117" s="6" t="s">
        <v>27</v>
      </c>
      <c r="F117" s="12" t="str">
        <f>IFERROR(__xludf.DUMMYFUNCTION("GOOGLETRANSLATE(B117,""zh_cn"",""vi"")"),"mức độ")</f>
        <v>mức độ</v>
      </c>
      <c r="G117" s="12"/>
      <c r="H117" s="6"/>
      <c r="I117" s="11" t="b">
        <f t="shared" si="2"/>
        <v>0</v>
      </c>
      <c r="K117" s="11" t="b">
        <f t="shared" si="3"/>
        <v>0</v>
      </c>
    </row>
    <row r="118" ht="22.5" customHeight="1">
      <c r="A118" s="12">
        <f t="shared" si="4"/>
        <v>3716</v>
      </c>
      <c r="B118" s="6" t="s">
        <v>11540</v>
      </c>
      <c r="C118" s="7" t="str">
        <f t="shared" si="1"/>
        <v>🔊</v>
      </c>
      <c r="D118" s="8" t="s">
        <v>11541</v>
      </c>
      <c r="E118" s="6" t="s">
        <v>27</v>
      </c>
      <c r="F118" s="12" t="str">
        <f>IFERROR(__xludf.DUMMYFUNCTION("GOOGLETRANSLATE(B118,""zh_cn"",""vi"")"),"mức độ")</f>
        <v>mức độ</v>
      </c>
      <c r="G118" s="12"/>
      <c r="H118" s="6"/>
      <c r="I118" s="11" t="b">
        <f t="shared" si="2"/>
        <v>0</v>
      </c>
      <c r="K118" s="11" t="b">
        <f t="shared" si="3"/>
        <v>0</v>
      </c>
    </row>
    <row r="119" ht="22.5" customHeight="1">
      <c r="A119" s="12">
        <f t="shared" si="4"/>
        <v>3717</v>
      </c>
      <c r="B119" s="6" t="s">
        <v>11542</v>
      </c>
      <c r="C119" s="7" t="str">
        <f t="shared" si="1"/>
        <v>🔊</v>
      </c>
      <c r="D119" s="8" t="s">
        <v>6923</v>
      </c>
      <c r="E119" s="6" t="s">
        <v>57</v>
      </c>
      <c r="F119" s="12" t="str">
        <f>IFERROR(__xludf.DUMMYFUNCTION("GOOGLETRANSLATE(B119,""zh_cn"",""vi"")"),"cái nĩa")</f>
        <v>cái nĩa</v>
      </c>
      <c r="G119" s="12"/>
      <c r="H119" s="6"/>
      <c r="I119" s="11" t="b">
        <f t="shared" si="2"/>
        <v>0</v>
      </c>
      <c r="K119" s="11" t="b">
        <f t="shared" si="3"/>
        <v>0</v>
      </c>
    </row>
    <row r="120" ht="22.5" customHeight="1">
      <c r="A120" s="12">
        <f t="shared" si="4"/>
        <v>3718</v>
      </c>
      <c r="B120" s="6" t="s">
        <v>11543</v>
      </c>
      <c r="C120" s="7" t="str">
        <f t="shared" si="1"/>
        <v>🔊</v>
      </c>
      <c r="D120" s="8" t="s">
        <v>11544</v>
      </c>
      <c r="E120" s="6" t="s">
        <v>13</v>
      </c>
      <c r="F120" s="12" t="str">
        <f>IFERROR(__xludf.DUMMYFUNCTION("GOOGLETRANSLATE(B120,""zh_cn"",""vi"")"),"phá bỏ")</f>
        <v>phá bỏ</v>
      </c>
      <c r="G120" s="12"/>
      <c r="H120" s="6"/>
      <c r="I120" s="11" t="b">
        <f t="shared" si="2"/>
        <v>0</v>
      </c>
      <c r="K120" s="11" t="b">
        <f t="shared" si="3"/>
        <v>0</v>
      </c>
    </row>
    <row r="121" ht="22.5" customHeight="1">
      <c r="A121" s="12">
        <f t="shared" si="4"/>
        <v>3719</v>
      </c>
      <c r="B121" s="6" t="s">
        <v>11545</v>
      </c>
      <c r="C121" s="7" t="str">
        <f t="shared" si="1"/>
        <v>🔊</v>
      </c>
      <c r="D121" s="8" t="s">
        <v>11546</v>
      </c>
      <c r="E121" s="6" t="s">
        <v>13</v>
      </c>
      <c r="F121" s="12" t="str">
        <f>IFERROR(__xludf.DUMMYFUNCTION("GOOGLETRANSLATE(B121,""zh_cn"",""vi"")"),"đầu ra")</f>
        <v>đầu ra</v>
      </c>
      <c r="G121" s="12"/>
      <c r="H121" s="6"/>
      <c r="I121" s="11" t="b">
        <f t="shared" si="2"/>
        <v>0</v>
      </c>
      <c r="K121" s="11" t="b">
        <f t="shared" si="3"/>
        <v>0</v>
      </c>
    </row>
    <row r="122" ht="22.5" customHeight="1">
      <c r="A122" s="12">
        <f t="shared" si="4"/>
        <v>3720</v>
      </c>
      <c r="B122" s="6" t="s">
        <v>11547</v>
      </c>
      <c r="C122" s="7" t="str">
        <f t="shared" si="1"/>
        <v>🔊</v>
      </c>
      <c r="D122" s="8" t="s">
        <v>11548</v>
      </c>
      <c r="E122" s="6" t="s">
        <v>27</v>
      </c>
      <c r="F122" s="12" t="str">
        <f>IFERROR(__xludf.DUMMYFUNCTION("GOOGLETRANSLATE(B122,""zh_cn"",""vi"")"),"Nguồn gốc")</f>
        <v>Nguồn gốc</v>
      </c>
      <c r="G122" s="12"/>
      <c r="H122" s="6"/>
      <c r="I122" s="11" t="b">
        <f t="shared" si="2"/>
        <v>0</v>
      </c>
      <c r="K122" s="11" t="b">
        <f t="shared" si="3"/>
        <v>0</v>
      </c>
    </row>
    <row r="123" ht="22.5" customHeight="1">
      <c r="A123" s="12">
        <f t="shared" si="4"/>
        <v>3721</v>
      </c>
      <c r="B123" s="6" t="s">
        <v>11549</v>
      </c>
      <c r="C123" s="7" t="str">
        <f t="shared" si="1"/>
        <v>🔊</v>
      </c>
      <c r="D123" s="8" t="s">
        <v>1068</v>
      </c>
      <c r="E123" s="6" t="s">
        <v>27</v>
      </c>
      <c r="F123" s="12" t="str">
        <f>IFERROR(__xludf.DUMMYFUNCTION("GOOGLETRANSLATE(B123,""zh_cn"",""vi"")"),"ruột")</f>
        <v>ruột</v>
      </c>
      <c r="G123" s="12"/>
      <c r="H123" s="6"/>
      <c r="I123" s="11" t="b">
        <f t="shared" si="2"/>
        <v>0</v>
      </c>
      <c r="K123" s="11" t="b">
        <f t="shared" si="3"/>
        <v>0</v>
      </c>
    </row>
    <row r="124" ht="22.5" customHeight="1">
      <c r="A124" s="12">
        <f t="shared" si="4"/>
        <v>3722</v>
      </c>
      <c r="B124" s="6" t="s">
        <v>11550</v>
      </c>
      <c r="C124" s="7" t="str">
        <f t="shared" si="1"/>
        <v>🔊</v>
      </c>
      <c r="D124" s="8" t="s">
        <v>11551</v>
      </c>
      <c r="E124" s="6" t="s">
        <v>27</v>
      </c>
      <c r="F124" s="12" t="str">
        <f>IFERROR(__xludf.DUMMYFUNCTION("GOOGLETRANSLATE(B124,""zh_cn"",""vi"")"),"Các trận đấu")</f>
        <v>Các trận đấu</v>
      </c>
      <c r="G124" s="12"/>
      <c r="H124" s="6"/>
      <c r="I124" s="11" t="b">
        <f t="shared" si="2"/>
        <v>0</v>
      </c>
      <c r="K124" s="11" t="b">
        <f t="shared" si="3"/>
        <v>0</v>
      </c>
    </row>
    <row r="125" ht="22.5" customHeight="1">
      <c r="A125" s="12">
        <f t="shared" si="4"/>
        <v>3723</v>
      </c>
      <c r="B125" s="6" t="s">
        <v>11552</v>
      </c>
      <c r="C125" s="7" t="str">
        <f t="shared" si="1"/>
        <v>🔊</v>
      </c>
      <c r="D125" s="8" t="s">
        <v>11553</v>
      </c>
      <c r="E125" s="6" t="s">
        <v>27</v>
      </c>
      <c r="F125" s="12" t="str">
        <f>IFERROR(__xludf.DUMMYFUNCTION("GOOGLETRANSLATE(B125,""zh_cn"",""vi"")"),"địa điểm")</f>
        <v>địa điểm</v>
      </c>
      <c r="G125" s="12"/>
      <c r="H125" s="6"/>
      <c r="I125" s="11" t="b">
        <f t="shared" si="2"/>
        <v>0</v>
      </c>
      <c r="K125" s="11" t="b">
        <f t="shared" si="3"/>
        <v>0</v>
      </c>
    </row>
    <row r="126" ht="22.5" customHeight="1">
      <c r="A126" s="12">
        <f t="shared" si="4"/>
        <v>3724</v>
      </c>
      <c r="B126" s="6" t="s">
        <v>11554</v>
      </c>
      <c r="C126" s="7" t="str">
        <f t="shared" si="1"/>
        <v>🔊</v>
      </c>
      <c r="D126" s="8" t="s">
        <v>11555</v>
      </c>
      <c r="E126" s="6" t="s">
        <v>27</v>
      </c>
      <c r="F126" s="12" t="str">
        <f>IFERROR(__xludf.DUMMYFUNCTION("GOOGLETRANSLATE(B126,""zh_cn"",""vi"")"),"chiều dài")</f>
        <v>chiều dài</v>
      </c>
      <c r="G126" s="12"/>
      <c r="H126" s="6"/>
      <c r="I126" s="11" t="b">
        <f t="shared" si="2"/>
        <v>0</v>
      </c>
      <c r="K126" s="11" t="b">
        <f t="shared" si="3"/>
        <v>0</v>
      </c>
    </row>
    <row r="127" ht="22.5" customHeight="1">
      <c r="A127" s="12">
        <f t="shared" si="4"/>
        <v>3725</v>
      </c>
      <c r="B127" s="6" t="s">
        <v>11556</v>
      </c>
      <c r="C127" s="7" t="str">
        <f t="shared" si="1"/>
        <v>🔊</v>
      </c>
      <c r="D127" s="8" t="s">
        <v>11557</v>
      </c>
      <c r="E127" s="6" t="s">
        <v>27</v>
      </c>
      <c r="F127" s="12" t="str">
        <f>IFERROR(__xludf.DUMMYFUNCTION("GOOGLETRANSLATE(B127,""zh_cn"",""vi"")"),"địa điểm")</f>
        <v>địa điểm</v>
      </c>
      <c r="G127" s="12"/>
      <c r="H127" s="6"/>
      <c r="I127" s="11" t="b">
        <f t="shared" si="2"/>
        <v>0</v>
      </c>
      <c r="K127" s="11" t="b">
        <f t="shared" si="3"/>
        <v>0</v>
      </c>
    </row>
    <row r="128" ht="22.5" customHeight="1">
      <c r="A128" s="12">
        <f t="shared" si="4"/>
        <v>3726</v>
      </c>
      <c r="B128" s="6" t="s">
        <v>11558</v>
      </c>
      <c r="C128" s="7" t="str">
        <f t="shared" si="1"/>
        <v>🔊</v>
      </c>
      <c r="D128" s="8" t="s">
        <v>11559</v>
      </c>
      <c r="E128" s="6" t="s">
        <v>3430</v>
      </c>
      <c r="F128" s="12" t="str">
        <f>IFERROR(__xludf.DUMMYFUNCTION("GOOGLETRANSLATE(B128,""zh_cn"",""vi"")"),"thông thường")</f>
        <v>thông thường</v>
      </c>
      <c r="G128" s="12"/>
      <c r="H128" s="6"/>
      <c r="I128" s="11" t="b">
        <f t="shared" si="2"/>
        <v>0</v>
      </c>
      <c r="K128" s="11" t="b">
        <f t="shared" si="3"/>
        <v>0</v>
      </c>
    </row>
    <row r="129" ht="22.5" customHeight="1">
      <c r="A129" s="12">
        <f t="shared" si="4"/>
        <v>3727</v>
      </c>
      <c r="B129" s="6" t="s">
        <v>11560</v>
      </c>
      <c r="C129" s="7" t="str">
        <f t="shared" si="1"/>
        <v>🔊</v>
      </c>
      <c r="D129" s="8" t="s">
        <v>11561</v>
      </c>
      <c r="E129" s="6" t="s">
        <v>27</v>
      </c>
      <c r="F129" s="12" t="str">
        <f>IFERROR(__xludf.DUMMYFUNCTION("GOOGLETRANSLATE(B129,""zh_cn"",""vi"")"),"dịp")</f>
        <v>dịp</v>
      </c>
      <c r="G129" s="12"/>
      <c r="H129" s="6"/>
      <c r="I129" s="11" t="b">
        <f t="shared" si="2"/>
        <v>0</v>
      </c>
      <c r="K129" s="11" t="b">
        <f t="shared" si="3"/>
        <v>0</v>
      </c>
    </row>
    <row r="130" ht="22.5" customHeight="1">
      <c r="A130" s="12">
        <f t="shared" si="4"/>
        <v>3728</v>
      </c>
      <c r="B130" s="6" t="s">
        <v>11562</v>
      </c>
      <c r="C130" s="7" t="str">
        <f t="shared" si="1"/>
        <v>🔊</v>
      </c>
      <c r="D130" s="8" t="s">
        <v>11563</v>
      </c>
      <c r="E130" s="6" t="s">
        <v>27</v>
      </c>
      <c r="F130" s="12" t="str">
        <f>IFERROR(__xludf.DUMMYFUNCTION("GOOGLETRANSLATE(B130,""zh_cn"",""vi"")"),"nhà máy")</f>
        <v>nhà máy</v>
      </c>
      <c r="G130" s="12"/>
      <c r="H130" s="6"/>
      <c r="I130" s="11" t="b">
        <f t="shared" si="2"/>
        <v>0</v>
      </c>
      <c r="K130" s="11" t="b">
        <f t="shared" si="3"/>
        <v>0</v>
      </c>
    </row>
    <row r="131" ht="22.5" customHeight="1">
      <c r="A131" s="12">
        <f t="shared" si="4"/>
        <v>3729</v>
      </c>
      <c r="B131" s="6" t="s">
        <v>11564</v>
      </c>
      <c r="C131" s="7" t="str">
        <f t="shared" si="1"/>
        <v>🔊</v>
      </c>
      <c r="D131" s="8" t="s">
        <v>11565</v>
      </c>
      <c r="E131" s="6" t="s">
        <v>27</v>
      </c>
      <c r="F131" s="12" t="str">
        <f>IFERROR(__xludf.DUMMYFUNCTION("GOOGLETRANSLATE(B131,""zh_cn"",""vi"")"),"Bối cảnh")</f>
        <v>Bối cảnh</v>
      </c>
      <c r="G131" s="12"/>
      <c r="H131" s="6"/>
      <c r="I131" s="11" t="b">
        <f t="shared" si="2"/>
        <v>0</v>
      </c>
      <c r="K131" s="11" t="b">
        <f t="shared" si="3"/>
        <v>0</v>
      </c>
    </row>
    <row r="132" ht="22.5" customHeight="1">
      <c r="A132" s="12">
        <f t="shared" si="4"/>
        <v>3730</v>
      </c>
      <c r="B132" s="6" t="s">
        <v>11566</v>
      </c>
      <c r="C132" s="7" t="str">
        <f t="shared" si="1"/>
        <v>🔊</v>
      </c>
      <c r="D132" s="8" t="s">
        <v>11567</v>
      </c>
      <c r="E132" s="6" t="s">
        <v>27</v>
      </c>
      <c r="F132" s="12" t="str">
        <f>IFERROR(__xludf.DUMMYFUNCTION("GOOGLETRANSLATE(B132,""zh_cn"",""vi"")"),"bối cảnh")</f>
        <v>bối cảnh</v>
      </c>
      <c r="G132" s="12"/>
      <c r="H132" s="6"/>
      <c r="I132" s="11" t="b">
        <f t="shared" si="2"/>
        <v>0</v>
      </c>
      <c r="K132" s="11" t="b">
        <f t="shared" si="3"/>
        <v>0</v>
      </c>
    </row>
    <row r="133" ht="22.5" customHeight="1">
      <c r="A133" s="12">
        <f t="shared" si="4"/>
        <v>3731</v>
      </c>
      <c r="B133" s="6" t="s">
        <v>11568</v>
      </c>
      <c r="C133" s="7" t="str">
        <f t="shared" si="1"/>
        <v>🔊</v>
      </c>
      <c r="D133" s="8" t="s">
        <v>11569</v>
      </c>
      <c r="E133" s="6" t="s">
        <v>6214</v>
      </c>
      <c r="F133" s="12" t="str">
        <f>IFERROR(__xludf.DUMMYFUNCTION("GOOGLETRANSLATE(B133,""zh_cn"",""vi"")"),"quanh năm")</f>
        <v>quanh năm</v>
      </c>
      <c r="G133" s="12"/>
      <c r="H133" s="6"/>
      <c r="I133" s="11" t="b">
        <f t="shared" si="2"/>
        <v>0</v>
      </c>
      <c r="K133" s="11" t="b">
        <f t="shared" si="3"/>
        <v>0</v>
      </c>
    </row>
    <row r="134" ht="22.5" customHeight="1">
      <c r="A134" s="12">
        <f t="shared" si="4"/>
        <v>3732</v>
      </c>
      <c r="B134" s="6" t="s">
        <v>11570</v>
      </c>
      <c r="C134" s="7" t="str">
        <f t="shared" si="1"/>
        <v>🔊</v>
      </c>
      <c r="D134" s="8" t="s">
        <v>11571</v>
      </c>
      <c r="E134" s="6" t="s">
        <v>27</v>
      </c>
      <c r="F134" s="12" t="str">
        <f>IFERROR(__xludf.DUMMYFUNCTION("GOOGLETRANSLATE(B134,""zh_cn"",""vi"")"),"Các nhà sản xuất")</f>
        <v>Các nhà sản xuất</v>
      </c>
      <c r="G134" s="12"/>
      <c r="H134" s="6"/>
      <c r="I134" s="11" t="b">
        <f t="shared" si="2"/>
        <v>0</v>
      </c>
      <c r="K134" s="11" t="b">
        <f t="shared" si="3"/>
        <v>0</v>
      </c>
    </row>
    <row r="135" ht="22.5" customHeight="1">
      <c r="A135" s="12">
        <f t="shared" si="4"/>
        <v>3733</v>
      </c>
      <c r="B135" s="6" t="s">
        <v>11572</v>
      </c>
      <c r="C135" s="7" t="str">
        <f t="shared" si="1"/>
        <v>🔊</v>
      </c>
      <c r="D135" s="8" t="s">
        <v>11573</v>
      </c>
      <c r="E135" s="6" t="s">
        <v>99</v>
      </c>
      <c r="F135" s="12" t="str">
        <f>IFERROR(__xludf.DUMMYFUNCTION("GOOGLETRANSLATE(B135,""zh_cn"",""vi"")"),"tuổi thọ")</f>
        <v>tuổi thọ</v>
      </c>
      <c r="G135" s="12"/>
      <c r="H135" s="6"/>
      <c r="I135" s="11" t="b">
        <f t="shared" si="2"/>
        <v>0</v>
      </c>
      <c r="K135" s="11" t="b">
        <f t="shared" si="3"/>
        <v>0</v>
      </c>
    </row>
    <row r="136" ht="22.5" customHeight="1">
      <c r="A136" s="12">
        <f t="shared" si="4"/>
        <v>3734</v>
      </c>
      <c r="B136" s="6" t="s">
        <v>11574</v>
      </c>
      <c r="C136" s="7" t="str">
        <f t="shared" si="1"/>
        <v>🔊</v>
      </c>
      <c r="D136" s="8" t="s">
        <v>11575</v>
      </c>
      <c r="E136" s="6" t="s">
        <v>99</v>
      </c>
      <c r="F136" s="12" t="str">
        <f>IFERROR(__xludf.DUMMYFUNCTION("GOOGLETRANSLATE(B136,""zh_cn"",""vi"")"),"Trơn tru")</f>
        <v>Trơn tru</v>
      </c>
      <c r="G136" s="12"/>
      <c r="H136" s="6"/>
      <c r="I136" s="11" t="b">
        <f t="shared" si="2"/>
        <v>0</v>
      </c>
      <c r="K136" s="11" t="b">
        <f t="shared" si="3"/>
        <v>0</v>
      </c>
    </row>
    <row r="137" ht="22.5" customHeight="1">
      <c r="A137" s="12">
        <f t="shared" si="4"/>
        <v>3735</v>
      </c>
      <c r="B137" s="6" t="s">
        <v>11576</v>
      </c>
      <c r="C137" s="7" t="str">
        <f t="shared" si="1"/>
        <v>🔊</v>
      </c>
      <c r="D137" s="8" t="s">
        <v>11577</v>
      </c>
      <c r="E137" s="6" t="s">
        <v>27</v>
      </c>
      <c r="F137" s="12" t="str">
        <f>IFERROR(__xludf.DUMMYFUNCTION("GOOGLETRANSLATE(B137,""zh_cn"",""vi"")"),"nhiệt độ bình thường")</f>
        <v>nhiệt độ bình thường</v>
      </c>
      <c r="G137" s="12"/>
      <c r="H137" s="6"/>
      <c r="I137" s="11" t="b">
        <f t="shared" si="2"/>
        <v>0</v>
      </c>
      <c r="K137" s="11" t="b">
        <f t="shared" si="3"/>
        <v>0</v>
      </c>
    </row>
    <row r="138" ht="22.5" customHeight="1">
      <c r="A138" s="12">
        <f t="shared" si="4"/>
        <v>3736</v>
      </c>
      <c r="B138" s="6" t="s">
        <v>11578</v>
      </c>
      <c r="C138" s="7" t="str">
        <f t="shared" si="1"/>
        <v>🔊</v>
      </c>
      <c r="D138" s="8" t="s">
        <v>11579</v>
      </c>
      <c r="E138" s="6" t="s">
        <v>13</v>
      </c>
      <c r="F138" s="12" t="str">
        <f>IFERROR(__xludf.DUMMYFUNCTION("GOOGLETRANSLATE(B138,""zh_cn"",""vi"")"),"Bán chạy nhất")</f>
        <v>Bán chạy nhất</v>
      </c>
      <c r="G138" s="12"/>
      <c r="H138" s="6"/>
      <c r="I138" s="11" t="b">
        <f t="shared" si="2"/>
        <v>0</v>
      </c>
      <c r="K138" s="11" t="b">
        <f t="shared" si="3"/>
        <v>0</v>
      </c>
    </row>
    <row r="139" ht="22.5" customHeight="1">
      <c r="A139" s="12">
        <f t="shared" si="4"/>
        <v>3737</v>
      </c>
      <c r="B139" s="6" t="s">
        <v>11580</v>
      </c>
      <c r="C139" s="7" t="str">
        <f t="shared" si="1"/>
        <v>🔊</v>
      </c>
      <c r="D139" s="8" t="s">
        <v>6982</v>
      </c>
      <c r="E139" s="6" t="s">
        <v>13</v>
      </c>
      <c r="F139" s="12" t="str">
        <f>IFERROR(__xludf.DUMMYFUNCTION("GOOGLETRANSLATE(B139,""zh_cn"",""vi"")"),"bản sao")</f>
        <v>bản sao</v>
      </c>
      <c r="G139" s="12"/>
      <c r="H139" s="6"/>
      <c r="I139" s="11" t="b">
        <f t="shared" si="2"/>
        <v>0</v>
      </c>
      <c r="K139" s="11" t="b">
        <f t="shared" si="3"/>
        <v>0</v>
      </c>
    </row>
    <row r="140" ht="22.5" customHeight="1">
      <c r="A140" s="12">
        <f t="shared" si="4"/>
        <v>3738</v>
      </c>
      <c r="B140" s="6" t="s">
        <v>11581</v>
      </c>
      <c r="C140" s="7" t="str">
        <f t="shared" si="1"/>
        <v>🔊</v>
      </c>
      <c r="D140" s="8" t="s">
        <v>11582</v>
      </c>
      <c r="E140" s="6" t="s">
        <v>27</v>
      </c>
      <c r="F140" s="12" t="str">
        <f>IFERROR(__xludf.DUMMYFUNCTION("GOOGLETRANSLATE(B140,""zh_cn"",""vi"")"),"triều đại")</f>
        <v>triều đại</v>
      </c>
      <c r="G140" s="12"/>
      <c r="H140" s="6"/>
      <c r="I140" s="11" t="b">
        <f t="shared" si="2"/>
        <v>0</v>
      </c>
      <c r="K140" s="11" t="b">
        <f t="shared" si="3"/>
        <v>0</v>
      </c>
    </row>
    <row r="141" ht="22.5" customHeight="1">
      <c r="A141" s="12">
        <f t="shared" si="4"/>
        <v>3739</v>
      </c>
      <c r="B141" s="6" t="s">
        <v>11583</v>
      </c>
      <c r="C141" s="7" t="str">
        <f t="shared" si="1"/>
        <v>🔊</v>
      </c>
      <c r="D141" s="8" t="s">
        <v>11584</v>
      </c>
      <c r="E141" s="6" t="s">
        <v>13</v>
      </c>
      <c r="F141" s="12" t="str">
        <f>IFERROR(__xludf.DUMMYFUNCTION("GOOGLETRANSLATE(B141,""zh_cn"",""vi"")"),"Giao dịch cổ phiếu")</f>
        <v>Giao dịch cổ phiếu</v>
      </c>
      <c r="G141" s="12"/>
      <c r="H141" s="6"/>
      <c r="I141" s="11" t="b">
        <f t="shared" si="2"/>
        <v>0</v>
      </c>
      <c r="K141" s="11" t="b">
        <f t="shared" si="3"/>
        <v>0</v>
      </c>
    </row>
    <row r="142" ht="22.5" customHeight="1">
      <c r="A142" s="12">
        <f t="shared" si="4"/>
        <v>3740</v>
      </c>
      <c r="B142" s="6" t="s">
        <v>11585</v>
      </c>
      <c r="C142" s="7" t="str">
        <f t="shared" si="1"/>
        <v>🔊</v>
      </c>
      <c r="D142" s="8" t="s">
        <v>11586</v>
      </c>
      <c r="E142" s="6" t="s">
        <v>13</v>
      </c>
      <c r="F142" s="12" t="str">
        <f>IFERROR(__xludf.DUMMYFUNCTION("GOOGLETRANSLATE(B142,""zh_cn"",""vi"")"),"cãi nhau")</f>
        <v>cãi nhau</v>
      </c>
      <c r="G142" s="12"/>
      <c r="H142" s="6"/>
      <c r="I142" s="11" t="b">
        <f t="shared" si="2"/>
        <v>0</v>
      </c>
      <c r="K142" s="11" t="b">
        <f t="shared" si="3"/>
        <v>0</v>
      </c>
    </row>
    <row r="143" ht="22.5" customHeight="1">
      <c r="A143" s="12">
        <f t="shared" si="4"/>
        <v>3741</v>
      </c>
      <c r="B143" s="6" t="s">
        <v>11587</v>
      </c>
      <c r="C143" s="7" t="str">
        <f t="shared" si="1"/>
        <v>🔊</v>
      </c>
      <c r="D143" s="8" t="s">
        <v>11588</v>
      </c>
      <c r="E143" s="6" t="s">
        <v>27</v>
      </c>
      <c r="F143" s="12" t="str">
        <f>IFERROR(__xludf.DUMMYFUNCTION("GOOGLETRANSLATE(B143,""zh_cn"",""vi"")"),"xu hướng")</f>
        <v>xu hướng</v>
      </c>
      <c r="G143" s="12"/>
      <c r="H143" s="6"/>
      <c r="I143" s="11" t="b">
        <f t="shared" si="2"/>
        <v>0</v>
      </c>
      <c r="K143" s="11" t="b">
        <f t="shared" si="3"/>
        <v>0</v>
      </c>
    </row>
    <row r="144" ht="22.5" customHeight="1">
      <c r="A144" s="12">
        <f t="shared" si="4"/>
        <v>3742</v>
      </c>
      <c r="B144" s="6" t="s">
        <v>11589</v>
      </c>
      <c r="C144" s="7" t="str">
        <f t="shared" si="1"/>
        <v>🔊</v>
      </c>
      <c r="D144" s="8" t="s">
        <v>11590</v>
      </c>
      <c r="E144" s="6" t="s">
        <v>99</v>
      </c>
      <c r="F144" s="12" t="str">
        <f>IFERROR(__xludf.DUMMYFUNCTION("GOOGLETRANSLATE(B144,""zh_cn"",""vi"")"),"ẩm ướt")</f>
        <v>ẩm ướt</v>
      </c>
      <c r="G144" s="12"/>
      <c r="H144" s="6"/>
      <c r="I144" s="11" t="b">
        <f t="shared" si="2"/>
        <v>0</v>
      </c>
      <c r="K144" s="11" t="b">
        <f t="shared" si="3"/>
        <v>0</v>
      </c>
    </row>
    <row r="145" ht="22.5" customHeight="1">
      <c r="A145" s="12">
        <f t="shared" si="4"/>
        <v>3743</v>
      </c>
      <c r="B145" s="6" t="s">
        <v>11591</v>
      </c>
      <c r="C145" s="7" t="str">
        <f t="shared" si="1"/>
        <v>🔊</v>
      </c>
      <c r="D145" s="8" t="s">
        <v>11592</v>
      </c>
      <c r="E145" s="6" t="s">
        <v>13</v>
      </c>
      <c r="F145" s="12" t="str">
        <f>IFERROR(__xludf.DUMMYFUNCTION("GOOGLETRANSLATE(B145,""zh_cn"",""vi"")"),"cười vào")</f>
        <v>cười vào</v>
      </c>
      <c r="G145" s="12"/>
      <c r="H145" s="6"/>
      <c r="I145" s="11" t="b">
        <f t="shared" si="2"/>
        <v>0</v>
      </c>
      <c r="K145" s="11" t="b">
        <f t="shared" si="3"/>
        <v>0</v>
      </c>
    </row>
    <row r="146" ht="22.5" customHeight="1">
      <c r="A146" s="12">
        <f t="shared" si="4"/>
        <v>3744</v>
      </c>
      <c r="B146" s="6" t="s">
        <v>11593</v>
      </c>
      <c r="C146" s="7" t="str">
        <f t="shared" si="1"/>
        <v>🔊</v>
      </c>
      <c r="D146" s="8" t="s">
        <v>11594</v>
      </c>
      <c r="E146" s="6" t="s">
        <v>13</v>
      </c>
      <c r="F146" s="12" t="str">
        <f>IFERROR(__xludf.DUMMYFUNCTION("GOOGLETRANSLATE(B146,""zh_cn"",""vi"")"),"Vượt ra")</f>
        <v>Vượt ra</v>
      </c>
      <c r="G146" s="12"/>
      <c r="H146" s="6"/>
      <c r="I146" s="11" t="b">
        <f t="shared" si="2"/>
        <v>0</v>
      </c>
      <c r="K146" s="11" t="b">
        <f t="shared" si="3"/>
        <v>0</v>
      </c>
    </row>
    <row r="147" ht="22.5" customHeight="1">
      <c r="A147" s="12">
        <f t="shared" si="4"/>
        <v>3745</v>
      </c>
      <c r="B147" s="6" t="s">
        <v>11595</v>
      </c>
      <c r="C147" s="7" t="str">
        <f t="shared" si="1"/>
        <v>🔊</v>
      </c>
      <c r="D147" s="8" t="s">
        <v>11596</v>
      </c>
      <c r="E147" s="6" t="s">
        <v>13</v>
      </c>
      <c r="F147" s="12" t="str">
        <f>IFERROR(__xludf.DUMMYFUNCTION("GOOGLETRANSLATE(B147,""zh_cn"",""vi"")"),"Truy vấn")</f>
        <v>Truy vấn</v>
      </c>
      <c r="G147" s="12"/>
      <c r="H147" s="6"/>
      <c r="I147" s="11" t="b">
        <f t="shared" si="2"/>
        <v>0</v>
      </c>
      <c r="K147" s="11" t="b">
        <f t="shared" si="3"/>
        <v>0</v>
      </c>
    </row>
    <row r="148" ht="22.5" customHeight="1">
      <c r="A148" s="12">
        <f t="shared" si="4"/>
        <v>3746</v>
      </c>
      <c r="B148" s="6" t="s">
        <v>11597</v>
      </c>
      <c r="C148" s="7" t="str">
        <f t="shared" si="1"/>
        <v>🔊</v>
      </c>
      <c r="D148" s="8" t="s">
        <v>11598</v>
      </c>
      <c r="E148" s="6" t="s">
        <v>27</v>
      </c>
      <c r="F148" s="12" t="str">
        <f>IFERROR(__xludf.DUMMYFUNCTION("GOOGLETRANSLATE(B148,""zh_cn"",""vi"")"),"sự khác biệt")</f>
        <v>sự khác biệt</v>
      </c>
      <c r="G148" s="12"/>
      <c r="H148" s="6"/>
      <c r="I148" s="11" t="b">
        <f t="shared" si="2"/>
        <v>0</v>
      </c>
      <c r="K148" s="11" t="b">
        <f t="shared" si="3"/>
        <v>0</v>
      </c>
    </row>
    <row r="149" ht="22.5" customHeight="1">
      <c r="A149" s="12">
        <f t="shared" si="4"/>
        <v>3747</v>
      </c>
      <c r="B149" s="6" t="s">
        <v>11599</v>
      </c>
      <c r="C149" s="7" t="str">
        <f t="shared" si="1"/>
        <v>🔊</v>
      </c>
      <c r="D149" s="8" t="s">
        <v>11600</v>
      </c>
      <c r="E149" s="6" t="s">
        <v>27</v>
      </c>
      <c r="F149" s="12" t="str">
        <f>IFERROR(__xludf.DUMMYFUNCTION("GOOGLETRANSLATE(B149,""zh_cn"",""vi"")"),"ổ cắm")</f>
        <v>ổ cắm</v>
      </c>
      <c r="G149" s="12"/>
      <c r="H149" s="6"/>
      <c r="I149" s="11" t="b">
        <f t="shared" si="2"/>
        <v>0</v>
      </c>
      <c r="K149" s="11" t="b">
        <f t="shared" si="3"/>
        <v>0</v>
      </c>
    </row>
    <row r="150" ht="22.5" customHeight="1">
      <c r="A150" s="12">
        <f t="shared" si="4"/>
        <v>3748</v>
      </c>
      <c r="B150" s="6" t="s">
        <v>11601</v>
      </c>
      <c r="C150" s="7" t="str">
        <f t="shared" si="1"/>
        <v>🔊</v>
      </c>
      <c r="D150" s="8" t="s">
        <v>11602</v>
      </c>
      <c r="E150" s="6" t="s">
        <v>13</v>
      </c>
      <c r="F150" s="12" t="str">
        <f>IFERROR(__xludf.DUMMYFUNCTION("GOOGLETRANSLATE(B150,""zh_cn"",""vi"")"),"rút")</f>
        <v>rút</v>
      </c>
      <c r="G150" s="12"/>
      <c r="H150" s="6"/>
      <c r="I150" s="11" t="b">
        <f t="shared" si="2"/>
        <v>0</v>
      </c>
      <c r="K150" s="11" t="b">
        <f t="shared" si="3"/>
        <v>0</v>
      </c>
    </row>
    <row r="151" ht="22.5" customHeight="1">
      <c r="A151" s="12">
        <f t="shared" si="4"/>
        <v>3749</v>
      </c>
      <c r="B151" s="6" t="s">
        <v>11603</v>
      </c>
      <c r="C151" s="7" t="str">
        <f t="shared" si="1"/>
        <v>🔊</v>
      </c>
      <c r="D151" s="8" t="s">
        <v>11604</v>
      </c>
      <c r="E151" s="6" t="s">
        <v>1766</v>
      </c>
      <c r="F151" s="12" t="str">
        <f>IFERROR(__xludf.DUMMYFUNCTION("GOOGLETRANSLATE(B151,""zh_cn"",""vi"")"),"tận dụng")</f>
        <v>tận dụng</v>
      </c>
      <c r="G151" s="12"/>
      <c r="H151" s="6"/>
      <c r="I151" s="11" t="b">
        <f t="shared" si="2"/>
        <v>0</v>
      </c>
      <c r="K151" s="11" t="b">
        <f t="shared" si="3"/>
        <v>0</v>
      </c>
    </row>
    <row r="152" ht="22.5" customHeight="1">
      <c r="A152" s="12">
        <f t="shared" si="4"/>
        <v>3750</v>
      </c>
      <c r="B152" s="6" t="s">
        <v>11605</v>
      </c>
      <c r="C152" s="7" t="str">
        <f t="shared" si="1"/>
        <v>🔊</v>
      </c>
      <c r="D152" s="8" t="s">
        <v>3572</v>
      </c>
      <c r="E152" s="6" t="s">
        <v>47</v>
      </c>
      <c r="F152" s="12" t="str">
        <f>IFERROR(__xludf.DUMMYFUNCTION("GOOGLETRANSLATE(B152,""zh_cn"",""vi"")"),"trở nên")</f>
        <v>trở nên</v>
      </c>
      <c r="G152" s="12"/>
      <c r="H152" s="6"/>
      <c r="I152" s="11" t="b">
        <f t="shared" si="2"/>
        <v>0</v>
      </c>
      <c r="K152" s="11" t="b">
        <f t="shared" si="3"/>
        <v>0</v>
      </c>
    </row>
    <row r="153" ht="22.5" customHeight="1">
      <c r="A153" s="12">
        <f t="shared" si="4"/>
        <v>3751</v>
      </c>
      <c r="B153" s="6" t="s">
        <v>11606</v>
      </c>
      <c r="C153" s="7" t="str">
        <f t="shared" si="1"/>
        <v>🔊</v>
      </c>
      <c r="D153" s="8" t="s">
        <v>3572</v>
      </c>
      <c r="E153" s="6" t="s">
        <v>13</v>
      </c>
      <c r="F153" s="12" t="str">
        <f>IFERROR(__xludf.DUMMYFUNCTION("GOOGLETRANSLATE(B153,""zh_cn"",""vi"")"),"Nhân với 2")</f>
        <v>Nhân với 2</v>
      </c>
      <c r="G153" s="12"/>
      <c r="H153" s="6"/>
      <c r="I153" s="11" t="b">
        <f t="shared" si="2"/>
        <v>0</v>
      </c>
      <c r="K153" s="11" t="b">
        <f t="shared" si="3"/>
        <v>0</v>
      </c>
    </row>
    <row r="154" ht="22.5" customHeight="1">
      <c r="A154" s="12">
        <f t="shared" si="4"/>
        <v>3752</v>
      </c>
      <c r="B154" s="6" t="s">
        <v>11607</v>
      </c>
      <c r="C154" s="7" t="str">
        <f t="shared" si="1"/>
        <v>🔊</v>
      </c>
      <c r="D154" s="8" t="s">
        <v>3572</v>
      </c>
      <c r="E154" s="6" t="s">
        <v>13</v>
      </c>
      <c r="F154" s="12" t="str">
        <f>IFERROR(__xludf.DUMMYFUNCTION("GOOGLETRANSLATE(B154,""zh_cn"",""vi"")"),"Sheng")</f>
        <v>Sheng</v>
      </c>
      <c r="G154" s="12"/>
      <c r="H154" s="6"/>
      <c r="I154" s="11" t="b">
        <f t="shared" si="2"/>
        <v>0</v>
      </c>
      <c r="K154" s="11" t="b">
        <f t="shared" si="3"/>
        <v>0</v>
      </c>
    </row>
    <row r="155" ht="22.5" customHeight="1">
      <c r="A155" s="12">
        <f t="shared" si="4"/>
        <v>3753</v>
      </c>
      <c r="B155" s="6" t="s">
        <v>11608</v>
      </c>
      <c r="C155" s="7" t="str">
        <f t="shared" si="1"/>
        <v>🔊</v>
      </c>
      <c r="D155" s="8" t="s">
        <v>7012</v>
      </c>
      <c r="E155" s="6" t="s">
        <v>13</v>
      </c>
      <c r="F155" s="12" t="str">
        <f>IFERROR(__xludf.DUMMYFUNCTION("GOOGLETRANSLATE(B155,""zh_cn"",""vi"")"),"ủng hộ")</f>
        <v>ủng hộ</v>
      </c>
      <c r="G155" s="12"/>
      <c r="H155" s="6"/>
      <c r="I155" s="11" t="b">
        <f t="shared" si="2"/>
        <v>0</v>
      </c>
      <c r="K155" s="11" t="b">
        <f t="shared" si="3"/>
        <v>0</v>
      </c>
    </row>
    <row r="156" ht="22.5" customHeight="1">
      <c r="A156" s="12">
        <f t="shared" si="4"/>
        <v>3754</v>
      </c>
      <c r="B156" s="6" t="s">
        <v>11609</v>
      </c>
      <c r="C156" s="7" t="str">
        <f t="shared" si="1"/>
        <v>🔊</v>
      </c>
      <c r="D156" s="8" t="s">
        <v>11610</v>
      </c>
      <c r="E156" s="6" t="s">
        <v>13</v>
      </c>
      <c r="F156" s="12" t="str">
        <f>IFERROR(__xludf.DUMMYFUNCTION("GOOGLETRANSLATE(B156,""zh_cn"",""vi"")"),"Thực hiện")</f>
        <v>Thực hiện</v>
      </c>
      <c r="G156" s="12"/>
      <c r="H156" s="6"/>
      <c r="I156" s="11" t="b">
        <f t="shared" si="2"/>
        <v>0</v>
      </c>
      <c r="K156" s="11" t="b">
        <f t="shared" si="3"/>
        <v>0</v>
      </c>
    </row>
    <row r="157" ht="22.5" customHeight="1">
      <c r="A157" s="12">
        <f t="shared" si="4"/>
        <v>3755</v>
      </c>
      <c r="B157" s="6" t="s">
        <v>11611</v>
      </c>
      <c r="C157" s="7" t="str">
        <f t="shared" si="1"/>
        <v>🔊</v>
      </c>
      <c r="D157" s="8" t="s">
        <v>11612</v>
      </c>
      <c r="E157" s="6" t="s">
        <v>13</v>
      </c>
      <c r="F157" s="12" t="str">
        <f>IFERROR(__xludf.DUMMYFUNCTION("GOOGLETRANSLATE(B157,""zh_cn"",""vi"")"),"trừng phạt")</f>
        <v>trừng phạt</v>
      </c>
      <c r="G157" s="12"/>
      <c r="H157" s="6"/>
      <c r="I157" s="11" t="b">
        <f t="shared" si="2"/>
        <v>0</v>
      </c>
      <c r="K157" s="11" t="b">
        <f t="shared" si="3"/>
        <v>0</v>
      </c>
    </row>
    <row r="158" ht="22.5" customHeight="1">
      <c r="A158" s="12">
        <f t="shared" si="4"/>
        <v>3756</v>
      </c>
      <c r="B158" s="6" t="s">
        <v>11613</v>
      </c>
      <c r="C158" s="7" t="str">
        <f t="shared" si="1"/>
        <v>🔊</v>
      </c>
      <c r="D158" s="8" t="s">
        <v>11614</v>
      </c>
      <c r="E158" s="6" t="s">
        <v>27</v>
      </c>
      <c r="F158" s="12" t="str">
        <f>IFERROR(__xludf.DUMMYFUNCTION("GOOGLETRANSLATE(B158,""zh_cn"",""vi"")"),"tiêu đề")</f>
        <v>tiêu đề</v>
      </c>
      <c r="G158" s="12"/>
      <c r="H158" s="6"/>
      <c r="I158" s="11" t="b">
        <f t="shared" si="2"/>
        <v>0</v>
      </c>
      <c r="K158" s="11" t="b">
        <f t="shared" si="3"/>
        <v>0</v>
      </c>
    </row>
    <row r="159" ht="22.5" customHeight="1">
      <c r="A159" s="12">
        <f t="shared" si="4"/>
        <v>3757</v>
      </c>
      <c r="B159" s="6" t="s">
        <v>11615</v>
      </c>
      <c r="C159" s="7" t="str">
        <f t="shared" si="1"/>
        <v>🔊</v>
      </c>
      <c r="D159" s="8" t="s">
        <v>11616</v>
      </c>
      <c r="E159" s="6" t="s">
        <v>232</v>
      </c>
      <c r="F159" s="12" t="str">
        <f>IFERROR(__xludf.DUMMYFUNCTION("GOOGLETRANSLATE(B159,""zh_cn"",""vi"")"),"gọi ")</f>
        <v>gọi </v>
      </c>
      <c r="G159" s="12"/>
      <c r="H159" s="6"/>
      <c r="I159" s="11" t="b">
        <f t="shared" si="2"/>
        <v>0</v>
      </c>
      <c r="K159" s="11" t="b">
        <f t="shared" si="3"/>
        <v>0</v>
      </c>
    </row>
    <row r="160" ht="22.5" customHeight="1">
      <c r="A160" s="12">
        <f t="shared" si="4"/>
        <v>3758</v>
      </c>
      <c r="B160" s="6" t="s">
        <v>11617</v>
      </c>
      <c r="C160" s="7" t="str">
        <f t="shared" si="1"/>
        <v>🔊</v>
      </c>
      <c r="D160" s="8" t="s">
        <v>11618</v>
      </c>
      <c r="E160" s="6" t="s">
        <v>13</v>
      </c>
      <c r="F160" s="12" t="str">
        <f>IFERROR(__xludf.DUMMYFUNCTION("GOOGLETRANSLATE(B160,""zh_cn"",""vi"")"),"thỏa thuận")</f>
        <v>thỏa thuận</v>
      </c>
      <c r="G160" s="12"/>
      <c r="H160" s="6"/>
      <c r="I160" s="11" t="b">
        <f t="shared" si="2"/>
        <v>0</v>
      </c>
      <c r="K160" s="11" t="b">
        <f t="shared" si="3"/>
        <v>0</v>
      </c>
    </row>
    <row r="161" ht="22.5" customHeight="1">
      <c r="A161" s="12">
        <f t="shared" si="4"/>
        <v>3759</v>
      </c>
      <c r="B161" s="6" t="s">
        <v>11619</v>
      </c>
      <c r="C161" s="7" t="str">
        <f t="shared" si="1"/>
        <v>🔊</v>
      </c>
      <c r="D161" s="8" t="s">
        <v>11620</v>
      </c>
      <c r="E161" s="6" t="s">
        <v>13</v>
      </c>
      <c r="F161" s="12" t="str">
        <f>IFERROR(__xludf.DUMMYFUNCTION("GOOGLETRANSLATE(B161,""zh_cn"",""vi"")"),"hứa")</f>
        <v>hứa</v>
      </c>
      <c r="G161" s="12"/>
      <c r="H161" s="6"/>
      <c r="I161" s="11" t="b">
        <f t="shared" si="2"/>
        <v>0</v>
      </c>
      <c r="K161" s="11" t="b">
        <f t="shared" si="3"/>
        <v>0</v>
      </c>
    </row>
    <row r="162" ht="22.5" customHeight="1">
      <c r="A162" s="12">
        <f t="shared" si="4"/>
        <v>3760</v>
      </c>
      <c r="B162" s="6" t="s">
        <v>11621</v>
      </c>
      <c r="C162" s="7" t="str">
        <f t="shared" si="1"/>
        <v>🔊</v>
      </c>
      <c r="D162" s="8" t="s">
        <v>11622</v>
      </c>
      <c r="E162" s="14"/>
      <c r="F162" s="12" t="str">
        <f>IFERROR(__xludf.DUMMYFUNCTION("GOOGLETRANSLATE(B162,""zh_cn"",""vi"")"),"Hàng ngàn")</f>
        <v>Hàng ngàn</v>
      </c>
      <c r="G162" s="12"/>
      <c r="H162" s="6"/>
      <c r="I162" s="11" t="b">
        <f t="shared" si="2"/>
        <v>0</v>
      </c>
      <c r="K162" s="11" t="b">
        <f t="shared" si="3"/>
        <v>0</v>
      </c>
    </row>
    <row r="163" ht="22.5" customHeight="1">
      <c r="A163" s="12">
        <f t="shared" si="4"/>
        <v>3761</v>
      </c>
      <c r="B163" s="6" t="s">
        <v>11623</v>
      </c>
      <c r="C163" s="7" t="str">
        <f t="shared" si="1"/>
        <v>🔊</v>
      </c>
      <c r="D163" s="8" t="s">
        <v>11624</v>
      </c>
      <c r="E163" s="6" t="s">
        <v>13</v>
      </c>
      <c r="F163" s="12" t="str">
        <f>IFERROR(__xludf.DUMMYFUNCTION("GOOGLETRANSLATE(B163,""zh_cn"",""vi"")"),"Bài thuyết trình")</f>
        <v>Bài thuyết trình</v>
      </c>
      <c r="G163" s="12"/>
      <c r="H163" s="6"/>
      <c r="I163" s="11" t="b">
        <f t="shared" si="2"/>
        <v>0</v>
      </c>
      <c r="K163" s="11" t="b">
        <f t="shared" si="3"/>
        <v>0</v>
      </c>
    </row>
    <row r="164" ht="22.5" customHeight="1">
      <c r="A164" s="12">
        <f t="shared" si="4"/>
        <v>3762</v>
      </c>
      <c r="B164" s="6" t="s">
        <v>11625</v>
      </c>
      <c r="C164" s="7" t="str">
        <f t="shared" si="1"/>
        <v>🔊</v>
      </c>
      <c r="D164" s="8" t="s">
        <v>11626</v>
      </c>
      <c r="E164" s="6" t="s">
        <v>27</v>
      </c>
      <c r="F164" s="12" t="str">
        <f>IFERROR(__xludf.DUMMYFUNCTION("GOOGLETRANSLATE(B164,""zh_cn"",""vi"")"),"Kết quả")</f>
        <v>Kết quả</v>
      </c>
      <c r="G164" s="12"/>
      <c r="H164" s="6"/>
      <c r="I164" s="11" t="b">
        <f t="shared" si="2"/>
        <v>0</v>
      </c>
      <c r="K164" s="11" t="b">
        <f t="shared" si="3"/>
        <v>0</v>
      </c>
    </row>
    <row r="165" ht="22.5" customHeight="1">
      <c r="A165" s="12">
        <f t="shared" si="4"/>
        <v>3763</v>
      </c>
      <c r="B165" s="6" t="s">
        <v>11627</v>
      </c>
      <c r="C165" s="7" t="str">
        <f t="shared" si="1"/>
        <v>🔊</v>
      </c>
      <c r="D165" s="8" t="s">
        <v>11628</v>
      </c>
      <c r="E165" s="6" t="s">
        <v>99</v>
      </c>
      <c r="F165" s="12" t="str">
        <f>IFERROR(__xludf.DUMMYFUNCTION("GOOGLETRANSLATE(B165,""zh_cn"",""vi"")"),"Sự trung thực")</f>
        <v>Sự trung thực</v>
      </c>
      <c r="G165" s="12"/>
      <c r="H165" s="6"/>
      <c r="I165" s="11" t="b">
        <f t="shared" si="2"/>
        <v>0</v>
      </c>
      <c r="K165" s="11" t="b">
        <f t="shared" si="3"/>
        <v>0</v>
      </c>
    </row>
    <row r="166" ht="22.5" customHeight="1">
      <c r="A166" s="12">
        <f t="shared" si="4"/>
        <v>3764</v>
      </c>
      <c r="B166" s="6" t="s">
        <v>11629</v>
      </c>
      <c r="C166" s="7" t="str">
        <f t="shared" si="1"/>
        <v>🔊</v>
      </c>
      <c r="D166" s="8" t="s">
        <v>11630</v>
      </c>
      <c r="E166" s="6" t="s">
        <v>27</v>
      </c>
      <c r="F166" s="12" t="str">
        <f>IFERROR(__xludf.DUMMYFUNCTION("GOOGLETRANSLATE(B166,""zh_cn"",""vi"")"),"thành ngữ")</f>
        <v>thành ngữ</v>
      </c>
      <c r="G166" s="12"/>
      <c r="H166" s="6"/>
      <c r="I166" s="11" t="b">
        <f t="shared" si="2"/>
        <v>0</v>
      </c>
      <c r="K166" s="11" t="b">
        <f t="shared" si="3"/>
        <v>0</v>
      </c>
    </row>
    <row r="167" ht="22.5" customHeight="1">
      <c r="A167" s="12">
        <f t="shared" si="4"/>
        <v>3765</v>
      </c>
      <c r="B167" s="6" t="s">
        <v>11631</v>
      </c>
      <c r="C167" s="7" t="str">
        <f t="shared" si="1"/>
        <v>🔊</v>
      </c>
      <c r="D167" s="8" t="s">
        <v>11632</v>
      </c>
      <c r="E167" s="6" t="s">
        <v>27</v>
      </c>
      <c r="F167" s="12" t="str">
        <f>IFERROR(__xludf.DUMMYFUNCTION("GOOGLETRANSLATE(B167,""zh_cn"",""vi"")"),"thị trấn")</f>
        <v>thị trấn</v>
      </c>
      <c r="G167" s="12"/>
      <c r="H167" s="6"/>
      <c r="I167" s="11" t="b">
        <f t="shared" si="2"/>
        <v>0</v>
      </c>
      <c r="K167" s="11" t="b">
        <f t="shared" si="3"/>
        <v>0</v>
      </c>
    </row>
    <row r="168" ht="22.5" customHeight="1">
      <c r="A168" s="12">
        <f t="shared" si="4"/>
        <v>3766</v>
      </c>
      <c r="B168" s="6" t="s">
        <v>11633</v>
      </c>
      <c r="C168" s="7" t="str">
        <f t="shared" si="1"/>
        <v>🔊</v>
      </c>
      <c r="D168" s="8" t="s">
        <v>11634</v>
      </c>
      <c r="E168" s="6" t="s">
        <v>13</v>
      </c>
      <c r="F168" s="12" t="str">
        <f>IFERROR(__xludf.DUMMYFUNCTION("GOOGLETRANSLATE(B168,""zh_cn"",""vi"")"),"Gọi điện")</f>
        <v>Gọi điện</v>
      </c>
      <c r="G168" s="12"/>
      <c r="H168" s="6"/>
      <c r="I168" s="11" t="b">
        <f t="shared" si="2"/>
        <v>0</v>
      </c>
      <c r="K168" s="11" t="b">
        <f t="shared" si="3"/>
        <v>0</v>
      </c>
    </row>
    <row r="169" ht="22.5" customHeight="1">
      <c r="A169" s="12">
        <f t="shared" si="4"/>
        <v>3767</v>
      </c>
      <c r="B169" s="6" t="s">
        <v>11635</v>
      </c>
      <c r="C169" s="7" t="str">
        <f t="shared" si="1"/>
        <v>🔊</v>
      </c>
      <c r="D169" s="8" t="s">
        <v>11636</v>
      </c>
      <c r="E169" s="6" t="s">
        <v>99</v>
      </c>
      <c r="F169" s="12" t="str">
        <f>IFERROR(__xludf.DUMMYFUNCTION("GOOGLETRANSLATE(B169,""zh_cn"",""vi"")"),"nặng")</f>
        <v>nặng</v>
      </c>
      <c r="G169" s="12"/>
      <c r="H169" s="6"/>
      <c r="I169" s="11" t="b">
        <f t="shared" si="2"/>
        <v>0</v>
      </c>
      <c r="K169" s="11" t="b">
        <f t="shared" si="3"/>
        <v>0</v>
      </c>
    </row>
    <row r="170" ht="22.5" customHeight="1">
      <c r="A170" s="12">
        <f t="shared" si="4"/>
        <v>3768</v>
      </c>
      <c r="B170" s="6" t="s">
        <v>11637</v>
      </c>
      <c r="C170" s="7" t="str">
        <f t="shared" si="1"/>
        <v>🔊</v>
      </c>
      <c r="D170" s="8" t="s">
        <v>11638</v>
      </c>
      <c r="E170" s="6" t="s">
        <v>13</v>
      </c>
      <c r="F170" s="12" t="str">
        <f>IFERROR(__xludf.DUMMYFUNCTION("GOOGLETRANSLATE(B170,""zh_cn"",""vi"")"),"Hủy bỏ")</f>
        <v>Hủy bỏ</v>
      </c>
      <c r="G170" s="12"/>
      <c r="H170" s="6"/>
      <c r="I170" s="11" t="b">
        <f t="shared" si="2"/>
        <v>0</v>
      </c>
      <c r="K170" s="11" t="b">
        <f t="shared" si="3"/>
        <v>0</v>
      </c>
    </row>
    <row r="171" ht="22.5" customHeight="1">
      <c r="A171" s="12">
        <f t="shared" si="4"/>
        <v>3769</v>
      </c>
      <c r="B171" s="6" t="s">
        <v>11639</v>
      </c>
      <c r="C171" s="7" t="str">
        <f t="shared" si="1"/>
        <v>🔊</v>
      </c>
      <c r="D171" s="8" t="s">
        <v>11640</v>
      </c>
      <c r="E171" s="6" t="s">
        <v>9278</v>
      </c>
      <c r="F171" s="12" t="str">
        <f>IFERROR(__xludf.DUMMYFUNCTION("GOOGLETRANSLATE(B171,""zh_cn"",""vi"")"),"cái thước kẻ")</f>
        <v>cái thước kẻ</v>
      </c>
      <c r="G171" s="12"/>
      <c r="H171" s="6"/>
      <c r="I171" s="11" t="b">
        <f t="shared" si="2"/>
        <v>0</v>
      </c>
      <c r="K171" s="11" t="b">
        <f t="shared" si="3"/>
        <v>0</v>
      </c>
    </row>
    <row r="172" ht="22.5" customHeight="1">
      <c r="A172" s="12">
        <f t="shared" si="4"/>
        <v>3770</v>
      </c>
      <c r="B172" s="6" t="s">
        <v>11641</v>
      </c>
      <c r="C172" s="7" t="str">
        <f t="shared" si="1"/>
        <v>🔊</v>
      </c>
      <c r="D172" s="8" t="s">
        <v>11642</v>
      </c>
      <c r="E172" s="6" t="s">
        <v>27</v>
      </c>
      <c r="F172" s="12" t="str">
        <f>IFERROR(__xludf.DUMMYFUNCTION("GOOGLETRANSLATE(B172,""zh_cn"",""vi"")"),"kích cỡ")</f>
        <v>kích cỡ</v>
      </c>
      <c r="G172" s="12"/>
      <c r="H172" s="6"/>
      <c r="I172" s="11" t="b">
        <f t="shared" si="2"/>
        <v>0</v>
      </c>
      <c r="K172" s="11" t="b">
        <f t="shared" si="3"/>
        <v>0</v>
      </c>
    </row>
    <row r="173" ht="22.5" customHeight="1">
      <c r="A173" s="12">
        <f t="shared" si="4"/>
        <v>3771</v>
      </c>
      <c r="B173" s="6" t="s">
        <v>11643</v>
      </c>
      <c r="C173" s="7" t="str">
        <f t="shared" si="1"/>
        <v>🔊</v>
      </c>
      <c r="D173" s="8" t="s">
        <v>11644</v>
      </c>
      <c r="E173" s="6" t="s">
        <v>99</v>
      </c>
      <c r="F173" s="12" t="str">
        <f>IFERROR(__xludf.DUMMYFUNCTION("GOOGLETRANSLATE(B173,""zh_cn"",""vi"")"),"lâu dài")</f>
        <v>lâu dài</v>
      </c>
      <c r="G173" s="12"/>
      <c r="H173" s="6"/>
      <c r="I173" s="11" t="b">
        <f t="shared" si="2"/>
        <v>0</v>
      </c>
      <c r="K173" s="11" t="b">
        <f t="shared" si="3"/>
        <v>0</v>
      </c>
    </row>
    <row r="174" ht="22.5" customHeight="1">
      <c r="A174" s="12">
        <f t="shared" si="4"/>
        <v>3772</v>
      </c>
      <c r="B174" s="6" t="s">
        <v>11645</v>
      </c>
      <c r="C174" s="7" t="str">
        <f t="shared" si="1"/>
        <v>🔊</v>
      </c>
      <c r="D174" s="8" t="s">
        <v>11646</v>
      </c>
      <c r="E174" s="6" t="s">
        <v>13</v>
      </c>
      <c r="F174" s="12" t="str">
        <f>IFERROR(__xludf.DUMMYFUNCTION("GOOGLETRANSLATE(B174,""zh_cn"",""vi"")"),"giữ")</f>
        <v>giữ</v>
      </c>
      <c r="G174" s="12"/>
      <c r="H174" s="6"/>
      <c r="I174" s="11" t="b">
        <f t="shared" si="2"/>
        <v>0</v>
      </c>
      <c r="K174" s="11" t="b">
        <f t="shared" si="3"/>
        <v>0</v>
      </c>
    </row>
    <row r="175" ht="22.5" customHeight="1">
      <c r="A175" s="12">
        <f t="shared" si="4"/>
        <v>3773</v>
      </c>
      <c r="B175" s="6" t="s">
        <v>7096</v>
      </c>
      <c r="C175" s="7" t="str">
        <f t="shared" si="1"/>
        <v>🔊</v>
      </c>
      <c r="D175" s="8" t="s">
        <v>11647</v>
      </c>
      <c r="E175" s="6" t="s">
        <v>1054</v>
      </c>
      <c r="F175" s="12" t="str">
        <f>IFERROR(__xludf.DUMMYFUNCTION("GOOGLETRANSLATE(B175,""zh_cn"",""vi"")"),"cây bấc")</f>
        <v>cây bấc</v>
      </c>
      <c r="G175" s="12"/>
      <c r="H175" s="6"/>
      <c r="I175" s="11" t="b">
        <f t="shared" si="2"/>
        <v>0</v>
      </c>
      <c r="K175" s="11" t="b">
        <f t="shared" si="3"/>
        <v>0</v>
      </c>
    </row>
    <row r="176" ht="22.5" customHeight="1">
      <c r="A176" s="12">
        <f t="shared" si="4"/>
        <v>3774</v>
      </c>
      <c r="B176" s="6" t="s">
        <v>11648</v>
      </c>
      <c r="C176" s="7" t="str">
        <f t="shared" si="1"/>
        <v>🔊</v>
      </c>
      <c r="D176" s="8" t="s">
        <v>11649</v>
      </c>
      <c r="E176" s="6" t="s">
        <v>13</v>
      </c>
      <c r="F176" s="12" t="str">
        <f>IFERROR(__xludf.DUMMYFUNCTION("GOOGLETRANSLATE(B176,""zh_cn"",""vi"")"),"tôn thờ")</f>
        <v>tôn thờ</v>
      </c>
      <c r="G176" s="12"/>
      <c r="H176" s="6"/>
      <c r="I176" s="11" t="b">
        <f t="shared" si="2"/>
        <v>0</v>
      </c>
      <c r="K176" s="11" t="b">
        <f t="shared" si="3"/>
        <v>0</v>
      </c>
    </row>
    <row r="177" ht="22.5" customHeight="1">
      <c r="A177" s="12">
        <f t="shared" si="4"/>
        <v>3775</v>
      </c>
      <c r="B177" s="6" t="s">
        <v>11650</v>
      </c>
      <c r="C177" s="7" t="str">
        <f t="shared" si="1"/>
        <v>🔊</v>
      </c>
      <c r="D177" s="8" t="s">
        <v>11651</v>
      </c>
      <c r="E177" s="6" t="s">
        <v>3430</v>
      </c>
      <c r="F177" s="12" t="str">
        <f>IFERROR(__xludf.DUMMYFUNCTION("GOOGLETRANSLATE(B177,""zh_cn"",""vi"")"),"xung lực")</f>
        <v>xung lực</v>
      </c>
      <c r="G177" s="12"/>
      <c r="H177" s="6"/>
      <c r="I177" s="11" t="b">
        <f t="shared" si="2"/>
        <v>0</v>
      </c>
      <c r="K177" s="11" t="b">
        <f t="shared" si="3"/>
        <v>0</v>
      </c>
    </row>
    <row r="178" ht="22.5" customHeight="1">
      <c r="A178" s="12">
        <f t="shared" si="4"/>
        <v>3776</v>
      </c>
      <c r="B178" s="6" t="s">
        <v>11652</v>
      </c>
      <c r="C178" s="7" t="str">
        <f t="shared" si="1"/>
        <v>🔊</v>
      </c>
      <c r="D178" s="8" t="s">
        <v>11653</v>
      </c>
      <c r="E178" s="6" t="s">
        <v>13</v>
      </c>
      <c r="F178" s="12" t="str">
        <f>IFERROR(__xludf.DUMMYFUNCTION("GOOGLETRANSLATE(B178,""zh_cn"",""vi"")"),"Sự va chạm")</f>
        <v>Sự va chạm</v>
      </c>
      <c r="G178" s="12"/>
      <c r="H178" s="6"/>
      <c r="I178" s="11" t="b">
        <f t="shared" si="2"/>
        <v>0</v>
      </c>
      <c r="K178" s="11" t="b">
        <f t="shared" si="3"/>
        <v>0</v>
      </c>
    </row>
    <row r="179" ht="22.5" customHeight="1">
      <c r="A179" s="12">
        <f t="shared" si="4"/>
        <v>3777</v>
      </c>
      <c r="B179" s="6" t="s">
        <v>11654</v>
      </c>
      <c r="C179" s="7" t="str">
        <f t="shared" si="1"/>
        <v>🔊</v>
      </c>
      <c r="D179" s="8" t="s">
        <v>11655</v>
      </c>
      <c r="E179" s="6" t="s">
        <v>13</v>
      </c>
      <c r="F179" s="12" t="str">
        <f>IFERROR(__xludf.DUMMYFUNCTION("GOOGLETRANSLATE(B179,""zh_cn"",""vi"")"),"tái thiết")</f>
        <v>tái thiết</v>
      </c>
      <c r="G179" s="12"/>
      <c r="H179" s="6"/>
      <c r="I179" s="11" t="b">
        <f t="shared" si="2"/>
        <v>0</v>
      </c>
      <c r="K179" s="11" t="b">
        <f t="shared" si="3"/>
        <v>0</v>
      </c>
    </row>
    <row r="180" ht="22.5" customHeight="1">
      <c r="A180" s="12">
        <f t="shared" si="4"/>
        <v>3778</v>
      </c>
      <c r="B180" s="6" t="s">
        <v>11656</v>
      </c>
      <c r="C180" s="7" t="str">
        <f t="shared" si="1"/>
        <v>🔊</v>
      </c>
      <c r="D180" s="8" t="s">
        <v>11657</v>
      </c>
      <c r="E180" s="6" t="s">
        <v>416</v>
      </c>
      <c r="F180" s="12" t="str">
        <f>IFERROR(__xludf.DUMMYFUNCTION("GOOGLETRANSLATE(B180,""zh_cn"",""vi"")"),"Làm giàu")</f>
        <v>Làm giàu</v>
      </c>
      <c r="G180" s="12"/>
      <c r="H180" s="6"/>
      <c r="I180" s="11" t="b">
        <f t="shared" si="2"/>
        <v>0</v>
      </c>
      <c r="K180" s="11" t="b">
        <f t="shared" si="3"/>
        <v>0</v>
      </c>
    </row>
    <row r="181" ht="22.5" customHeight="1">
      <c r="A181" s="12">
        <f t="shared" si="4"/>
        <v>3779</v>
      </c>
      <c r="B181" s="6" t="s">
        <v>11658</v>
      </c>
      <c r="C181" s="7" t="str">
        <f t="shared" si="1"/>
        <v>🔊</v>
      </c>
      <c r="D181" s="8" t="s">
        <v>11659</v>
      </c>
      <c r="E181" s="6" t="s">
        <v>13</v>
      </c>
      <c r="F181" s="12" t="str">
        <f>IFERROR(__xludf.DUMMYFUNCTION("GOOGLETRANSLATE(B181,""zh_cn"",""vi"")"),"xung đột")</f>
        <v>xung đột</v>
      </c>
      <c r="G181" s="12"/>
      <c r="H181" s="6"/>
      <c r="I181" s="11" t="b">
        <f t="shared" si="2"/>
        <v>0</v>
      </c>
      <c r="K181" s="11" t="b">
        <f t="shared" si="3"/>
        <v>0</v>
      </c>
    </row>
    <row r="182" ht="22.5" customHeight="1">
      <c r="A182" s="12">
        <f t="shared" si="4"/>
        <v>3780</v>
      </c>
      <c r="B182" s="6" t="s">
        <v>11660</v>
      </c>
      <c r="C182" s="7" t="str">
        <f t="shared" si="1"/>
        <v>🔊</v>
      </c>
      <c r="D182" s="8" t="s">
        <v>11661</v>
      </c>
      <c r="E182" s="6" t="s">
        <v>13</v>
      </c>
      <c r="F182" s="12" t="str">
        <f>IFERROR(__xludf.DUMMYFUNCTION("GOOGLETRANSLATE(B182,""zh_cn"",""vi"")"),"lo lắng")</f>
        <v>lo lắng</v>
      </c>
      <c r="G182" s="12"/>
      <c r="H182" s="6"/>
      <c r="I182" s="11" t="b">
        <f t="shared" si="2"/>
        <v>0</v>
      </c>
      <c r="K182" s="11" t="b">
        <f t="shared" si="3"/>
        <v>0</v>
      </c>
    </row>
    <row r="183" ht="22.5" customHeight="1">
      <c r="A183" s="12">
        <f t="shared" si="4"/>
        <v>3781</v>
      </c>
      <c r="B183" s="6" t="s">
        <v>11662</v>
      </c>
      <c r="C183" s="7" t="str">
        <f t="shared" si="1"/>
        <v>🔊</v>
      </c>
      <c r="D183" s="8" t="s">
        <v>11663</v>
      </c>
      <c r="E183" s="6" t="s">
        <v>13</v>
      </c>
      <c r="F183" s="12" t="str">
        <f>IFERROR(__xludf.DUMMYFUNCTION("GOOGLETRANSLATE(B183,""zh_cn"",""vi"")"),"Sự chuẩn bị")</f>
        <v>Sự chuẩn bị</v>
      </c>
      <c r="G183" s="12"/>
      <c r="H183" s="6"/>
      <c r="I183" s="11" t="b">
        <f t="shared" si="2"/>
        <v>0</v>
      </c>
      <c r="K183" s="11" t="b">
        <f t="shared" si="3"/>
        <v>0</v>
      </c>
    </row>
    <row r="184" ht="22.5" customHeight="1">
      <c r="A184" s="12">
        <f t="shared" si="4"/>
        <v>3782</v>
      </c>
      <c r="B184" s="6" t="s">
        <v>11664</v>
      </c>
      <c r="C184" s="7" t="str">
        <f t="shared" si="1"/>
        <v>🔊</v>
      </c>
      <c r="D184" s="8" t="s">
        <v>11665</v>
      </c>
      <c r="E184" s="6" t="s">
        <v>13</v>
      </c>
      <c r="F184" s="12" t="str">
        <f>IFERROR(__xludf.DUMMYFUNCTION("GOOGLETRANSLATE(B184,""zh_cn"",""vi"")"),"xổ số")</f>
        <v>xổ số</v>
      </c>
      <c r="G184" s="12"/>
      <c r="H184" s="6"/>
      <c r="I184" s="11" t="b">
        <f t="shared" si="2"/>
        <v>0</v>
      </c>
      <c r="K184" s="11" t="b">
        <f t="shared" si="3"/>
        <v>0</v>
      </c>
    </row>
    <row r="185" ht="22.5" customHeight="1">
      <c r="A185" s="12">
        <f t="shared" si="4"/>
        <v>3783</v>
      </c>
      <c r="B185" s="6" t="s">
        <v>11666</v>
      </c>
      <c r="C185" s="7" t="str">
        <f t="shared" si="1"/>
        <v>🔊</v>
      </c>
      <c r="D185" s="8" t="s">
        <v>11667</v>
      </c>
      <c r="E185" s="6" t="s">
        <v>99</v>
      </c>
      <c r="F185" s="12" t="str">
        <f>IFERROR(__xludf.DUMMYFUNCTION("GOOGLETRANSLATE(B185,""zh_cn"",""vi"")"),"tóm tắt")</f>
        <v>tóm tắt</v>
      </c>
      <c r="G185" s="12"/>
      <c r="H185" s="6"/>
      <c r="I185" s="11" t="b">
        <f t="shared" si="2"/>
        <v>0</v>
      </c>
      <c r="K185" s="11" t="b">
        <f t="shared" si="3"/>
        <v>0</v>
      </c>
    </row>
    <row r="186" ht="22.5" customHeight="1">
      <c r="A186" s="12">
        <f t="shared" si="4"/>
        <v>3784</v>
      </c>
      <c r="B186" s="6" t="s">
        <v>11668</v>
      </c>
      <c r="C186" s="7" t="str">
        <f t="shared" si="1"/>
        <v>🔊</v>
      </c>
      <c r="D186" s="8" t="s">
        <v>11669</v>
      </c>
      <c r="E186" s="6" t="s">
        <v>1054</v>
      </c>
      <c r="F186" s="12" t="str">
        <f>IFERROR(__xludf.DUMMYFUNCTION("GOOGLETRANSLATE(B186,""zh_cn"",""vi"")"),"di dời")</f>
        <v>di dời</v>
      </c>
      <c r="G186" s="12"/>
      <c r="H186" s="6"/>
      <c r="I186" s="11" t="b">
        <f t="shared" si="2"/>
        <v>0</v>
      </c>
      <c r="K186" s="11" t="b">
        <f t="shared" si="3"/>
        <v>0</v>
      </c>
    </row>
    <row r="187" ht="22.5" customHeight="1">
      <c r="A187" s="12">
        <f t="shared" si="4"/>
        <v>3785</v>
      </c>
      <c r="B187" s="6" t="s">
        <v>11670</v>
      </c>
      <c r="C187" s="7" t="str">
        <f t="shared" si="1"/>
        <v>🔊</v>
      </c>
      <c r="D187" s="8" t="s">
        <v>11671</v>
      </c>
      <c r="E187" s="6" t="s">
        <v>259</v>
      </c>
      <c r="F187" s="12" t="str">
        <f>IFERROR(__xludf.DUMMYFUNCTION("GOOGLETRANSLATE(B187,""zh_cn"",""vi"")"),"sợi dây")</f>
        <v>sợi dây</v>
      </c>
      <c r="G187" s="12"/>
      <c r="H187" s="6"/>
      <c r="I187" s="11" t="b">
        <f t="shared" si="2"/>
        <v>0</v>
      </c>
      <c r="K187" s="11" t="b">
        <f t="shared" si="3"/>
        <v>0</v>
      </c>
    </row>
    <row r="188" ht="22.5" customHeight="1">
      <c r="A188" s="12">
        <f t="shared" si="4"/>
        <v>3786</v>
      </c>
      <c r="B188" s="6" t="s">
        <v>11672</v>
      </c>
      <c r="C188" s="7" t="str">
        <f t="shared" si="1"/>
        <v>🔊</v>
      </c>
      <c r="D188" s="8" t="s">
        <v>11673</v>
      </c>
      <c r="E188" s="6" t="s">
        <v>13</v>
      </c>
      <c r="F188" s="12" t="str">
        <f>IFERROR(__xludf.DUMMYFUNCTION("GOOGLETRANSLATE(B188,""zh_cn"",""vi"")"),"Sự thừa kế")</f>
        <v>Sự thừa kế</v>
      </c>
      <c r="G188" s="12"/>
      <c r="H188" s="6"/>
      <c r="I188" s="11" t="b">
        <f t="shared" si="2"/>
        <v>0</v>
      </c>
      <c r="K188" s="11" t="b">
        <f t="shared" si="3"/>
        <v>0</v>
      </c>
    </row>
    <row r="189" ht="22.5" customHeight="1">
      <c r="A189" s="12">
        <f t="shared" si="4"/>
        <v>3787</v>
      </c>
      <c r="B189" s="6" t="s">
        <v>11674</v>
      </c>
      <c r="C189" s="7" t="str">
        <f t="shared" si="1"/>
        <v>🔊</v>
      </c>
      <c r="D189" s="8" t="s">
        <v>11675</v>
      </c>
      <c r="E189" s="6" t="s">
        <v>13</v>
      </c>
      <c r="F189" s="12" t="str">
        <f>IFERROR(__xludf.DUMMYFUNCTION("GOOGLETRANSLATE(B189,""zh_cn"",""vi"")"),"truyền đạt")</f>
        <v>truyền đạt</v>
      </c>
      <c r="G189" s="12"/>
      <c r="H189" s="6"/>
      <c r="I189" s="11" t="b">
        <f t="shared" si="2"/>
        <v>0</v>
      </c>
      <c r="K189" s="11" t="b">
        <f t="shared" si="3"/>
        <v>0</v>
      </c>
    </row>
    <row r="190" ht="22.5" customHeight="1">
      <c r="A190" s="12">
        <f t="shared" si="4"/>
        <v>3788</v>
      </c>
      <c r="B190" s="6" t="s">
        <v>11676</v>
      </c>
      <c r="C190" s="7" t="str">
        <f t="shared" si="1"/>
        <v>🔊</v>
      </c>
      <c r="D190" s="8" t="s">
        <v>11677</v>
      </c>
      <c r="E190" s="6" t="s">
        <v>13</v>
      </c>
      <c r="F190" s="12" t="str">
        <f>IFERROR(__xludf.DUMMYFUNCTION("GOOGLETRANSLATE(B190,""zh_cn"",""vi"")"),"Phá vỡ")</f>
        <v>Phá vỡ</v>
      </c>
      <c r="G190" s="12"/>
      <c r="H190" s="6"/>
      <c r="I190" s="11" t="b">
        <f t="shared" si="2"/>
        <v>0</v>
      </c>
      <c r="K190" s="11" t="b">
        <f t="shared" si="3"/>
        <v>0</v>
      </c>
    </row>
    <row r="191" ht="22.5" customHeight="1">
      <c r="A191" s="12">
        <f t="shared" si="4"/>
        <v>3789</v>
      </c>
      <c r="B191" s="6" t="s">
        <v>11678</v>
      </c>
      <c r="C191" s="7" t="str">
        <f t="shared" si="1"/>
        <v>🔊</v>
      </c>
      <c r="D191" s="8" t="s">
        <v>11679</v>
      </c>
      <c r="E191" s="6" t="s">
        <v>13</v>
      </c>
      <c r="F191" s="12" t="str">
        <f>IFERROR(__xludf.DUMMYFUNCTION("GOOGLETRANSLATE(B191,""zh_cn"",""vi"")"),"Thành lập")</f>
        <v>Thành lập</v>
      </c>
      <c r="G191" s="12"/>
      <c r="H191" s="6"/>
      <c r="I191" s="11" t="b">
        <f t="shared" si="2"/>
        <v>0</v>
      </c>
      <c r="K191" s="11" t="b">
        <f t="shared" si="3"/>
        <v>0</v>
      </c>
    </row>
    <row r="192" ht="22.5" customHeight="1">
      <c r="A192" s="12">
        <f t="shared" si="4"/>
        <v>3790</v>
      </c>
      <c r="B192" s="6" t="s">
        <v>11680</v>
      </c>
      <c r="C192" s="7" t="str">
        <f t="shared" si="1"/>
        <v>🔊</v>
      </c>
      <c r="D192" s="8" t="s">
        <v>11681</v>
      </c>
      <c r="E192" s="6" t="s">
        <v>13</v>
      </c>
      <c r="F192" s="12" t="str">
        <f>IFERROR(__xludf.DUMMYFUNCTION("GOOGLETRANSLATE(B192,""zh_cn"",""vi"")"),"tạo nên")</f>
        <v>tạo nên</v>
      </c>
      <c r="G192" s="12"/>
      <c r="H192" s="6"/>
      <c r="I192" s="11" t="b">
        <f t="shared" si="2"/>
        <v>0</v>
      </c>
      <c r="K192" s="11" t="b">
        <f t="shared" si="3"/>
        <v>0</v>
      </c>
    </row>
    <row r="193" ht="22.5" customHeight="1">
      <c r="A193" s="12">
        <f t="shared" si="4"/>
        <v>3791</v>
      </c>
      <c r="B193" s="6" t="s">
        <v>11682</v>
      </c>
      <c r="C193" s="7" t="str">
        <f t="shared" si="1"/>
        <v>🔊</v>
      </c>
      <c r="D193" s="8" t="s">
        <v>11683</v>
      </c>
      <c r="E193" s="6" t="s">
        <v>27</v>
      </c>
      <c r="F193" s="12" t="str">
        <f>IFERROR(__xludf.DUMMYFUNCTION("GOOGLETRANSLATE(B193,""zh_cn"",""vi"")"),"cửa sổ")</f>
        <v>cửa sổ</v>
      </c>
      <c r="G193" s="12"/>
      <c r="H193" s="6"/>
      <c r="I193" s="11" t="b">
        <f t="shared" si="2"/>
        <v>0</v>
      </c>
      <c r="K193" s="11" t="b">
        <f t="shared" si="3"/>
        <v>0</v>
      </c>
    </row>
    <row r="194" ht="22.5" customHeight="1">
      <c r="A194" s="12">
        <f t="shared" si="4"/>
        <v>3792</v>
      </c>
      <c r="B194" s="6" t="s">
        <v>11684</v>
      </c>
      <c r="C194" s="7" t="str">
        <f t="shared" si="1"/>
        <v>🔊</v>
      </c>
      <c r="D194" s="8" t="s">
        <v>11685</v>
      </c>
      <c r="E194" s="6" t="s">
        <v>13</v>
      </c>
      <c r="F194" s="12" t="str">
        <f>IFERROR(__xludf.DUMMYFUNCTION("GOOGLETRANSLATE(B194,""zh_cn"",""vi"")"),"Thành lập")</f>
        <v>Thành lập</v>
      </c>
      <c r="G194" s="12"/>
      <c r="H194" s="6"/>
      <c r="I194" s="11" t="b">
        <f t="shared" si="2"/>
        <v>0</v>
      </c>
      <c r="K194" s="11" t="b">
        <f t="shared" si="3"/>
        <v>0</v>
      </c>
    </row>
    <row r="195" ht="22.5" customHeight="1">
      <c r="A195" s="12">
        <f t="shared" si="4"/>
        <v>3793</v>
      </c>
      <c r="B195" s="6" t="s">
        <v>11686</v>
      </c>
      <c r="C195" s="7" t="str">
        <f t="shared" si="1"/>
        <v>🔊</v>
      </c>
      <c r="D195" s="8" t="s">
        <v>11687</v>
      </c>
      <c r="E195" s="6" t="s">
        <v>13</v>
      </c>
      <c r="F195" s="12" t="str">
        <f>IFERROR(__xludf.DUMMYFUNCTION("GOOGLETRANSLATE(B195,""zh_cn"",""vi"")"),"Đi qua")</f>
        <v>Đi qua</v>
      </c>
      <c r="G195" s="12"/>
      <c r="H195" s="6"/>
      <c r="I195" s="11" t="b">
        <f t="shared" si="2"/>
        <v>0</v>
      </c>
      <c r="K195" s="11" t="b">
        <f t="shared" si="3"/>
        <v>0</v>
      </c>
    </row>
    <row r="196" ht="22.5" customHeight="1">
      <c r="A196" s="12">
        <f t="shared" si="4"/>
        <v>3794</v>
      </c>
      <c r="B196" s="6" t="s">
        <v>11688</v>
      </c>
      <c r="C196" s="7" t="str">
        <f t="shared" si="1"/>
        <v>🔊</v>
      </c>
      <c r="D196" s="8" t="s">
        <v>11689</v>
      </c>
      <c r="E196" s="6" t="s">
        <v>57</v>
      </c>
      <c r="F196" s="12" t="str">
        <f>IFERROR(__xludf.DUMMYFUNCTION("GOOGLETRANSLATE(B196,""zh_cn"",""vi"")"),"Sự sáng tạo")</f>
        <v>Sự sáng tạo</v>
      </c>
      <c r="G196" s="12"/>
      <c r="H196" s="6"/>
      <c r="I196" s="11" t="b">
        <f t="shared" si="2"/>
        <v>0</v>
      </c>
      <c r="K196" s="11" t="b">
        <f t="shared" si="3"/>
        <v>0</v>
      </c>
    </row>
    <row r="197" ht="22.5" customHeight="1">
      <c r="A197" s="12">
        <f t="shared" si="4"/>
        <v>3795</v>
      </c>
      <c r="B197" s="6" t="s">
        <v>11690</v>
      </c>
      <c r="C197" s="7" t="str">
        <f t="shared" si="1"/>
        <v>🔊</v>
      </c>
      <c r="D197" s="8" t="s">
        <v>11691</v>
      </c>
      <c r="E197" s="6" t="s">
        <v>13</v>
      </c>
      <c r="F197" s="12" t="str">
        <f>IFERROR(__xludf.DUMMYFUNCTION("GOOGLETRANSLATE(B197,""zh_cn"",""vi"")"),"lây nhiễm")</f>
        <v>lây nhiễm</v>
      </c>
      <c r="G197" s="12"/>
      <c r="H197" s="6"/>
      <c r="I197" s="11" t="b">
        <f t="shared" si="2"/>
        <v>0</v>
      </c>
      <c r="K197" s="11" t="b">
        <f t="shared" si="3"/>
        <v>0</v>
      </c>
    </row>
    <row r="198" ht="22.5" customHeight="1">
      <c r="A198" s="12">
        <f t="shared" si="4"/>
        <v>3796</v>
      </c>
      <c r="B198" s="6" t="s">
        <v>11692</v>
      </c>
      <c r="C198" s="7" t="str">
        <f t="shared" si="1"/>
        <v>🔊</v>
      </c>
      <c r="D198" s="8" t="s">
        <v>11693</v>
      </c>
      <c r="E198" s="6" t="s">
        <v>27</v>
      </c>
      <c r="F198" s="12" t="str">
        <f>IFERROR(__xludf.DUMMYFUNCTION("GOOGLETRANSLATE(B198,""zh_cn"",""vi"")"),"bệnh truyền nhiễm")</f>
        <v>bệnh truyền nhiễm</v>
      </c>
      <c r="G198" s="12"/>
      <c r="H198" s="6"/>
      <c r="I198" s="11" t="b">
        <f t="shared" si="2"/>
        <v>0</v>
      </c>
      <c r="K198" s="11" t="b">
        <f t="shared" si="3"/>
        <v>0</v>
      </c>
    </row>
    <row r="199" ht="22.5" customHeight="1">
      <c r="A199" s="12">
        <f t="shared" si="4"/>
        <v>3797</v>
      </c>
      <c r="B199" s="6" t="s">
        <v>11694</v>
      </c>
      <c r="C199" s="7" t="str">
        <f t="shared" si="1"/>
        <v>🔊</v>
      </c>
      <c r="D199" s="8" t="s">
        <v>11695</v>
      </c>
      <c r="E199" s="6" t="s">
        <v>13</v>
      </c>
      <c r="F199" s="12" t="str">
        <f>IFERROR(__xludf.DUMMYFUNCTION("GOOGLETRANSLATE(B199,""zh_cn"",""vi"")"),"dạy bảo")</f>
        <v>dạy bảo</v>
      </c>
      <c r="G199" s="12"/>
      <c r="H199" s="6"/>
      <c r="I199" s="11" t="b">
        <f t="shared" si="2"/>
        <v>0</v>
      </c>
      <c r="K199" s="11" t="b">
        <f t="shared" si="3"/>
        <v>0</v>
      </c>
    </row>
    <row r="200" ht="22.5" customHeight="1">
      <c r="A200" s="12">
        <f t="shared" si="4"/>
        <v>3798</v>
      </c>
      <c r="B200" s="6" t="s">
        <v>11696</v>
      </c>
      <c r="C200" s="7" t="str">
        <f t="shared" si="1"/>
        <v>🔊</v>
      </c>
      <c r="D200" s="8" t="s">
        <v>11697</v>
      </c>
      <c r="E200" s="6" t="s">
        <v>13</v>
      </c>
      <c r="F200" s="12" t="str">
        <f>IFERROR(__xludf.DUMMYFUNCTION("GOOGLETRANSLATE(B200,""zh_cn"",""vi"")"),"quá trình lây truyền")</f>
        <v>quá trình lây truyền</v>
      </c>
      <c r="G200" s="12"/>
      <c r="H200" s="6"/>
      <c r="I200" s="11" t="b">
        <f t="shared" si="2"/>
        <v>0</v>
      </c>
      <c r="K200" s="11" t="b">
        <f t="shared" si="3"/>
        <v>0</v>
      </c>
    </row>
    <row r="201" ht="22.5" customHeight="1">
      <c r="A201" s="12">
        <f t="shared" si="4"/>
        <v>3799</v>
      </c>
      <c r="B201" s="6" t="s">
        <v>11698</v>
      </c>
      <c r="C201" s="7" t="str">
        <f t="shared" si="1"/>
        <v>🔊</v>
      </c>
      <c r="D201" s="8" t="s">
        <v>11699</v>
      </c>
      <c r="E201" s="6" t="s">
        <v>27</v>
      </c>
      <c r="F201" s="12" t="str">
        <f>IFERROR(__xludf.DUMMYFUNCTION("GOOGLETRANSLATE(B201,""zh_cn"",""vi"")"),"fax")</f>
        <v>fax</v>
      </c>
      <c r="G201" s="12"/>
      <c r="H201" s="6"/>
      <c r="I201" s="11" t="b">
        <f t="shared" si="2"/>
        <v>0</v>
      </c>
      <c r="K201" s="11" t="b">
        <f t="shared" si="3"/>
        <v>0</v>
      </c>
    </row>
    <row r="202" ht="22.5" customHeight="1">
      <c r="A202" s="12">
        <f t="shared" si="4"/>
        <v>3800</v>
      </c>
      <c r="B202" s="6" t="s">
        <v>11700</v>
      </c>
      <c r="C202" s="7" t="str">
        <f t="shared" si="1"/>
        <v>🔊</v>
      </c>
      <c r="D202" s="8" t="s">
        <v>11701</v>
      </c>
      <c r="E202" s="6" t="s">
        <v>27</v>
      </c>
      <c r="F202" s="12" t="str">
        <f>IFERROR(__xludf.DUMMYFUNCTION("GOOGLETRANSLATE(B202,""zh_cn"",""vi"")"),"tàu")</f>
        <v>tàu</v>
      </c>
      <c r="G202" s="12"/>
      <c r="H202" s="6"/>
      <c r="I202" s="11" t="b">
        <f t="shared" si="2"/>
        <v>0</v>
      </c>
      <c r="K202" s="11" t="b">
        <f t="shared" si="3"/>
        <v>0</v>
      </c>
    </row>
    <row r="203" ht="22.5" customHeight="1">
      <c r="A203" s="12">
        <f t="shared" si="4"/>
        <v>3801</v>
      </c>
      <c r="B203" s="6" t="s">
        <v>11702</v>
      </c>
      <c r="C203" s="7" t="str">
        <f t="shared" si="1"/>
        <v>🔊</v>
      </c>
      <c r="D203" s="8" t="s">
        <v>11703</v>
      </c>
      <c r="E203" s="6" t="s">
        <v>99</v>
      </c>
      <c r="F203" s="12" t="str">
        <f>IFERROR(__xludf.DUMMYFUNCTION("GOOGLETRANSLATE(B203,""zh_cn"",""vi"")"),"Sơ bộ")</f>
        <v>Sơ bộ</v>
      </c>
      <c r="G203" s="12"/>
      <c r="H203" s="6"/>
      <c r="I203" s="11" t="b">
        <f t="shared" si="2"/>
        <v>0</v>
      </c>
      <c r="K203" s="11" t="b">
        <f t="shared" si="3"/>
        <v>0</v>
      </c>
    </row>
    <row r="204" ht="22.5" customHeight="1">
      <c r="A204" s="12">
        <f t="shared" si="4"/>
        <v>3802</v>
      </c>
      <c r="B204" s="6" t="s">
        <v>11704</v>
      </c>
      <c r="C204" s="7" t="str">
        <f t="shared" si="1"/>
        <v>🔊</v>
      </c>
      <c r="D204" s="8" t="s">
        <v>11705</v>
      </c>
      <c r="E204" s="6" t="s">
        <v>13</v>
      </c>
      <c r="F204" s="12" t="str">
        <f>IFERROR(__xludf.DUMMYFUNCTION("GOOGLETRANSLATE(B204,""zh_cn"",""vi"")"),"Vẻ bề ngoài")</f>
        <v>Vẻ bề ngoài</v>
      </c>
      <c r="G204" s="12"/>
      <c r="H204" s="6"/>
      <c r="I204" s="11" t="b">
        <f t="shared" si="2"/>
        <v>0</v>
      </c>
      <c r="K204" s="11" t="b">
        <f t="shared" si="3"/>
        <v>0</v>
      </c>
    </row>
    <row r="205" ht="22.5" customHeight="1">
      <c r="A205" s="12">
        <f t="shared" si="4"/>
        <v>3803</v>
      </c>
      <c r="B205" s="6" t="s">
        <v>11706</v>
      </c>
      <c r="C205" s="7" t="str">
        <f t="shared" si="1"/>
        <v>🔊</v>
      </c>
      <c r="D205" s="8" t="s">
        <v>11707</v>
      </c>
      <c r="E205" s="6" t="s">
        <v>61</v>
      </c>
      <c r="F205" s="12" t="str">
        <f>IFERROR(__xludf.DUMMYFUNCTION("GOOGLETRANSLATE(B205,""zh_cn"",""vi"")"),"Khắp mọi nơi")</f>
        <v>Khắp mọi nơi</v>
      </c>
      <c r="G205" s="12"/>
      <c r="H205" s="6"/>
      <c r="I205" s="11" t="b">
        <f t="shared" si="2"/>
        <v>0</v>
      </c>
      <c r="K205" s="11" t="b">
        <f t="shared" si="3"/>
        <v>0</v>
      </c>
    </row>
    <row r="206" ht="22.5" customHeight="1">
      <c r="A206" s="12">
        <f t="shared" si="4"/>
        <v>3804</v>
      </c>
      <c r="B206" s="6" t="s">
        <v>11708</v>
      </c>
      <c r="C206" s="7" t="str">
        <f t="shared" si="1"/>
        <v>🔊</v>
      </c>
      <c r="D206" s="8" t="s">
        <v>11709</v>
      </c>
      <c r="E206" s="6" t="s">
        <v>13</v>
      </c>
      <c r="F206" s="12" t="str">
        <f>IFERROR(__xludf.DUMMYFUNCTION("GOOGLETRANSLATE(B206,""zh_cn"",""vi"")"),"cửa hàng")</f>
        <v>cửa hàng</v>
      </c>
      <c r="G206" s="12"/>
      <c r="H206" s="6"/>
      <c r="I206" s="11" t="b">
        <f t="shared" si="2"/>
        <v>0</v>
      </c>
      <c r="K206" s="11" t="b">
        <f t="shared" si="3"/>
        <v>0</v>
      </c>
    </row>
    <row r="207" ht="22.5" customHeight="1">
      <c r="A207" s="12">
        <f t="shared" si="4"/>
        <v>3805</v>
      </c>
      <c r="B207" s="6" t="s">
        <v>11710</v>
      </c>
      <c r="C207" s="7" t="str">
        <f t="shared" si="1"/>
        <v>🔊</v>
      </c>
      <c r="D207" s="8" t="s">
        <v>11711</v>
      </c>
      <c r="E207" s="6" t="s">
        <v>99</v>
      </c>
      <c r="F207" s="12" t="str">
        <f>IFERROR(__xludf.DUMMYFUNCTION("GOOGLETRANSLATE(B207,""zh_cn"",""vi"")"),"Tiểu học")</f>
        <v>Tiểu học</v>
      </c>
      <c r="G207" s="12"/>
      <c r="H207" s="6"/>
      <c r="I207" s="11" t="b">
        <f t="shared" si="2"/>
        <v>0</v>
      </c>
      <c r="K207" s="11" t="b">
        <f t="shared" si="3"/>
        <v>0</v>
      </c>
    </row>
    <row r="208" ht="22.5" customHeight="1">
      <c r="A208" s="12">
        <f t="shared" si="4"/>
        <v>3806</v>
      </c>
      <c r="B208" s="6" t="s">
        <v>11712</v>
      </c>
      <c r="C208" s="7" t="str">
        <f t="shared" si="1"/>
        <v>🔊</v>
      </c>
      <c r="D208" s="8" t="s">
        <v>11713</v>
      </c>
      <c r="E208" s="6" t="s">
        <v>13</v>
      </c>
      <c r="F208" s="12" t="str">
        <f>IFERROR(__xludf.DUMMYFUNCTION("GOOGLETRANSLATE(B208,""zh_cn"",""vi"")"),"Hình phạt")</f>
        <v>Hình phạt</v>
      </c>
      <c r="G208" s="12"/>
      <c r="H208" s="6"/>
      <c r="I208" s="11" t="b">
        <f t="shared" si="2"/>
        <v>0</v>
      </c>
      <c r="K208" s="11" t="b">
        <f t="shared" si="3"/>
        <v>0</v>
      </c>
    </row>
    <row r="209" ht="22.5" customHeight="1">
      <c r="A209" s="12">
        <f t="shared" si="4"/>
        <v>3807</v>
      </c>
      <c r="B209" s="6" t="s">
        <v>11714</v>
      </c>
      <c r="C209" s="7" t="str">
        <f t="shared" si="1"/>
        <v>🔊</v>
      </c>
      <c r="D209" s="8" t="s">
        <v>11715</v>
      </c>
      <c r="E209" s="6" t="s">
        <v>1132</v>
      </c>
      <c r="F209" s="12" t="str">
        <f>IFERROR(__xludf.DUMMYFUNCTION("GOOGLETRANSLATE(B209,""zh_cn"",""vi"")"),"Trừ khi")</f>
        <v>Trừ khi</v>
      </c>
      <c r="G209" s="12"/>
      <c r="H209" s="6"/>
      <c r="I209" s="11" t="b">
        <f t="shared" si="2"/>
        <v>0</v>
      </c>
      <c r="K209" s="11" t="b">
        <f t="shared" si="3"/>
        <v>0</v>
      </c>
    </row>
    <row r="210" ht="22.5" customHeight="1">
      <c r="A210" s="12">
        <f t="shared" si="4"/>
        <v>3808</v>
      </c>
      <c r="B210" s="6" t="s">
        <v>11716</v>
      </c>
      <c r="C210" s="7" t="str">
        <f t="shared" si="1"/>
        <v>🔊</v>
      </c>
      <c r="D210" s="8" t="s">
        <v>11717</v>
      </c>
      <c r="E210" s="6" t="s">
        <v>13</v>
      </c>
      <c r="F210" s="12" t="str">
        <f>IFERROR(__xludf.DUMMYFUNCTION("GOOGLETRANSLATE(B210,""zh_cn"",""vi"")"),"thẳng đứng")</f>
        <v>thẳng đứng</v>
      </c>
      <c r="G210" s="12"/>
      <c r="H210" s="6"/>
      <c r="I210" s="11" t="b">
        <f t="shared" si="2"/>
        <v>0</v>
      </c>
      <c r="K210" s="11" t="b">
        <f t="shared" si="3"/>
        <v>0</v>
      </c>
    </row>
    <row r="211" ht="22.5" customHeight="1">
      <c r="A211" s="12">
        <f t="shared" si="4"/>
        <v>3809</v>
      </c>
      <c r="B211" s="6" t="s">
        <v>11718</v>
      </c>
      <c r="C211" s="7" t="str">
        <f t="shared" si="1"/>
        <v>🔊</v>
      </c>
      <c r="D211" s="8" t="s">
        <v>11719</v>
      </c>
      <c r="E211" s="6" t="s">
        <v>13</v>
      </c>
      <c r="F211" s="12" t="str">
        <f>IFERROR(__xludf.DUMMYFUNCTION("GOOGLETRANSLATE(B211,""zh_cn"",""vi"")"),"Sự khởi hành")</f>
        <v>Sự khởi hành</v>
      </c>
      <c r="G211" s="12"/>
      <c r="H211" s="6"/>
      <c r="I211" s="11" t="b">
        <f t="shared" si="2"/>
        <v>0</v>
      </c>
      <c r="K211" s="11" t="b">
        <f t="shared" si="3"/>
        <v>0</v>
      </c>
    </row>
    <row r="212" ht="22.5" customHeight="1">
      <c r="A212" s="12">
        <f t="shared" si="4"/>
        <v>3810</v>
      </c>
      <c r="B212" s="6" t="s">
        <v>11720</v>
      </c>
      <c r="C212" s="7" t="str">
        <f t="shared" si="1"/>
        <v>🔊</v>
      </c>
      <c r="D212" s="8" t="s">
        <v>11721</v>
      </c>
      <c r="E212" s="6" t="s">
        <v>13</v>
      </c>
      <c r="F212" s="12" t="str">
        <f>IFERROR(__xludf.DUMMYFUNCTION("GOOGLETRANSLATE(B212,""zh_cn"",""vi"")"),"đóng góp")</f>
        <v>đóng góp</v>
      </c>
      <c r="G212" s="12"/>
      <c r="H212" s="6"/>
      <c r="I212" s="11" t="b">
        <f t="shared" si="2"/>
        <v>0</v>
      </c>
      <c r="K212" s="11" t="b">
        <f t="shared" si="3"/>
        <v>0</v>
      </c>
    </row>
    <row r="213" ht="22.5" customHeight="1">
      <c r="A213" s="12">
        <f t="shared" si="4"/>
        <v>3811</v>
      </c>
      <c r="B213" s="6" t="s">
        <v>11722</v>
      </c>
      <c r="C213" s="7" t="str">
        <f t="shared" si="1"/>
        <v>🔊</v>
      </c>
      <c r="D213" s="8" t="s">
        <v>11723</v>
      </c>
      <c r="E213" s="6" t="s">
        <v>99</v>
      </c>
      <c r="F213" s="12" t="str">
        <f>IFERROR(__xludf.DUMMYFUNCTION("GOOGLETRANSLATE(B213,""zh_cn"",""vi"")"),"nổi tiếng")</f>
        <v>nổi tiếng</v>
      </c>
      <c r="G213" s="12"/>
      <c r="H213" s="6"/>
      <c r="I213" s="11" t="b">
        <f t="shared" si="2"/>
        <v>0</v>
      </c>
      <c r="K213" s="11" t="b">
        <f t="shared" si="3"/>
        <v>0</v>
      </c>
    </row>
    <row r="214" ht="22.5" customHeight="1">
      <c r="A214" s="12">
        <f t="shared" si="4"/>
        <v>3812</v>
      </c>
      <c r="B214" s="6" t="s">
        <v>11724</v>
      </c>
      <c r="C214" s="7" t="str">
        <f t="shared" si="1"/>
        <v>🔊</v>
      </c>
      <c r="D214" s="8" t="s">
        <v>11725</v>
      </c>
      <c r="E214" s="6" t="s">
        <v>1308</v>
      </c>
      <c r="F214" s="12" t="str">
        <f>IFERROR(__xludf.DUMMYFUNCTION("GOOGLETRANSLATE(B214,""zh_cn"",""vi"")"),"nguyên chất")</f>
        <v>nguyên chất</v>
      </c>
      <c r="G214" s="12"/>
      <c r="H214" s="6"/>
      <c r="I214" s="11" t="b">
        <f t="shared" si="2"/>
        <v>0</v>
      </c>
      <c r="K214" s="11" t="b">
        <f t="shared" si="3"/>
        <v>0</v>
      </c>
    </row>
    <row r="215" ht="22.5" customHeight="1">
      <c r="A215" s="12">
        <f t="shared" si="4"/>
        <v>3813</v>
      </c>
      <c r="B215" s="6" t="s">
        <v>11726</v>
      </c>
      <c r="C215" s="7" t="str">
        <f t="shared" si="1"/>
        <v>🔊</v>
      </c>
      <c r="D215" s="8" t="s">
        <v>11727</v>
      </c>
      <c r="E215" s="6" t="s">
        <v>27</v>
      </c>
      <c r="F215" s="12" t="str">
        <f>IFERROR(__xludf.DUMMYFUNCTION("GOOGLETRANSLATE(B215,""zh_cn"",""vi"")"),"Lối vào và lối ra")</f>
        <v>Lối vào và lối ra</v>
      </c>
      <c r="G215" s="12"/>
      <c r="H215" s="6"/>
      <c r="I215" s="11" t="b">
        <f t="shared" si="2"/>
        <v>0</v>
      </c>
      <c r="K215" s="11" t="b">
        <f t="shared" si="3"/>
        <v>0</v>
      </c>
    </row>
    <row r="216" ht="22.5" customHeight="1">
      <c r="A216" s="12">
        <f t="shared" si="4"/>
        <v>3814</v>
      </c>
      <c r="B216" s="6" t="s">
        <v>11728</v>
      </c>
      <c r="C216" s="7" t="str">
        <f t="shared" si="1"/>
        <v>🔊</v>
      </c>
      <c r="D216" s="8" t="s">
        <v>11729</v>
      </c>
      <c r="E216" s="6" t="s">
        <v>13</v>
      </c>
      <c r="F216" s="12" t="str">
        <f>IFERROR(__xludf.DUMMYFUNCTION("GOOGLETRANSLATE(B216,""zh_cn"",""vi"")"),"trình diễn")</f>
        <v>trình diễn</v>
      </c>
      <c r="G216" s="12"/>
      <c r="H216" s="6"/>
      <c r="I216" s="11" t="b">
        <f t="shared" si="2"/>
        <v>0</v>
      </c>
      <c r="K216" s="11" t="b">
        <f t="shared" si="3"/>
        <v>0</v>
      </c>
    </row>
    <row r="217" ht="22.5" customHeight="1">
      <c r="A217" s="12">
        <f t="shared" si="4"/>
        <v>3815</v>
      </c>
      <c r="B217" s="6" t="s">
        <v>11730</v>
      </c>
      <c r="C217" s="7" t="str">
        <f t="shared" si="1"/>
        <v>🔊</v>
      </c>
      <c r="D217" s="8" t="s">
        <v>11731</v>
      </c>
      <c r="E217" s="6" t="s">
        <v>232</v>
      </c>
      <c r="F217" s="12" t="str">
        <f>IFERROR(__xludf.DUMMYFUNCTION("GOOGLETRANSLATE(B217,""zh_cn"",""vi"")"),"Tiết kiệm")</f>
        <v>Tiết kiệm</v>
      </c>
      <c r="G217" s="12"/>
      <c r="H217" s="6"/>
      <c r="I217" s="11" t="b">
        <f t="shared" si="2"/>
        <v>0</v>
      </c>
      <c r="K217" s="11" t="b">
        <f t="shared" si="3"/>
        <v>0</v>
      </c>
    </row>
    <row r="218" ht="22.5" customHeight="1">
      <c r="A218" s="12">
        <f t="shared" si="4"/>
        <v>3816</v>
      </c>
      <c r="B218" s="6" t="s">
        <v>11732</v>
      </c>
      <c r="C218" s="7" t="str">
        <f t="shared" si="1"/>
        <v>🔊</v>
      </c>
      <c r="D218" s="8" t="s">
        <v>11733</v>
      </c>
      <c r="E218" s="6" t="s">
        <v>13</v>
      </c>
      <c r="F218" s="12" t="str">
        <f>IFERROR(__xludf.DUMMYFUNCTION("GOOGLETRANSLATE(B218,""zh_cn"",""vi"")"),"du lịch")</f>
        <v>du lịch</v>
      </c>
      <c r="G218" s="12"/>
      <c r="H218" s="6"/>
      <c r="I218" s="11" t="b">
        <f t="shared" si="2"/>
        <v>0</v>
      </c>
      <c r="K218" s="11" t="b">
        <f t="shared" si="3"/>
        <v>0</v>
      </c>
    </row>
    <row r="219" ht="22.5" customHeight="1">
      <c r="A219" s="12">
        <f t="shared" si="4"/>
        <v>3817</v>
      </c>
      <c r="B219" s="6" t="s">
        <v>11734</v>
      </c>
      <c r="C219" s="7" t="str">
        <f t="shared" si="1"/>
        <v>🔊</v>
      </c>
      <c r="D219" s="8" t="s">
        <v>11735</v>
      </c>
      <c r="E219" s="6" t="s">
        <v>13</v>
      </c>
      <c r="F219" s="12" t="str">
        <f>IFERROR(__xludf.DUMMYFUNCTION("GOOGLETRANSLATE(B219,""zh_cn"",""vi"")"),"Ra khỏi")</f>
        <v>Ra khỏi</v>
      </c>
      <c r="G219" s="12"/>
      <c r="H219" s="6"/>
      <c r="I219" s="11" t="b">
        <f t="shared" si="2"/>
        <v>0</v>
      </c>
      <c r="K219" s="11" t="b">
        <f t="shared" si="3"/>
        <v>0</v>
      </c>
    </row>
    <row r="220" ht="22.5" customHeight="1">
      <c r="A220" s="12">
        <f t="shared" si="4"/>
        <v>3818</v>
      </c>
      <c r="B220" s="6" t="s">
        <v>11736</v>
      </c>
      <c r="C220" s="7" t="str">
        <f t="shared" si="1"/>
        <v>🔊</v>
      </c>
      <c r="D220" s="8" t="s">
        <v>1100</v>
      </c>
      <c r="E220" s="6" t="s">
        <v>232</v>
      </c>
      <c r="F220" s="12" t="str">
        <f>IFERROR(__xludf.DUMMYFUNCTION("GOOGLETRANSLATE(B220,""zh_cn"",""vi"")"),"đâm")</f>
        <v>đâm</v>
      </c>
      <c r="G220" s="12"/>
      <c r="H220" s="6"/>
      <c r="I220" s="11" t="b">
        <f t="shared" si="2"/>
        <v>0</v>
      </c>
      <c r="K220" s="11" t="b">
        <f t="shared" si="3"/>
        <v>0</v>
      </c>
    </row>
    <row r="221" ht="22.5" customHeight="1">
      <c r="A221" s="12">
        <f t="shared" si="4"/>
        <v>3819</v>
      </c>
      <c r="B221" s="6" t="s">
        <v>11737</v>
      </c>
      <c r="C221" s="7" t="str">
        <f t="shared" si="1"/>
        <v>🔊</v>
      </c>
      <c r="D221" s="8" t="s">
        <v>11738</v>
      </c>
      <c r="E221" s="6" t="s">
        <v>27</v>
      </c>
      <c r="F221" s="12" t="str">
        <f>IFERROR(__xludf.DUMMYFUNCTION("GOOGLETRANSLATE(B221,""zh_cn"",""vi"")"),"Hiện nay")</f>
        <v>Hiện nay</v>
      </c>
      <c r="G221" s="12"/>
      <c r="H221" s="6"/>
      <c r="I221" s="11" t="b">
        <f t="shared" si="2"/>
        <v>0</v>
      </c>
      <c r="K221" s="11" t="b">
        <f t="shared" si="3"/>
        <v>0</v>
      </c>
    </row>
    <row r="222" ht="22.5" customHeight="1">
      <c r="A222" s="12">
        <f t="shared" si="4"/>
        <v>3820</v>
      </c>
      <c r="B222" s="6" t="s">
        <v>11739</v>
      </c>
      <c r="C222" s="7" t="str">
        <f t="shared" si="1"/>
        <v>🔊</v>
      </c>
      <c r="D222" s="8" t="s">
        <v>11740</v>
      </c>
      <c r="E222" s="6" t="s">
        <v>27</v>
      </c>
      <c r="F222" s="12" t="str">
        <f>IFERROR(__xludf.DUMMYFUNCTION("GOOGLETRANSLATE(B222,""zh_cn"",""vi"")"),"sứ")</f>
        <v>sứ</v>
      </c>
      <c r="G222" s="12"/>
      <c r="H222" s="6"/>
      <c r="I222" s="11" t="b">
        <f t="shared" si="2"/>
        <v>0</v>
      </c>
      <c r="K222" s="11" t="b">
        <f t="shared" si="3"/>
        <v>0</v>
      </c>
    </row>
    <row r="223" ht="22.5" customHeight="1">
      <c r="A223" s="12">
        <f t="shared" si="4"/>
        <v>3821</v>
      </c>
      <c r="B223" s="6" t="s">
        <v>11741</v>
      </c>
      <c r="C223" s="7" t="str">
        <f t="shared" si="1"/>
        <v>🔊</v>
      </c>
      <c r="D223" s="8" t="s">
        <v>11742</v>
      </c>
      <c r="E223" s="6" t="s">
        <v>27</v>
      </c>
      <c r="F223" s="12" t="str">
        <f>IFERROR(__xludf.DUMMYFUNCTION("GOOGLETRANSLATE(B223,""zh_cn"",""vi"")"),"Tính thường xuyên")</f>
        <v>Tính thường xuyên</v>
      </c>
      <c r="G223" s="12"/>
      <c r="H223" s="6"/>
      <c r="I223" s="11" t="b">
        <f t="shared" si="2"/>
        <v>0</v>
      </c>
      <c r="K223" s="11" t="b">
        <f t="shared" si="3"/>
        <v>0</v>
      </c>
    </row>
    <row r="224" ht="22.5" customHeight="1">
      <c r="A224" s="12">
        <f t="shared" si="4"/>
        <v>3822</v>
      </c>
      <c r="B224" s="6" t="s">
        <v>11743</v>
      </c>
      <c r="C224" s="7" t="str">
        <f t="shared" si="1"/>
        <v>🔊</v>
      </c>
      <c r="D224" s="8" t="s">
        <v>11744</v>
      </c>
      <c r="E224" s="6" t="s">
        <v>99</v>
      </c>
      <c r="F224" s="12" t="str">
        <f>IFERROR(__xludf.DUMMYFUNCTION("GOOGLETRANSLATE(B224,""zh_cn"",""vi"")"),"vội vàng")</f>
        <v>vội vàng</v>
      </c>
      <c r="G224" s="12"/>
      <c r="H224" s="6"/>
      <c r="I224" s="11" t="b">
        <f t="shared" si="2"/>
        <v>0</v>
      </c>
      <c r="K224" s="11" t="b">
        <f t="shared" si="3"/>
        <v>0</v>
      </c>
    </row>
    <row r="225" ht="22.5" customHeight="1">
      <c r="A225" s="12">
        <f t="shared" si="4"/>
        <v>3823</v>
      </c>
      <c r="B225" s="6" t="s">
        <v>11745</v>
      </c>
      <c r="C225" s="7" t="str">
        <f t="shared" si="1"/>
        <v>🔊</v>
      </c>
      <c r="D225" s="8" t="s">
        <v>11746</v>
      </c>
      <c r="E225" s="6" t="s">
        <v>99</v>
      </c>
      <c r="F225" s="12" t="str">
        <f>IFERROR(__xludf.DUMMYFUNCTION("GOOGLETRANSLATE(B225,""zh_cn"",""vi"")"),"sự vội vàng")</f>
        <v>sự vội vàng</v>
      </c>
      <c r="G225" s="12"/>
      <c r="H225" s="6"/>
      <c r="I225" s="11" t="b">
        <f t="shared" si="2"/>
        <v>0</v>
      </c>
      <c r="K225" s="11" t="b">
        <f t="shared" si="3"/>
        <v>0</v>
      </c>
    </row>
    <row r="226" ht="22.5" customHeight="1">
      <c r="A226" s="12">
        <f t="shared" si="4"/>
        <v>3824</v>
      </c>
      <c r="B226" s="6" t="s">
        <v>11747</v>
      </c>
      <c r="C226" s="7" t="str">
        <f t="shared" si="1"/>
        <v>🔊</v>
      </c>
      <c r="D226" s="8" t="s">
        <v>11748</v>
      </c>
      <c r="E226" s="6" t="s">
        <v>61</v>
      </c>
      <c r="F226" s="12" t="str">
        <f>IFERROR(__xludf.DUMMYFUNCTION("GOOGLETRANSLATE(B226,""zh_cn"",""vi"")"),"Không bao giờ")</f>
        <v>Không bao giờ</v>
      </c>
      <c r="G226" s="12"/>
      <c r="H226" s="6"/>
      <c r="I226" s="11" t="b">
        <f t="shared" si="2"/>
        <v>0</v>
      </c>
      <c r="K226" s="11" t="b">
        <f t="shared" si="3"/>
        <v>0</v>
      </c>
    </row>
    <row r="227" ht="22.5" customHeight="1">
      <c r="A227" s="12">
        <f t="shared" si="4"/>
        <v>3825</v>
      </c>
      <c r="B227" s="6" t="s">
        <v>11749</v>
      </c>
      <c r="C227" s="7" t="str">
        <f t="shared" si="1"/>
        <v>🔊</v>
      </c>
      <c r="D227" s="8" t="s">
        <v>11750</v>
      </c>
      <c r="E227" s="6" t="s">
        <v>13</v>
      </c>
      <c r="F227" s="12" t="str">
        <f>IFERROR(__xludf.DUMMYFUNCTION("GOOGLETRANSLATE(B227,""zh_cn"",""vi"")"),"nghề nghiệp")</f>
        <v>nghề nghiệp</v>
      </c>
      <c r="G227" s="12"/>
      <c r="H227" s="6"/>
      <c r="I227" s="11" t="b">
        <f t="shared" si="2"/>
        <v>0</v>
      </c>
      <c r="K227" s="11" t="b">
        <f t="shared" si="3"/>
        <v>0</v>
      </c>
    </row>
    <row r="228" ht="22.5" customHeight="1">
      <c r="A228" s="12">
        <f t="shared" si="4"/>
        <v>3826</v>
      </c>
      <c r="B228" s="6" t="s">
        <v>11751</v>
      </c>
      <c r="C228" s="7" t="str">
        <f t="shared" si="1"/>
        <v>🔊</v>
      </c>
      <c r="D228" s="8" t="s">
        <v>11752</v>
      </c>
      <c r="E228" s="6" t="s">
        <v>27</v>
      </c>
      <c r="F228" s="12" t="str">
        <f>IFERROR(__xludf.DUMMYFUNCTION("GOOGLETRANSLATE(B228,""zh_cn"",""vi"")"),"giấm")</f>
        <v>giấm</v>
      </c>
      <c r="G228" s="12"/>
      <c r="H228" s="6"/>
      <c r="I228" s="11" t="b">
        <f t="shared" si="2"/>
        <v>0</v>
      </c>
      <c r="K228" s="11" t="b">
        <f t="shared" si="3"/>
        <v>0</v>
      </c>
    </row>
    <row r="229" ht="22.5" customHeight="1">
      <c r="A229" s="12">
        <f t="shared" si="4"/>
        <v>3827</v>
      </c>
      <c r="B229" s="6" t="s">
        <v>11753</v>
      </c>
      <c r="C229" s="7" t="str">
        <f t="shared" si="1"/>
        <v>🔊</v>
      </c>
      <c r="D229" s="8" t="s">
        <v>11754</v>
      </c>
      <c r="E229" s="6" t="s">
        <v>99</v>
      </c>
      <c r="F229" s="12" t="str">
        <f>IFERROR(__xludf.DUMMYFUNCTION("GOOGLETRANSLATE(B229,""zh_cn"",""vi"")"),"giòn")</f>
        <v>giòn</v>
      </c>
      <c r="G229" s="12"/>
      <c r="H229" s="6"/>
      <c r="I229" s="11" t="b">
        <f t="shared" si="2"/>
        <v>0</v>
      </c>
      <c r="K229" s="11" t="b">
        <f t="shared" si="3"/>
        <v>0</v>
      </c>
    </row>
    <row r="230" ht="22.5" customHeight="1">
      <c r="A230" s="12">
        <f t="shared" si="4"/>
        <v>3828</v>
      </c>
      <c r="B230" s="6" t="s">
        <v>11755</v>
      </c>
      <c r="C230" s="7" t="str">
        <f t="shared" si="1"/>
        <v>🔊</v>
      </c>
      <c r="D230" s="8" t="s">
        <v>11756</v>
      </c>
      <c r="E230" s="6" t="s">
        <v>99</v>
      </c>
      <c r="F230" s="12" t="str">
        <f>IFERROR(__xludf.DUMMYFUNCTION("GOOGLETRANSLATE(B230,""zh_cn"",""vi"")"),"Dễ vỡ")</f>
        <v>Dễ vỡ</v>
      </c>
      <c r="G230" s="12"/>
      <c r="H230" s="6"/>
      <c r="I230" s="11" t="b">
        <f t="shared" si="2"/>
        <v>0</v>
      </c>
      <c r="K230" s="11" t="b">
        <f t="shared" si="3"/>
        <v>0</v>
      </c>
    </row>
    <row r="231" ht="22.5" customHeight="1">
      <c r="A231" s="12">
        <f t="shared" si="4"/>
        <v>3829</v>
      </c>
      <c r="B231" s="6" t="s">
        <v>11757</v>
      </c>
      <c r="C231" s="7" t="str">
        <f t="shared" si="1"/>
        <v>🔊</v>
      </c>
      <c r="D231" s="8" t="s">
        <v>11758</v>
      </c>
      <c r="E231" s="6" t="s">
        <v>47</v>
      </c>
      <c r="F231" s="12" t="str">
        <f>IFERROR(__xludf.DUMMYFUNCTION("GOOGLETRANSLATE(B231,""zh_cn"",""vi"")"),"inch")</f>
        <v>inch</v>
      </c>
      <c r="G231" s="12"/>
      <c r="H231" s="6"/>
      <c r="I231" s="11" t="b">
        <f t="shared" si="2"/>
        <v>0</v>
      </c>
      <c r="K231" s="11" t="b">
        <f t="shared" si="3"/>
        <v>0</v>
      </c>
    </row>
    <row r="232" ht="22.5" customHeight="1">
      <c r="A232" s="12">
        <f t="shared" si="4"/>
        <v>3830</v>
      </c>
      <c r="B232" s="6" t="s">
        <v>11759</v>
      </c>
      <c r="C232" s="7" t="str">
        <f t="shared" si="1"/>
        <v>🔊</v>
      </c>
      <c r="D232" s="8" t="s">
        <v>11760</v>
      </c>
      <c r="E232" s="6" t="s">
        <v>13</v>
      </c>
      <c r="F232" s="12" t="str">
        <f>IFERROR(__xludf.DUMMYFUNCTION("GOOGLETRANSLATE(B232,""zh_cn"",""vi"")"),"kho")</f>
        <v>kho</v>
      </c>
      <c r="G232" s="12"/>
      <c r="H232" s="6"/>
      <c r="I232" s="11" t="b">
        <f t="shared" si="2"/>
        <v>0</v>
      </c>
      <c r="K232" s="11" t="b">
        <f t="shared" si="3"/>
        <v>0</v>
      </c>
    </row>
    <row r="233" ht="22.5" customHeight="1">
      <c r="A233" s="12">
        <f t="shared" si="4"/>
        <v>3831</v>
      </c>
      <c r="B233" s="6" t="s">
        <v>11761</v>
      </c>
      <c r="C233" s="7" t="str">
        <f t="shared" si="1"/>
        <v>🔊</v>
      </c>
      <c r="D233" s="8" t="s">
        <v>11762</v>
      </c>
      <c r="E233" s="6" t="s">
        <v>27</v>
      </c>
      <c r="F233" s="12" t="str">
        <f>IFERROR(__xludf.DUMMYFUNCTION("GOOGLETRANSLATE(B233,""zh_cn"",""vi"")"),"làng bản")</f>
        <v>làng bản</v>
      </c>
      <c r="G233" s="12"/>
      <c r="H233" s="6"/>
      <c r="I233" s="11" t="b">
        <f t="shared" si="2"/>
        <v>0</v>
      </c>
      <c r="K233" s="11" t="b">
        <f t="shared" si="3"/>
        <v>0</v>
      </c>
    </row>
    <row r="234" ht="22.5" customHeight="1">
      <c r="A234" s="12">
        <f t="shared" si="4"/>
        <v>3832</v>
      </c>
      <c r="B234" s="6" t="s">
        <v>11763</v>
      </c>
      <c r="C234" s="7" t="str">
        <f t="shared" si="1"/>
        <v>🔊</v>
      </c>
      <c r="D234" s="8" t="s">
        <v>11764</v>
      </c>
      <c r="E234" s="6" t="s">
        <v>13</v>
      </c>
      <c r="F234" s="12" t="str">
        <f>IFERROR(__xludf.DUMMYFUNCTION("GOOGLETRANSLATE(B234,""zh_cn"",""vi"")"),"sự thất vọng")</f>
        <v>sự thất vọng</v>
      </c>
      <c r="G234" s="12"/>
      <c r="H234" s="6"/>
      <c r="I234" s="11" t="b">
        <f t="shared" si="2"/>
        <v>0</v>
      </c>
      <c r="K234" s="11" t="b">
        <f t="shared" si="3"/>
        <v>0</v>
      </c>
    </row>
    <row r="235" ht="22.5" customHeight="1">
      <c r="A235" s="12">
        <f t="shared" si="4"/>
        <v>3833</v>
      </c>
      <c r="B235" s="6" t="s">
        <v>11765</v>
      </c>
      <c r="C235" s="7" t="str">
        <f t="shared" si="1"/>
        <v>🔊</v>
      </c>
      <c r="D235" s="8" t="s">
        <v>11766</v>
      </c>
      <c r="E235" s="6" t="s">
        <v>13</v>
      </c>
      <c r="F235" s="12" t="str">
        <f>IFERROR(__xludf.DUMMYFUNCTION("GOOGLETRANSLATE(B235,""zh_cn"",""vi"")"),"lấy")</f>
        <v>lấy</v>
      </c>
      <c r="G235" s="12"/>
      <c r="H235" s="6"/>
      <c r="I235" s="11" t="b">
        <f t="shared" si="2"/>
        <v>0</v>
      </c>
      <c r="K235" s="11" t="b">
        <f t="shared" si="3"/>
        <v>0</v>
      </c>
    </row>
    <row r="236" ht="22.5" customHeight="1">
      <c r="A236" s="12">
        <f t="shared" si="4"/>
        <v>3834</v>
      </c>
      <c r="B236" s="6" t="s">
        <v>11767</v>
      </c>
      <c r="C236" s="7" t="str">
        <f t="shared" si="1"/>
        <v>🔊</v>
      </c>
      <c r="D236" s="8" t="s">
        <v>11768</v>
      </c>
      <c r="E236" s="14"/>
      <c r="F236" s="12" t="str">
        <f>IFERROR(__xludf.DUMMYFUNCTION("GOOGLETRANSLATE(B236,""zh_cn"",""vi"")"),"Giải quyết vấn đề")</f>
        <v>Giải quyết vấn đề</v>
      </c>
      <c r="G236" s="12"/>
      <c r="H236" s="6"/>
      <c r="I236" s="11" t="b">
        <f t="shared" si="2"/>
        <v>0</v>
      </c>
      <c r="K236" s="11" t="b">
        <f t="shared" si="3"/>
        <v>0</v>
      </c>
    </row>
    <row r="237" ht="22.5" customHeight="1">
      <c r="A237" s="12">
        <f t="shared" si="4"/>
        <v>3835</v>
      </c>
      <c r="B237" s="6" t="s">
        <v>11769</v>
      </c>
      <c r="C237" s="7" t="str">
        <f t="shared" si="1"/>
        <v>🔊</v>
      </c>
      <c r="D237" s="8" t="s">
        <v>11770</v>
      </c>
      <c r="E237" s="6" t="s">
        <v>27</v>
      </c>
      <c r="F237" s="12" t="str">
        <f>IFERROR(__xludf.DUMMYFUNCTION("GOOGLETRANSLATE(B237,""zh_cn"",""vi"")"),"Bộ trưởng")</f>
        <v>Bộ trưởng</v>
      </c>
      <c r="G237" s="12"/>
      <c r="H237" s="6"/>
      <c r="I237" s="11" t="b">
        <f t="shared" si="2"/>
        <v>0</v>
      </c>
      <c r="K237" s="11" t="b">
        <f t="shared" si="3"/>
        <v>0</v>
      </c>
    </row>
    <row r="238" ht="22.5" customHeight="1">
      <c r="A238" s="12">
        <f t="shared" si="4"/>
        <v>3836</v>
      </c>
      <c r="B238" s="6" t="s">
        <v>11771</v>
      </c>
      <c r="C238" s="7" t="str">
        <f t="shared" si="1"/>
        <v>🔊</v>
      </c>
      <c r="D238" s="8" t="s">
        <v>11772</v>
      </c>
      <c r="E238" s="14"/>
      <c r="F238" s="12" t="str">
        <f>IFERROR(__xludf.DUMMYFUNCTION("GOOGLETRANSLATE(B238,""zh_cn"",""vi"")"),"Điều khiến tôi ngạc nhiên là")</f>
        <v>Điều khiến tôi ngạc nhiên là</v>
      </c>
      <c r="G238" s="12"/>
      <c r="H238" s="6"/>
      <c r="I238" s="11" t="b">
        <f t="shared" si="2"/>
        <v>0</v>
      </c>
      <c r="K238" s="11" t="b">
        <f t="shared" si="3"/>
        <v>0</v>
      </c>
    </row>
    <row r="239" ht="22.5" customHeight="1">
      <c r="A239" s="12">
        <f t="shared" si="4"/>
        <v>3837</v>
      </c>
      <c r="B239" s="6" t="s">
        <v>11773</v>
      </c>
      <c r="C239" s="7" t="str">
        <f t="shared" si="1"/>
        <v>🔊</v>
      </c>
      <c r="D239" s="8" t="s">
        <v>11774</v>
      </c>
      <c r="E239" s="6" t="s">
        <v>27</v>
      </c>
      <c r="F239" s="12" t="str">
        <f>IFERROR(__xludf.DUMMYFUNCTION("GOOGLETRANSLATE(B239,""zh_cn"",""vi"")"),"Trái đất")</f>
        <v>Trái đất</v>
      </c>
      <c r="G239" s="12"/>
      <c r="H239" s="6"/>
      <c r="I239" s="11" t="b">
        <f t="shared" si="2"/>
        <v>0</v>
      </c>
      <c r="K239" s="11" t="b">
        <f t="shared" si="3"/>
        <v>0</v>
      </c>
    </row>
    <row r="240" ht="22.5" customHeight="1">
      <c r="A240" s="12">
        <f t="shared" si="4"/>
        <v>3838</v>
      </c>
      <c r="B240" s="6" t="s">
        <v>11775</v>
      </c>
      <c r="C240" s="7" t="str">
        <f t="shared" si="1"/>
        <v>🔊</v>
      </c>
      <c r="D240" s="8" t="s">
        <v>11776</v>
      </c>
      <c r="E240" s="6" t="s">
        <v>13</v>
      </c>
      <c r="F240" s="12" t="str">
        <f>IFERROR(__xludf.DUMMYFUNCTION("GOOGLETRANSLATE(B240,""zh_cn"",""vi"")"),"di chuyển")</f>
        <v>di chuyển</v>
      </c>
      <c r="G240" s="12"/>
      <c r="H240" s="6"/>
      <c r="I240" s="11" t="b">
        <f t="shared" si="2"/>
        <v>0</v>
      </c>
      <c r="K240" s="11" t="b">
        <f t="shared" si="3"/>
        <v>0</v>
      </c>
    </row>
    <row r="241" ht="22.5" customHeight="1">
      <c r="A241" s="12">
        <f t="shared" si="4"/>
        <v>3839</v>
      </c>
      <c r="B241" s="6" t="s">
        <v>11777</v>
      </c>
      <c r="C241" s="7" t="str">
        <f t="shared" si="1"/>
        <v>🔊</v>
      </c>
      <c r="D241" s="8" t="s">
        <v>11778</v>
      </c>
      <c r="E241" s="6" t="s">
        <v>61</v>
      </c>
      <c r="F241" s="12" t="str">
        <f>IFERROR(__xludf.DUMMYFUNCTION("GOOGLETRANSLATE(B241,""zh_cn"",""vi"")"),"Dadu")</f>
        <v>Dadu</v>
      </c>
      <c r="G241" s="12"/>
      <c r="H241" s="6"/>
      <c r="I241" s="11" t="b">
        <f t="shared" si="2"/>
        <v>0</v>
      </c>
      <c r="K241" s="11" t="b">
        <f t="shared" si="3"/>
        <v>0</v>
      </c>
    </row>
    <row r="242" ht="22.5" customHeight="1">
      <c r="A242" s="12">
        <f t="shared" si="4"/>
        <v>3840</v>
      </c>
      <c r="B242" s="6" t="s">
        <v>11779</v>
      </c>
      <c r="C242" s="7" t="str">
        <f t="shared" si="1"/>
        <v>🔊</v>
      </c>
      <c r="D242" s="8" t="s">
        <v>11780</v>
      </c>
      <c r="E242" s="6" t="s">
        <v>99</v>
      </c>
      <c r="F242" s="12" t="str">
        <f>IFERROR(__xludf.DUMMYFUNCTION("GOOGLETRANSLATE(B242,""zh_cn"",""vi"")"),"Hào phóng")</f>
        <v>Hào phóng</v>
      </c>
      <c r="G242" s="12"/>
      <c r="H242" s="6"/>
      <c r="I242" s="11" t="b">
        <f t="shared" si="2"/>
        <v>0</v>
      </c>
      <c r="K242" s="11" t="b">
        <f t="shared" si="3"/>
        <v>0</v>
      </c>
    </row>
    <row r="243" ht="22.5" customHeight="1">
      <c r="A243" s="12">
        <f t="shared" si="4"/>
        <v>3841</v>
      </c>
      <c r="B243" s="6" t="s">
        <v>11781</v>
      </c>
      <c r="C243" s="7" t="str">
        <f t="shared" si="1"/>
        <v>🔊</v>
      </c>
      <c r="D243" s="8" t="s">
        <v>11782</v>
      </c>
      <c r="E243" s="6" t="s">
        <v>13</v>
      </c>
      <c r="F243" s="12" t="str">
        <f>IFERROR(__xludf.DUMMYFUNCTION("GOOGLETRANSLATE(B243,""zh_cn"",""vi"")"),"hồi đáp")</f>
        <v>hồi đáp</v>
      </c>
      <c r="G243" s="12"/>
      <c r="H243" s="6"/>
      <c r="I243" s="11" t="b">
        <f t="shared" si="2"/>
        <v>0</v>
      </c>
      <c r="K243" s="11" t="b">
        <f t="shared" si="3"/>
        <v>0</v>
      </c>
    </row>
    <row r="244" ht="22.5" customHeight="1">
      <c r="A244" s="12">
        <f t="shared" si="4"/>
        <v>3842</v>
      </c>
      <c r="B244" s="6" t="s">
        <v>11783</v>
      </c>
      <c r="C244" s="7" t="str">
        <f t="shared" si="1"/>
        <v>🔊</v>
      </c>
      <c r="D244" s="8" t="s">
        <v>11784</v>
      </c>
      <c r="E244" s="6" t="s">
        <v>61</v>
      </c>
      <c r="F244" s="12" t="str">
        <f>IFERROR(__xludf.DUMMYFUNCTION("GOOGLETRANSLATE(B244,""zh_cn"",""vi"")"),"lớn")</f>
        <v>lớn</v>
      </c>
      <c r="G244" s="12"/>
      <c r="H244" s="6"/>
      <c r="I244" s="11" t="b">
        <f t="shared" si="2"/>
        <v>0</v>
      </c>
      <c r="K244" s="11" t="b">
        <f t="shared" si="3"/>
        <v>0</v>
      </c>
    </row>
    <row r="245" ht="22.5" customHeight="1">
      <c r="A245" s="12">
        <f t="shared" si="4"/>
        <v>3843</v>
      </c>
      <c r="B245" s="6" t="s">
        <v>11785</v>
      </c>
      <c r="C245" s="7" t="str">
        <f t="shared" si="1"/>
        <v>🔊</v>
      </c>
      <c r="D245" s="8" t="s">
        <v>11786</v>
      </c>
      <c r="E245" s="6" t="s">
        <v>106</v>
      </c>
      <c r="F245" s="12" t="str">
        <f>IFERROR(__xludf.DUMMYFUNCTION("GOOGLETRANSLATE(B245,""zh_cn"",""vi"")"),"Mọi người")</f>
        <v>Mọi người</v>
      </c>
      <c r="G245" s="12"/>
      <c r="H245" s="6"/>
      <c r="I245" s="11" t="b">
        <f t="shared" si="2"/>
        <v>0</v>
      </c>
      <c r="K245" s="11" t="b">
        <f t="shared" si="3"/>
        <v>0</v>
      </c>
    </row>
    <row r="246" ht="22.5" customHeight="1">
      <c r="A246" s="12">
        <f t="shared" si="4"/>
        <v>3844</v>
      </c>
      <c r="B246" s="6" t="s">
        <v>3720</v>
      </c>
      <c r="C246" s="7" t="str">
        <f t="shared" si="1"/>
        <v>🔊</v>
      </c>
      <c r="D246" s="8" t="s">
        <v>1945</v>
      </c>
      <c r="E246" s="6" t="s">
        <v>13</v>
      </c>
      <c r="F246" s="12" t="str">
        <f>IFERROR(__xludf.DUMMYFUNCTION("GOOGLETRANSLATE(B246,""zh_cn"",""vi"")"),"đối xử")</f>
        <v>đối xử</v>
      </c>
      <c r="G246" s="12"/>
      <c r="H246" s="6"/>
      <c r="I246" s="11" t="b">
        <f t="shared" si="2"/>
        <v>0</v>
      </c>
      <c r="K246" s="11" t="b">
        <f t="shared" si="3"/>
        <v>0</v>
      </c>
    </row>
    <row r="247" ht="22.5" customHeight="1">
      <c r="A247" s="12">
        <f t="shared" si="4"/>
        <v>3845</v>
      </c>
      <c r="B247" s="6" t="s">
        <v>11787</v>
      </c>
      <c r="C247" s="7" t="str">
        <f t="shared" si="1"/>
        <v>🔊</v>
      </c>
      <c r="D247" s="8" t="s">
        <v>3721</v>
      </c>
      <c r="E247" s="6" t="s">
        <v>99</v>
      </c>
      <c r="F247" s="12" t="str">
        <f>IFERROR(__xludf.DUMMYFUNCTION("GOOGLETRANSLATE(B247,""zh_cn"",""vi"")"),"ở lại")</f>
        <v>ở lại</v>
      </c>
      <c r="G247" s="12"/>
      <c r="H247" s="6"/>
      <c r="I247" s="11" t="b">
        <f t="shared" si="2"/>
        <v>0</v>
      </c>
      <c r="K247" s="11" t="b">
        <f t="shared" si="3"/>
        <v>0</v>
      </c>
    </row>
    <row r="248" ht="22.5" customHeight="1">
      <c r="A248" s="12">
        <f t="shared" si="4"/>
        <v>3846</v>
      </c>
      <c r="B248" s="6" t="s">
        <v>11788</v>
      </c>
      <c r="C248" s="7" t="str">
        <f t="shared" si="1"/>
        <v>🔊</v>
      </c>
      <c r="D248" s="8" t="s">
        <v>11789</v>
      </c>
      <c r="E248" s="6" t="s">
        <v>27</v>
      </c>
      <c r="F248" s="12" t="str">
        <f>IFERROR(__xludf.DUMMYFUNCTION("GOOGLETRANSLATE(B248,""zh_cn"",""vi"")"),"trị giá")</f>
        <v>trị giá</v>
      </c>
      <c r="G248" s="12"/>
      <c r="H248" s="6"/>
      <c r="I248" s="11" t="b">
        <f t="shared" si="2"/>
        <v>0</v>
      </c>
      <c r="K248" s="11" t="b">
        <f t="shared" si="3"/>
        <v>0</v>
      </c>
    </row>
    <row r="249" ht="22.5" customHeight="1">
      <c r="A249" s="12">
        <f t="shared" si="4"/>
        <v>3847</v>
      </c>
      <c r="B249" s="6" t="s">
        <v>11790</v>
      </c>
      <c r="C249" s="7" t="str">
        <f t="shared" si="1"/>
        <v>🔊</v>
      </c>
      <c r="D249" s="8" t="s">
        <v>11791</v>
      </c>
      <c r="E249" s="6" t="s">
        <v>232</v>
      </c>
      <c r="F249" s="12" t="str">
        <f>IFERROR(__xludf.DUMMYFUNCTION("GOOGLETRANSLATE(B249,""zh_cn"",""vi"")"),"khoản vay")</f>
        <v>khoản vay</v>
      </c>
      <c r="G249" s="12"/>
      <c r="H249" s="6"/>
      <c r="I249" s="11" t="b">
        <f t="shared" si="2"/>
        <v>0</v>
      </c>
      <c r="K249" s="11" t="b">
        <f t="shared" si="3"/>
        <v>0</v>
      </c>
    </row>
    <row r="250" ht="22.5" customHeight="1">
      <c r="A250" s="12">
        <f t="shared" si="4"/>
        <v>3848</v>
      </c>
      <c r="B250" s="6" t="s">
        <v>11792</v>
      </c>
      <c r="C250" s="7" t="str">
        <f t="shared" si="1"/>
        <v>🔊</v>
      </c>
      <c r="D250" s="8" t="s">
        <v>11793</v>
      </c>
      <c r="E250" s="6" t="s">
        <v>13</v>
      </c>
      <c r="F250" s="12" t="str">
        <f>IFERROR(__xludf.DUMMYFUNCTION("GOOGLETRANSLATE(B250,""zh_cn"",""vi"")"),"diễn xuất")</f>
        <v>diễn xuất</v>
      </c>
      <c r="G250" s="12"/>
      <c r="H250" s="6"/>
      <c r="I250" s="11" t="b">
        <f t="shared" si="2"/>
        <v>0</v>
      </c>
      <c r="K250" s="11" t="b">
        <f t="shared" si="3"/>
        <v>0</v>
      </c>
    </row>
    <row r="251" ht="22.5" customHeight="1">
      <c r="A251" s="12">
        <f t="shared" si="4"/>
        <v>3849</v>
      </c>
      <c r="B251" s="6" t="s">
        <v>11794</v>
      </c>
      <c r="C251" s="7" t="str">
        <f t="shared" si="1"/>
        <v>🔊</v>
      </c>
      <c r="D251" s="8" t="s">
        <v>11795</v>
      </c>
      <c r="E251" s="6" t="s">
        <v>13</v>
      </c>
      <c r="F251" s="12" t="str">
        <f>IFERROR(__xludf.DUMMYFUNCTION("GOOGLETRANSLATE(B251,""zh_cn"",""vi"")"),"chỉ huy")</f>
        <v>chỉ huy</v>
      </c>
      <c r="G251" s="12"/>
      <c r="H251" s="6"/>
      <c r="I251" s="11" t="b">
        <f t="shared" si="2"/>
        <v>0</v>
      </c>
      <c r="K251" s="11" t="b">
        <f t="shared" si="3"/>
        <v>0</v>
      </c>
    </row>
    <row r="252" ht="22.5" customHeight="1">
      <c r="A252" s="12">
        <f t="shared" si="4"/>
        <v>3850</v>
      </c>
      <c r="B252" s="6" t="s">
        <v>11796</v>
      </c>
      <c r="C252" s="7" t="str">
        <f t="shared" si="1"/>
        <v>🔊</v>
      </c>
      <c r="D252" s="8" t="s">
        <v>11797</v>
      </c>
      <c r="E252" s="6" t="s">
        <v>13</v>
      </c>
      <c r="F252" s="12" t="str">
        <f>IFERROR(__xludf.DUMMYFUNCTION("GOOGLETRANSLATE(B252,""zh_cn"",""vi"")"),"đánh đập")</f>
        <v>đánh đập</v>
      </c>
      <c r="G252" s="12"/>
      <c r="H252" s="6"/>
      <c r="I252" s="11" t="b">
        <f t="shared" si="2"/>
        <v>0</v>
      </c>
      <c r="K252" s="11" t="b">
        <f t="shared" si="3"/>
        <v>0</v>
      </c>
    </row>
    <row r="253" ht="22.5" customHeight="1">
      <c r="A253" s="12">
        <f t="shared" si="4"/>
        <v>3851</v>
      </c>
      <c r="B253" s="6" t="s">
        <v>11798</v>
      </c>
      <c r="C253" s="7" t="str">
        <f t="shared" si="1"/>
        <v>🔊</v>
      </c>
      <c r="D253" s="8" t="s">
        <v>11799</v>
      </c>
      <c r="E253" s="6" t="s">
        <v>13</v>
      </c>
      <c r="F253" s="12" t="str">
        <f>IFERROR(__xludf.DUMMYFUNCTION("GOOGLETRANSLATE(B253,""zh_cn"",""vi"")"),"trận đánh")</f>
        <v>trận đánh</v>
      </c>
      <c r="G253" s="12"/>
      <c r="H253" s="6"/>
      <c r="I253" s="11" t="b">
        <f t="shared" si="2"/>
        <v>0</v>
      </c>
      <c r="K253" s="11" t="b">
        <f t="shared" si="3"/>
        <v>0</v>
      </c>
    </row>
    <row r="254" ht="22.5" customHeight="1">
      <c r="A254" s="12">
        <f t="shared" si="4"/>
        <v>3852</v>
      </c>
      <c r="B254" s="6" t="s">
        <v>11800</v>
      </c>
      <c r="C254" s="7" t="str">
        <f t="shared" si="1"/>
        <v>🔊</v>
      </c>
      <c r="D254" s="8" t="s">
        <v>11801</v>
      </c>
      <c r="E254" s="6" t="s">
        <v>13</v>
      </c>
      <c r="F254" s="12" t="str">
        <f>IFERROR(__xludf.DUMMYFUNCTION("GOOGLETRANSLATE(B254,""zh_cn"",""vi"")"),"Đăng ký vào")</f>
        <v>Đăng ký vào</v>
      </c>
      <c r="G254" s="12"/>
      <c r="H254" s="6"/>
      <c r="I254" s="11" t="b">
        <f t="shared" si="2"/>
        <v>0</v>
      </c>
      <c r="K254" s="11" t="b">
        <f t="shared" si="3"/>
        <v>0</v>
      </c>
    </row>
    <row r="255" ht="22.5" customHeight="1">
      <c r="A255" s="12">
        <f t="shared" si="4"/>
        <v>3853</v>
      </c>
      <c r="B255" s="6" t="s">
        <v>11802</v>
      </c>
      <c r="C255" s="7" t="str">
        <f t="shared" si="1"/>
        <v>🔊</v>
      </c>
      <c r="D255" s="8" t="s">
        <v>11803</v>
      </c>
      <c r="E255" s="6" t="s">
        <v>13</v>
      </c>
      <c r="F255" s="12" t="str">
        <f>IFERROR(__xludf.DUMMYFUNCTION("GOOGLETRANSLATE(B255,""zh_cn"",""vi"")"),"sấm sét")</f>
        <v>sấm sét</v>
      </c>
      <c r="G255" s="12"/>
      <c r="H255" s="6"/>
      <c r="I255" s="11" t="b">
        <f t="shared" si="2"/>
        <v>0</v>
      </c>
      <c r="K255" s="11" t="b">
        <f t="shared" si="3"/>
        <v>0</v>
      </c>
    </row>
    <row r="256" ht="22.5" customHeight="1">
      <c r="A256" s="12">
        <f t="shared" si="4"/>
        <v>3854</v>
      </c>
      <c r="B256" s="6" t="s">
        <v>11804</v>
      </c>
      <c r="C256" s="7" t="str">
        <f t="shared" si="1"/>
        <v>🔊</v>
      </c>
      <c r="D256" s="8" t="s">
        <v>11805</v>
      </c>
      <c r="E256" s="6" t="s">
        <v>27</v>
      </c>
      <c r="F256" s="12" t="str">
        <f>IFERROR(__xludf.DUMMYFUNCTION("GOOGLETRANSLATE(B256,""zh_cn"",""vi"")"),"protein")</f>
        <v>protein</v>
      </c>
      <c r="G256" s="12"/>
      <c r="H256" s="6"/>
      <c r="I256" s="11" t="b">
        <f t="shared" si="2"/>
        <v>0</v>
      </c>
      <c r="K256" s="11" t="b">
        <f t="shared" si="3"/>
        <v>0</v>
      </c>
    </row>
    <row r="257" ht="22.5" customHeight="1">
      <c r="A257" s="12">
        <f t="shared" si="4"/>
        <v>3855</v>
      </c>
      <c r="B257" s="6" t="s">
        <v>11806</v>
      </c>
      <c r="C257" s="7" t="str">
        <f t="shared" si="1"/>
        <v>🔊</v>
      </c>
      <c r="D257" s="8" t="s">
        <v>11807</v>
      </c>
      <c r="E257" s="6" t="s">
        <v>99</v>
      </c>
      <c r="F257" s="12" t="str">
        <f>IFERROR(__xludf.DUMMYFUNCTION("GOOGLETRANSLATE(B257,""zh_cn"",""vi"")"),"đơn giản")</f>
        <v>đơn giản</v>
      </c>
      <c r="G257" s="12"/>
      <c r="H257" s="6"/>
      <c r="I257" s="11" t="b">
        <f t="shared" si="2"/>
        <v>0</v>
      </c>
      <c r="K257" s="11" t="b">
        <f t="shared" si="3"/>
        <v>0</v>
      </c>
    </row>
    <row r="258" ht="22.5" customHeight="1">
      <c r="A258" s="12">
        <f t="shared" si="4"/>
        <v>3856</v>
      </c>
      <c r="B258" s="6" t="s">
        <v>11808</v>
      </c>
      <c r="C258" s="7" t="str">
        <f t="shared" si="1"/>
        <v>🔊</v>
      </c>
      <c r="D258" s="8" t="s">
        <v>11809</v>
      </c>
      <c r="E258" s="6" t="s">
        <v>99</v>
      </c>
      <c r="F258" s="12" t="str">
        <f>IFERROR(__xludf.DUMMYFUNCTION("GOOGLETRANSLATE(B258,""zh_cn"",""vi"")"),"đơn điệu")</f>
        <v>đơn điệu</v>
      </c>
      <c r="G258" s="12"/>
      <c r="H258" s="6"/>
      <c r="I258" s="11" t="b">
        <f t="shared" si="2"/>
        <v>0</v>
      </c>
      <c r="K258" s="11" t="b">
        <f t="shared" si="3"/>
        <v>0</v>
      </c>
    </row>
    <row r="259" ht="22.5" customHeight="1">
      <c r="A259" s="12">
        <f t="shared" si="4"/>
        <v>3857</v>
      </c>
      <c r="B259" s="6" t="s">
        <v>11810</v>
      </c>
      <c r="C259" s="7" t="str">
        <f t="shared" si="1"/>
        <v>🔊</v>
      </c>
      <c r="D259" s="8" t="s">
        <v>11811</v>
      </c>
      <c r="E259" s="6" t="s">
        <v>27</v>
      </c>
      <c r="F259" s="12" t="str">
        <f>IFERROR(__xludf.DUMMYFUNCTION("GOOGLETRANSLATE(B259,""zh_cn"",""vi"")"),"tài liệu")</f>
        <v>tài liệu</v>
      </c>
      <c r="G259" s="12"/>
      <c r="H259" s="6"/>
      <c r="I259" s="11" t="b">
        <f t="shared" si="2"/>
        <v>0</v>
      </c>
      <c r="K259" s="11" t="b">
        <f t="shared" si="3"/>
        <v>0</v>
      </c>
    </row>
    <row r="260" ht="22.5" customHeight="1">
      <c r="A260" s="12">
        <f t="shared" si="4"/>
        <v>3858</v>
      </c>
      <c r="B260" s="6" t="s">
        <v>11812</v>
      </c>
      <c r="C260" s="7" t="str">
        <f t="shared" si="1"/>
        <v>🔊</v>
      </c>
      <c r="D260" s="8" t="s">
        <v>11813</v>
      </c>
      <c r="E260" s="6" t="s">
        <v>61</v>
      </c>
      <c r="F260" s="12" t="str">
        <f>IFERROR(__xludf.DUMMYFUNCTION("GOOGLETRANSLATE(B260,""zh_cn"",""vi"")"),"ngay tại chỗ")</f>
        <v>ngay tại chỗ</v>
      </c>
      <c r="G260" s="12"/>
      <c r="H260" s="6"/>
      <c r="I260" s="11" t="b">
        <f t="shared" si="2"/>
        <v>0</v>
      </c>
      <c r="K260" s="11" t="b">
        <f t="shared" si="3"/>
        <v>0</v>
      </c>
    </row>
    <row r="261" ht="22.5" customHeight="1">
      <c r="A261" s="12">
        <f t="shared" si="4"/>
        <v>3859</v>
      </c>
      <c r="B261" s="6" t="s">
        <v>11814</v>
      </c>
      <c r="C261" s="7" t="str">
        <f t="shared" si="1"/>
        <v>🔊</v>
      </c>
      <c r="D261" s="8" t="s">
        <v>11815</v>
      </c>
      <c r="E261" s="6" t="s">
        <v>27</v>
      </c>
      <c r="F261" s="12" t="str">
        <f>IFERROR(__xludf.DUMMYFUNCTION("GOOGLETRANSLATE(B261,""zh_cn"",""vi"")"),"Ban đầu")</f>
        <v>Ban đầu</v>
      </c>
      <c r="G261" s="12"/>
      <c r="H261" s="6"/>
      <c r="I261" s="11" t="b">
        <f t="shared" si="2"/>
        <v>0</v>
      </c>
      <c r="K261" s="11" t="b">
        <f t="shared" si="3"/>
        <v>0</v>
      </c>
    </row>
    <row r="262" ht="22.5" customHeight="1">
      <c r="A262" s="12">
        <f t="shared" si="4"/>
        <v>3860</v>
      </c>
      <c r="B262" s="6" t="s">
        <v>11816</v>
      </c>
      <c r="C262" s="7" t="str">
        <f t="shared" si="1"/>
        <v>🔊</v>
      </c>
      <c r="D262" s="8" t="s">
        <v>11817</v>
      </c>
      <c r="E262" s="6" t="s">
        <v>27</v>
      </c>
      <c r="F262" s="12" t="str">
        <f>IFERROR(__xludf.DUMMYFUNCTION("GOOGLETRANSLATE(B262,""zh_cn"",""vi"")"),"đồng thời")</f>
        <v>đồng thời</v>
      </c>
      <c r="G262" s="12"/>
      <c r="H262" s="6"/>
      <c r="I262" s="11" t="b">
        <f t="shared" si="2"/>
        <v>0</v>
      </c>
      <c r="K262" s="11" t="b">
        <f t="shared" si="3"/>
        <v>0</v>
      </c>
    </row>
    <row r="263" ht="22.5" customHeight="1">
      <c r="A263" s="12">
        <f t="shared" si="4"/>
        <v>3861</v>
      </c>
      <c r="B263" s="6" t="s">
        <v>11818</v>
      </c>
      <c r="C263" s="7" t="str">
        <f t="shared" si="1"/>
        <v>🔊</v>
      </c>
      <c r="D263" s="8" t="s">
        <v>11819</v>
      </c>
      <c r="E263" s="6" t="s">
        <v>27</v>
      </c>
      <c r="F263" s="12" t="str">
        <f>IFERROR(__xludf.DUMMYFUNCTION("GOOGLETRANSLATE(B263,""zh_cn"",""vi"")"),"Hôm nay")</f>
        <v>Hôm nay</v>
      </c>
      <c r="G263" s="12"/>
      <c r="H263" s="6"/>
      <c r="I263" s="11" t="b">
        <f t="shared" si="2"/>
        <v>0</v>
      </c>
      <c r="K263" s="11" t="b">
        <f t="shared" si="3"/>
        <v>0</v>
      </c>
    </row>
    <row r="264" ht="22.5" customHeight="1">
      <c r="A264" s="12">
        <f t="shared" si="4"/>
        <v>3862</v>
      </c>
      <c r="B264" s="6" t="s">
        <v>11820</v>
      </c>
      <c r="C264" s="7" t="str">
        <f t="shared" si="1"/>
        <v>🔊</v>
      </c>
      <c r="D264" s="8" t="s">
        <v>11821</v>
      </c>
      <c r="E264" s="6" t="s">
        <v>61</v>
      </c>
      <c r="F264" s="12" t="str">
        <f>IFERROR(__xludf.DUMMYFUNCTION("GOOGLETRANSLATE(B264,""zh_cn"",""vi"")"),"trực tiếp")</f>
        <v>trực tiếp</v>
      </c>
      <c r="G264" s="12"/>
      <c r="H264" s="6"/>
      <c r="I264" s="11" t="b">
        <f t="shared" si="2"/>
        <v>0</v>
      </c>
      <c r="K264" s="11" t="b">
        <f t="shared" si="3"/>
        <v>0</v>
      </c>
    </row>
    <row r="265" ht="22.5" customHeight="1">
      <c r="A265" s="12">
        <f t="shared" si="4"/>
        <v>3863</v>
      </c>
      <c r="B265" s="6" t="s">
        <v>11822</v>
      </c>
      <c r="C265" s="7" t="str">
        <f t="shared" si="1"/>
        <v>🔊</v>
      </c>
      <c r="D265" s="8" t="s">
        <v>11823</v>
      </c>
      <c r="E265" s="6" t="s">
        <v>27</v>
      </c>
      <c r="F265" s="12" t="str">
        <f>IFERROR(__xludf.DUMMYFUNCTION("GOOGLETRANSLATE(B265,""zh_cn"",""vi"")"),"Ngày hôm đó")</f>
        <v>Ngày hôm đó</v>
      </c>
      <c r="G265" s="12"/>
      <c r="H265" s="6"/>
      <c r="I265" s="11" t="b">
        <f t="shared" si="2"/>
        <v>0</v>
      </c>
      <c r="K265" s="11" t="b">
        <f t="shared" si="3"/>
        <v>0</v>
      </c>
    </row>
    <row r="266" ht="22.5" customHeight="1">
      <c r="A266" s="12">
        <f t="shared" si="4"/>
        <v>3864</v>
      </c>
      <c r="B266" s="6" t="s">
        <v>11824</v>
      </c>
      <c r="C266" s="7" t="str">
        <f t="shared" si="1"/>
        <v>🔊</v>
      </c>
      <c r="D266" s="8" t="s">
        <v>11825</v>
      </c>
      <c r="E266" s="6" t="s">
        <v>3089</v>
      </c>
      <c r="F266" s="12" t="str">
        <f>IFERROR(__xludf.DUMMYFUNCTION("GOOGLETRANSLATE(B266,""zh_cn"",""vi"")"),"Hiện nay")</f>
        <v>Hiện nay</v>
      </c>
      <c r="G266" s="12"/>
      <c r="H266" s="6"/>
      <c r="I266" s="11" t="b">
        <f t="shared" si="2"/>
        <v>0</v>
      </c>
      <c r="K266" s="11" t="b">
        <f t="shared" si="3"/>
        <v>0</v>
      </c>
    </row>
    <row r="267" ht="22.5" customHeight="1">
      <c r="A267" s="12">
        <f t="shared" si="4"/>
        <v>3865</v>
      </c>
      <c r="B267" s="6" t="s">
        <v>11826</v>
      </c>
      <c r="C267" s="7" t="str">
        <f t="shared" si="1"/>
        <v>🔊</v>
      </c>
      <c r="D267" s="8" t="s">
        <v>11827</v>
      </c>
      <c r="E267" s="6" t="s">
        <v>13</v>
      </c>
      <c r="F267" s="12" t="str">
        <f>IFERROR(__xludf.DUMMYFUNCTION("GOOGLETRANSLATE(B267,""zh_cn"",""vi"")"),"được bầu chọn")</f>
        <v>được bầu chọn</v>
      </c>
      <c r="G267" s="12"/>
      <c r="H267" s="6"/>
      <c r="I267" s="11" t="b">
        <f t="shared" si="2"/>
        <v>0</v>
      </c>
      <c r="K267" s="11" t="b">
        <f t="shared" si="3"/>
        <v>0</v>
      </c>
    </row>
    <row r="268" ht="22.5" customHeight="1">
      <c r="A268" s="12">
        <f t="shared" si="4"/>
        <v>3866</v>
      </c>
      <c r="B268" s="6" t="s">
        <v>11828</v>
      </c>
      <c r="C268" s="7" t="str">
        <f t="shared" si="1"/>
        <v>🔊</v>
      </c>
      <c r="D268" s="8" t="s">
        <v>11829</v>
      </c>
      <c r="E268" s="6" t="s">
        <v>13</v>
      </c>
      <c r="F268" s="12" t="str">
        <f>IFERROR(__xludf.DUMMYFUNCTION("GOOGLETRANSLATE(B268,""zh_cn"",""vi"")"),"Sinh")</f>
        <v>Sinh</v>
      </c>
      <c r="G268" s="12"/>
      <c r="H268" s="6"/>
      <c r="I268" s="11" t="b">
        <f t="shared" si="2"/>
        <v>0</v>
      </c>
      <c r="K268" s="11" t="b">
        <f t="shared" si="3"/>
        <v>0</v>
      </c>
    </row>
    <row r="269" ht="22.5" customHeight="1">
      <c r="A269" s="12">
        <f t="shared" si="4"/>
        <v>3867</v>
      </c>
      <c r="B269" s="6" t="s">
        <v>11830</v>
      </c>
      <c r="C269" s="7" t="str">
        <f t="shared" si="1"/>
        <v>🔊</v>
      </c>
      <c r="D269" s="8" t="s">
        <v>11831</v>
      </c>
      <c r="E269" s="6" t="s">
        <v>13</v>
      </c>
      <c r="F269" s="12" t="str">
        <f>IFERROR(__xludf.DUMMYFUNCTION("GOOGLETRANSLATE(B269,""zh_cn"",""vi"")"),"đợi đã")</f>
        <v>đợi đã</v>
      </c>
      <c r="G269" s="12"/>
      <c r="H269" s="6"/>
      <c r="I269" s="11" t="b">
        <f t="shared" si="2"/>
        <v>0</v>
      </c>
      <c r="K269" s="11" t="b">
        <f t="shared" si="3"/>
        <v>0</v>
      </c>
    </row>
    <row r="270" ht="22.5" customHeight="1">
      <c r="A270" s="12">
        <f t="shared" si="4"/>
        <v>3868</v>
      </c>
      <c r="B270" s="6" t="s">
        <v>11832</v>
      </c>
      <c r="C270" s="7" t="str">
        <f t="shared" si="1"/>
        <v>🔊</v>
      </c>
      <c r="D270" s="8" t="s">
        <v>11833</v>
      </c>
      <c r="E270" s="6" t="s">
        <v>13</v>
      </c>
      <c r="F270" s="12" t="str">
        <f>IFERROR(__xludf.DUMMYFUNCTION("GOOGLETRANSLATE(B270,""zh_cn"",""vi"")"),"Bận tâm")</f>
        <v>Bận tâm</v>
      </c>
      <c r="G270" s="12"/>
      <c r="H270" s="6"/>
      <c r="I270" s="11" t="b">
        <f t="shared" si="2"/>
        <v>0</v>
      </c>
      <c r="K270" s="11" t="b">
        <f t="shared" si="3"/>
        <v>0</v>
      </c>
    </row>
    <row r="271" ht="22.5" customHeight="1">
      <c r="A271" s="12">
        <f t="shared" si="4"/>
        <v>3869</v>
      </c>
      <c r="B271" s="6" t="s">
        <v>11834</v>
      </c>
      <c r="C271" s="7" t="str">
        <f t="shared" si="1"/>
        <v>🔊</v>
      </c>
      <c r="D271" s="8" t="s">
        <v>7346</v>
      </c>
      <c r="E271" s="6" t="s">
        <v>27</v>
      </c>
      <c r="F271" s="12" t="str">
        <f>IFERROR(__xludf.DUMMYFUNCTION("GOOGLETRANSLATE(B271,""zh_cn"",""vi"")"),"hòn đảo")</f>
        <v>hòn đảo</v>
      </c>
      <c r="G271" s="12"/>
      <c r="H271" s="6"/>
      <c r="I271" s="11" t="b">
        <f t="shared" si="2"/>
        <v>0</v>
      </c>
      <c r="K271" s="11" t="b">
        <f t="shared" si="3"/>
        <v>0</v>
      </c>
    </row>
    <row r="272" ht="22.5" customHeight="1">
      <c r="A272" s="12">
        <f t="shared" si="4"/>
        <v>3870</v>
      </c>
      <c r="B272" s="6" t="s">
        <v>11835</v>
      </c>
      <c r="C272" s="7" t="str">
        <f t="shared" si="1"/>
        <v>🔊</v>
      </c>
      <c r="D272" s="8" t="s">
        <v>11836</v>
      </c>
      <c r="E272" s="6" t="s">
        <v>13</v>
      </c>
      <c r="F272" s="12" t="str">
        <f>IFERROR(__xludf.DUMMYFUNCTION("GOOGLETRANSLATE(B272,""zh_cn"",""vi"")"),"sụp đổ")</f>
        <v>sụp đổ</v>
      </c>
      <c r="G272" s="12"/>
      <c r="H272" s="6"/>
      <c r="I272" s="11" t="b">
        <f t="shared" si="2"/>
        <v>0</v>
      </c>
      <c r="K272" s="11" t="b">
        <f t="shared" si="3"/>
        <v>0</v>
      </c>
    </row>
    <row r="273" ht="22.5" customHeight="1">
      <c r="A273" s="12">
        <f t="shared" si="4"/>
        <v>3871</v>
      </c>
      <c r="B273" s="6" t="s">
        <v>11837</v>
      </c>
      <c r="C273" s="7" t="str">
        <f t="shared" si="1"/>
        <v>🔊</v>
      </c>
      <c r="D273" s="8" t="s">
        <v>11838</v>
      </c>
      <c r="E273" s="6" t="s">
        <v>13</v>
      </c>
      <c r="F273" s="12" t="str">
        <f>IFERROR(__xludf.DUMMYFUNCTION("GOOGLETRANSLATE(B273,""zh_cn"",""vi"")"),"Đảo ngược")</f>
        <v>Đảo ngược</v>
      </c>
      <c r="G273" s="12"/>
      <c r="H273" s="6"/>
      <c r="I273" s="11" t="b">
        <f t="shared" si="2"/>
        <v>0</v>
      </c>
      <c r="K273" s="11" t="b">
        <f t="shared" si="3"/>
        <v>0</v>
      </c>
    </row>
    <row r="274" ht="22.5" customHeight="1">
      <c r="A274" s="12">
        <f t="shared" si="4"/>
        <v>3872</v>
      </c>
      <c r="B274" s="6" t="s">
        <v>11839</v>
      </c>
      <c r="C274" s="7" t="str">
        <f t="shared" si="1"/>
        <v>🔊</v>
      </c>
      <c r="D274" s="8" t="s">
        <v>11840</v>
      </c>
      <c r="E274" s="6" t="s">
        <v>3430</v>
      </c>
      <c r="F274" s="12" t="str">
        <f>IFERROR(__xludf.DUMMYFUNCTION("GOOGLETRANSLATE(B274,""zh_cn"",""vi"")"),"Đạo đức")</f>
        <v>Đạo đức</v>
      </c>
      <c r="G274" s="12"/>
      <c r="H274" s="6"/>
      <c r="I274" s="11" t="b">
        <f t="shared" si="2"/>
        <v>0</v>
      </c>
      <c r="K274" s="11" t="b">
        <f t="shared" si="3"/>
        <v>0</v>
      </c>
    </row>
    <row r="275" ht="22.5" customHeight="1">
      <c r="A275" s="12">
        <f t="shared" si="4"/>
        <v>3873</v>
      </c>
      <c r="B275" s="6" t="s">
        <v>11841</v>
      </c>
      <c r="C275" s="7" t="str">
        <f t="shared" si="1"/>
        <v>🔊</v>
      </c>
      <c r="D275" s="8" t="s">
        <v>11842</v>
      </c>
      <c r="E275" s="6" t="s">
        <v>61</v>
      </c>
      <c r="F275" s="12" t="str">
        <f>IFERROR(__xludf.DUMMYFUNCTION("GOOGLETRANSLATE(B275,""zh_cn"",""vi"")"),"Tuy nhiên")</f>
        <v>Tuy nhiên</v>
      </c>
      <c r="G275" s="12"/>
      <c r="H275" s="6"/>
      <c r="I275" s="11" t="b">
        <f t="shared" si="2"/>
        <v>0</v>
      </c>
      <c r="K275" s="11" t="b">
        <f t="shared" si="3"/>
        <v>0</v>
      </c>
    </row>
    <row r="276" ht="22.5" customHeight="1">
      <c r="A276" s="12">
        <f t="shared" si="4"/>
        <v>3874</v>
      </c>
      <c r="B276" s="6" t="s">
        <v>11843</v>
      </c>
      <c r="C276" s="7" t="str">
        <f t="shared" si="1"/>
        <v>🔊</v>
      </c>
      <c r="D276" s="8" t="s">
        <v>11844</v>
      </c>
      <c r="E276" s="6" t="s">
        <v>27</v>
      </c>
      <c r="F276" s="12" t="str">
        <f>IFERROR(__xludf.DUMMYFUNCTION("GOOGLETRANSLATE(B276,""zh_cn"",""vi"")"),"gia sư")</f>
        <v>gia sư</v>
      </c>
      <c r="G276" s="12"/>
      <c r="H276" s="6"/>
      <c r="I276" s="11" t="b">
        <f t="shared" si="2"/>
        <v>0</v>
      </c>
      <c r="K276" s="11" t="b">
        <f t="shared" si="3"/>
        <v>0</v>
      </c>
    </row>
    <row r="277" ht="22.5" customHeight="1">
      <c r="A277" s="12">
        <f t="shared" si="4"/>
        <v>3875</v>
      </c>
      <c r="B277" s="6" t="s">
        <v>11845</v>
      </c>
      <c r="C277" s="7" t="str">
        <f t="shared" si="1"/>
        <v>🔊</v>
      </c>
      <c r="D277" s="8" t="s">
        <v>11846</v>
      </c>
      <c r="E277" s="6" t="s">
        <v>368</v>
      </c>
      <c r="F277" s="12" t="str">
        <f>IFERROR(__xludf.DUMMYFUNCTION("GOOGLETRANSLATE(B277,""zh_cn"",""vi"")"),"Ghép nối")</f>
        <v>Ghép nối</v>
      </c>
      <c r="G277" s="12"/>
      <c r="H277" s="6"/>
      <c r="I277" s="11" t="b">
        <f t="shared" si="2"/>
        <v>0</v>
      </c>
      <c r="K277" s="11" t="b">
        <f t="shared" si="3"/>
        <v>0</v>
      </c>
    </row>
    <row r="278" ht="22.5" customHeight="1">
      <c r="A278" s="12">
        <f t="shared" si="4"/>
        <v>3876</v>
      </c>
      <c r="B278" s="6" t="s">
        <v>11847</v>
      </c>
      <c r="C278" s="7" t="str">
        <f t="shared" si="1"/>
        <v>🔊</v>
      </c>
      <c r="D278" s="8" t="s">
        <v>11848</v>
      </c>
      <c r="E278" s="6" t="s">
        <v>27</v>
      </c>
      <c r="F278" s="12" t="str">
        <f>IFERROR(__xludf.DUMMYFUNCTION("GOOGLETRANSLATE(B278,""zh_cn"",""vi"")"),"đại sứ")</f>
        <v>đại sứ</v>
      </c>
      <c r="G278" s="12"/>
      <c r="H278" s="6"/>
      <c r="I278" s="11" t="b">
        <f t="shared" si="2"/>
        <v>0</v>
      </c>
      <c r="K278" s="11" t="b">
        <f t="shared" si="3"/>
        <v>0</v>
      </c>
    </row>
    <row r="279" ht="22.5" customHeight="1">
      <c r="A279" s="12">
        <f t="shared" si="4"/>
        <v>3877</v>
      </c>
      <c r="B279" s="6" t="s">
        <v>11849</v>
      </c>
      <c r="C279" s="7" t="str">
        <f t="shared" si="1"/>
        <v>🔊</v>
      </c>
      <c r="D279" s="8" t="s">
        <v>11850</v>
      </c>
      <c r="E279" s="6" t="s">
        <v>27</v>
      </c>
      <c r="F279" s="12" t="str">
        <f>IFERROR(__xludf.DUMMYFUNCTION("GOOGLETRANSLATE(B279,""zh_cn"",""vi"")"),"bậc thầy")</f>
        <v>bậc thầy</v>
      </c>
      <c r="G279" s="12"/>
      <c r="H279" s="6"/>
      <c r="I279" s="11" t="b">
        <f t="shared" si="2"/>
        <v>0</v>
      </c>
      <c r="K279" s="11" t="b">
        <f t="shared" si="3"/>
        <v>0</v>
      </c>
    </row>
    <row r="280" ht="22.5" customHeight="1">
      <c r="A280" s="12">
        <f t="shared" si="4"/>
        <v>3878</v>
      </c>
      <c r="B280" s="6" t="s">
        <v>11851</v>
      </c>
      <c r="C280" s="7" t="str">
        <f t="shared" si="1"/>
        <v>🔊</v>
      </c>
      <c r="D280" s="8" t="s">
        <v>11852</v>
      </c>
      <c r="E280" s="6" t="s">
        <v>27</v>
      </c>
      <c r="F280" s="12" t="str">
        <f>IFERROR(__xludf.DUMMYFUNCTION("GOOGLETRANSLATE(B280,""zh_cn"",""vi"")"),"Châu Đại Dương")</f>
        <v>Châu Đại Dương</v>
      </c>
      <c r="G280" s="12"/>
      <c r="H280" s="6"/>
      <c r="I280" s="11" t="b">
        <f t="shared" si="2"/>
        <v>0</v>
      </c>
      <c r="K280" s="11" t="b">
        <f t="shared" si="3"/>
        <v>0</v>
      </c>
    </row>
    <row r="281" ht="22.5" customHeight="1">
      <c r="A281" s="12">
        <f t="shared" si="4"/>
        <v>3879</v>
      </c>
      <c r="B281" s="6" t="s">
        <v>11853</v>
      </c>
      <c r="C281" s="7" t="str">
        <f t="shared" si="1"/>
        <v>🔊</v>
      </c>
      <c r="D281" s="8" t="s">
        <v>11854</v>
      </c>
      <c r="E281" s="6" t="s">
        <v>13</v>
      </c>
      <c r="F281" s="12" t="str">
        <f>IFERROR(__xludf.DUMMYFUNCTION("GOOGLETRANSLATE(B281,""zh_cn"",""vi"")"),"Tạo nên")</f>
        <v>Tạo nên</v>
      </c>
      <c r="G281" s="12"/>
      <c r="H281" s="6"/>
      <c r="I281" s="11" t="b">
        <f t="shared" si="2"/>
        <v>0</v>
      </c>
      <c r="K281" s="11" t="b">
        <f t="shared" si="3"/>
        <v>0</v>
      </c>
    </row>
    <row r="282" ht="22.5" customHeight="1">
      <c r="A282" s="12">
        <f t="shared" si="4"/>
        <v>3880</v>
      </c>
      <c r="B282" s="6" t="s">
        <v>11855</v>
      </c>
      <c r="C282" s="7" t="str">
        <f t="shared" si="1"/>
        <v>🔊</v>
      </c>
      <c r="D282" s="8" t="s">
        <v>11856</v>
      </c>
      <c r="E282" s="6" t="s">
        <v>13</v>
      </c>
      <c r="F282" s="12" t="str">
        <f>IFERROR(__xludf.DUMMYFUNCTION("GOOGLETRANSLATE(B282,""zh_cn"",""vi"")"),"trận đánh")</f>
        <v>trận đánh</v>
      </c>
      <c r="G282" s="12"/>
      <c r="H282" s="6"/>
      <c r="I282" s="11" t="b">
        <f t="shared" si="2"/>
        <v>0</v>
      </c>
      <c r="K282" s="11" t="b">
        <f t="shared" si="3"/>
        <v>0</v>
      </c>
    </row>
    <row r="283" ht="22.5" customHeight="1">
      <c r="A283" s="12">
        <f t="shared" si="4"/>
        <v>3881</v>
      </c>
      <c r="B283" s="6" t="s">
        <v>11857</v>
      </c>
      <c r="C283" s="7" t="str">
        <f t="shared" si="1"/>
        <v>🔊</v>
      </c>
      <c r="D283" s="8" t="s">
        <v>11858</v>
      </c>
      <c r="E283" s="6" t="s">
        <v>1308</v>
      </c>
      <c r="F283" s="12" t="str">
        <f>IFERROR(__xludf.DUMMYFUNCTION("GOOGLETRANSLATE(B283,""zh_cn"",""vi"")"),"khoảng")</f>
        <v>khoảng</v>
      </c>
      <c r="G283" s="12"/>
      <c r="H283" s="6"/>
      <c r="I283" s="11" t="b">
        <f t="shared" si="2"/>
        <v>0</v>
      </c>
      <c r="K283" s="11" t="b">
        <f t="shared" si="3"/>
        <v>0</v>
      </c>
    </row>
    <row r="284" ht="22.5" customHeight="1">
      <c r="A284" s="12">
        <f t="shared" si="4"/>
        <v>3882</v>
      </c>
      <c r="B284" s="6" t="s">
        <v>11859</v>
      </c>
      <c r="C284" s="7" t="str">
        <f t="shared" si="1"/>
        <v>🔊</v>
      </c>
      <c r="D284" s="8" t="s">
        <v>11860</v>
      </c>
      <c r="E284" s="6" t="s">
        <v>11861</v>
      </c>
      <c r="F284" s="12" t="str">
        <f>IFERROR(__xludf.DUMMYFUNCTION("GOOGLETRANSLATE(B284,""zh_cn"",""vi"")"),"Đồng ý")</f>
        <v>Đồng ý</v>
      </c>
      <c r="G284" s="12"/>
      <c r="H284" s="6"/>
      <c r="I284" s="11" t="b">
        <f t="shared" si="2"/>
        <v>0</v>
      </c>
      <c r="K284" s="11" t="b">
        <f t="shared" si="3"/>
        <v>0</v>
      </c>
    </row>
    <row r="285" ht="22.5" customHeight="1">
      <c r="A285" s="12">
        <f t="shared" si="4"/>
        <v>3883</v>
      </c>
      <c r="B285" s="6" t="s">
        <v>11862</v>
      </c>
      <c r="C285" s="7" t="str">
        <f t="shared" si="1"/>
        <v>🔊</v>
      </c>
      <c r="D285" s="8" t="s">
        <v>11863</v>
      </c>
      <c r="E285" s="6" t="s">
        <v>27</v>
      </c>
      <c r="F285" s="12" t="str">
        <f>IFERROR(__xludf.DUMMYFUNCTION("GOOGLETRANSLATE(B285,""zh_cn"",""vi"")"),"cấp")</f>
        <v>cấp</v>
      </c>
      <c r="G285" s="12"/>
      <c r="H285" s="6"/>
      <c r="I285" s="11" t="b">
        <f t="shared" si="2"/>
        <v>0</v>
      </c>
      <c r="K285" s="11" t="b">
        <f t="shared" si="3"/>
        <v>0</v>
      </c>
    </row>
    <row r="286" ht="22.5" customHeight="1">
      <c r="A286" s="12">
        <f t="shared" si="4"/>
        <v>3884</v>
      </c>
      <c r="B286" s="6" t="s">
        <v>11864</v>
      </c>
      <c r="C286" s="7" t="str">
        <f t="shared" si="1"/>
        <v>🔊</v>
      </c>
      <c r="D286" s="8" t="s">
        <v>11865</v>
      </c>
      <c r="E286" s="6" t="s">
        <v>27</v>
      </c>
      <c r="F286" s="12" t="str">
        <f>IFERROR(__xludf.DUMMYFUNCTION("GOOGLETRANSLATE(B286,""zh_cn"",""vi"")"),"đèn lồng")</f>
        <v>đèn lồng</v>
      </c>
      <c r="G286" s="12"/>
      <c r="H286" s="6"/>
      <c r="I286" s="11" t="b">
        <f t="shared" si="2"/>
        <v>0</v>
      </c>
      <c r="K286" s="11" t="b">
        <f t="shared" si="3"/>
        <v>0</v>
      </c>
    </row>
    <row r="287" ht="22.5" customHeight="1">
      <c r="A287" s="12">
        <f t="shared" si="4"/>
        <v>3885</v>
      </c>
      <c r="B287" s="6" t="s">
        <v>11866</v>
      </c>
      <c r="C287" s="7" t="str">
        <f t="shared" si="1"/>
        <v>🔊</v>
      </c>
      <c r="D287" s="8" t="s">
        <v>11867</v>
      </c>
      <c r="E287" s="6" t="s">
        <v>13</v>
      </c>
      <c r="F287" s="12" t="str">
        <f>IFERROR(__xludf.DUMMYFUNCTION("GOOGLETRANSLATE(B287,""zh_cn"",""vi"")"),"Đủ")</f>
        <v>Đủ</v>
      </c>
      <c r="G287" s="12"/>
      <c r="H287" s="6"/>
      <c r="I287" s="11" t="b">
        <f t="shared" si="2"/>
        <v>0</v>
      </c>
      <c r="K287" s="11" t="b">
        <f t="shared" si="3"/>
        <v>0</v>
      </c>
    </row>
    <row r="288" ht="22.5" customHeight="1">
      <c r="A288" s="12">
        <f t="shared" si="4"/>
        <v>3886</v>
      </c>
      <c r="B288" s="6" t="s">
        <v>11868</v>
      </c>
      <c r="C288" s="7" t="str">
        <f t="shared" si="1"/>
        <v>🔊</v>
      </c>
      <c r="D288" s="8" t="s">
        <v>11869</v>
      </c>
      <c r="E288" s="6" t="s">
        <v>13</v>
      </c>
      <c r="F288" s="12" t="str">
        <f>IFERROR(__xludf.DUMMYFUNCTION("GOOGLETRANSLATE(B288,""zh_cn"",""vi"")"),"Đã học")</f>
        <v>Đã học</v>
      </c>
      <c r="G288" s="12"/>
      <c r="H288" s="6"/>
      <c r="I288" s="11" t="b">
        <f t="shared" si="2"/>
        <v>0</v>
      </c>
      <c r="K288" s="11" t="b">
        <f t="shared" si="3"/>
        <v>0</v>
      </c>
    </row>
    <row r="289" ht="22.5" customHeight="1">
      <c r="A289" s="12">
        <f t="shared" si="4"/>
        <v>3887</v>
      </c>
      <c r="B289" s="6" t="s">
        <v>11870</v>
      </c>
      <c r="C289" s="7" t="str">
        <f t="shared" si="1"/>
        <v>🔊</v>
      </c>
      <c r="D289" s="8" t="s">
        <v>3814</v>
      </c>
      <c r="E289" s="6" t="s">
        <v>3215</v>
      </c>
      <c r="F289" s="12" t="str">
        <f>IFERROR(__xludf.DUMMYFUNCTION("GOOGLETRANSLATE(B289,""zh_cn"",""vi"")"),"làm rơi")</f>
        <v>làm rơi</v>
      </c>
      <c r="G289" s="12"/>
      <c r="H289" s="6"/>
      <c r="I289" s="11" t="b">
        <f t="shared" si="2"/>
        <v>0</v>
      </c>
      <c r="K289" s="11" t="b">
        <f t="shared" si="3"/>
        <v>0</v>
      </c>
    </row>
    <row r="290" ht="22.5" customHeight="1">
      <c r="A290" s="12">
        <f t="shared" si="4"/>
        <v>3888</v>
      </c>
      <c r="B290" s="6" t="s">
        <v>11871</v>
      </c>
      <c r="C290" s="7" t="str">
        <f t="shared" si="1"/>
        <v>🔊</v>
      </c>
      <c r="D290" s="8" t="s">
        <v>11872</v>
      </c>
      <c r="E290" s="6" t="s">
        <v>27</v>
      </c>
      <c r="F290" s="12" t="str">
        <f>IFERROR(__xludf.DUMMYFUNCTION("GOOGLETRANSLATE(B290,""zh_cn"",""vi"")"),"nồi cơm điện")</f>
        <v>nồi cơm điện</v>
      </c>
      <c r="G290" s="12"/>
      <c r="H290" s="6"/>
      <c r="I290" s="11" t="b">
        <f t="shared" si="2"/>
        <v>0</v>
      </c>
      <c r="K290" s="11" t="b">
        <f t="shared" si="3"/>
        <v>0</v>
      </c>
    </row>
    <row r="291" ht="22.5" customHeight="1">
      <c r="A291" s="12">
        <f t="shared" si="4"/>
        <v>3889</v>
      </c>
      <c r="B291" s="6" t="s">
        <v>11873</v>
      </c>
      <c r="C291" s="7" t="str">
        <f t="shared" si="1"/>
        <v>🔊</v>
      </c>
      <c r="D291" s="8" t="s">
        <v>11874</v>
      </c>
      <c r="E291" s="6" t="s">
        <v>13</v>
      </c>
      <c r="F291" s="12" t="str">
        <f>IFERROR(__xludf.DUMMYFUNCTION("GOOGLETRANSLATE(B291,""zh_cn"",""vi"")"),"Nhấp chuột")</f>
        <v>Nhấp chuột</v>
      </c>
      <c r="G291" s="12"/>
      <c r="H291" s="6"/>
      <c r="I291" s="11" t="b">
        <f t="shared" si="2"/>
        <v>0</v>
      </c>
      <c r="K291" s="11" t="b">
        <f t="shared" si="3"/>
        <v>0</v>
      </c>
    </row>
    <row r="292" ht="22.5" customHeight="1">
      <c r="A292" s="12">
        <f t="shared" si="4"/>
        <v>3890</v>
      </c>
      <c r="B292" s="6" t="s">
        <v>11875</v>
      </c>
      <c r="C292" s="7" t="str">
        <f t="shared" si="1"/>
        <v>🔊</v>
      </c>
      <c r="D292" s="8" t="s">
        <v>11876</v>
      </c>
      <c r="E292" s="6" t="s">
        <v>27</v>
      </c>
      <c r="F292" s="12" t="str">
        <f>IFERROR(__xludf.DUMMYFUNCTION("GOOGLETRANSLATE(B292,""zh_cn"",""vi"")"),"điện")</f>
        <v>điện</v>
      </c>
      <c r="G292" s="12"/>
      <c r="H292" s="6"/>
      <c r="I292" s="11" t="b">
        <f t="shared" si="2"/>
        <v>0</v>
      </c>
      <c r="K292" s="11" t="b">
        <f t="shared" si="3"/>
        <v>0</v>
      </c>
    </row>
    <row r="293" ht="22.5" customHeight="1">
      <c r="A293" s="12">
        <f t="shared" si="4"/>
        <v>3891</v>
      </c>
      <c r="B293" s="6" t="s">
        <v>11877</v>
      </c>
      <c r="C293" s="7" t="str">
        <f t="shared" si="1"/>
        <v>🔊</v>
      </c>
      <c r="D293" s="8" t="s">
        <v>11878</v>
      </c>
      <c r="E293" s="6" t="s">
        <v>27</v>
      </c>
      <c r="F293" s="12" t="str">
        <f>IFERROR(__xludf.DUMMYFUNCTION("GOOGLETRANSLATE(B293,""zh_cn"",""vi"")"),"lễ")</f>
        <v>lễ</v>
      </c>
      <c r="G293" s="12"/>
      <c r="H293" s="6"/>
      <c r="I293" s="11" t="b">
        <f t="shared" si="2"/>
        <v>0</v>
      </c>
      <c r="K293" s="11" t="b">
        <f t="shared" si="3"/>
        <v>0</v>
      </c>
    </row>
    <row r="294" ht="22.5" customHeight="1">
      <c r="A294" s="12">
        <f t="shared" si="4"/>
        <v>3892</v>
      </c>
      <c r="B294" s="6" t="s">
        <v>11879</v>
      </c>
      <c r="C294" s="7" t="str">
        <f t="shared" si="1"/>
        <v>🔊</v>
      </c>
      <c r="D294" s="8" t="s">
        <v>11880</v>
      </c>
      <c r="E294" s="6" t="s">
        <v>27</v>
      </c>
      <c r="F294" s="12" t="str">
        <f>IFERROR(__xludf.DUMMYFUNCTION("GOOGLETRANSLATE(B294,""zh_cn"",""vi"")"),"Cửa hàng")</f>
        <v>Cửa hàng</v>
      </c>
      <c r="G294" s="12"/>
      <c r="H294" s="6"/>
      <c r="I294" s="11" t="b">
        <f t="shared" si="2"/>
        <v>0</v>
      </c>
      <c r="K294" s="11" t="b">
        <f t="shared" si="3"/>
        <v>0</v>
      </c>
    </row>
    <row r="295" ht="22.5" customHeight="1">
      <c r="A295" s="12">
        <f t="shared" si="4"/>
        <v>3893</v>
      </c>
      <c r="B295" s="6" t="s">
        <v>11881</v>
      </c>
      <c r="C295" s="7" t="str">
        <f t="shared" si="1"/>
        <v>🔊</v>
      </c>
      <c r="D295" s="8" t="s">
        <v>11882</v>
      </c>
      <c r="E295" s="6" t="s">
        <v>13</v>
      </c>
      <c r="F295" s="12" t="str">
        <f>IFERROR(__xludf.DUMMYFUNCTION("GOOGLETRANSLATE(B295,""zh_cn"",""vi"")"),"đốt cháy")</f>
        <v>đốt cháy</v>
      </c>
      <c r="G295" s="12"/>
      <c r="H295" s="6"/>
      <c r="I295" s="11" t="b">
        <f t="shared" si="2"/>
        <v>0</v>
      </c>
      <c r="K295" s="11" t="b">
        <f t="shared" si="3"/>
        <v>0</v>
      </c>
    </row>
    <row r="296" ht="22.5" customHeight="1">
      <c r="A296" s="12">
        <f t="shared" si="4"/>
        <v>3894</v>
      </c>
      <c r="B296" s="6" t="s">
        <v>11883</v>
      </c>
      <c r="C296" s="7" t="str">
        <f t="shared" si="1"/>
        <v>🔊</v>
      </c>
      <c r="D296" s="8" t="s">
        <v>11884</v>
      </c>
      <c r="E296" s="6" t="s">
        <v>3430</v>
      </c>
      <c r="F296" s="12" t="str">
        <f>IFERROR(__xludf.DUMMYFUNCTION("GOOGLETRANSLATE(B296,""zh_cn"",""vi"")"),"đặc trưng")</f>
        <v>đặc trưng</v>
      </c>
      <c r="G296" s="12"/>
      <c r="H296" s="6"/>
      <c r="I296" s="11" t="b">
        <f t="shared" si="2"/>
        <v>0</v>
      </c>
      <c r="K296" s="11" t="b">
        <f t="shared" si="3"/>
        <v>0</v>
      </c>
    </row>
    <row r="297" ht="22.5" customHeight="1">
      <c r="A297" s="12">
        <f t="shared" si="4"/>
        <v>3895</v>
      </c>
      <c r="B297" s="6" t="s">
        <v>11885</v>
      </c>
      <c r="C297" s="7" t="str">
        <f t="shared" si="1"/>
        <v>🔊</v>
      </c>
      <c r="D297" s="8" t="s">
        <v>11886</v>
      </c>
      <c r="E297" s="6" t="s">
        <v>27</v>
      </c>
      <c r="F297" s="12" t="str">
        <f>IFERROR(__xludf.DUMMYFUNCTION("GOOGLETRANSLATE(B297,""zh_cn"",""vi"")"),"nguồn điện")</f>
        <v>nguồn điện</v>
      </c>
      <c r="G297" s="12"/>
      <c r="H297" s="6"/>
      <c r="I297" s="11" t="b">
        <f t="shared" si="2"/>
        <v>0</v>
      </c>
      <c r="K297" s="11" t="b">
        <f t="shared" si="3"/>
        <v>0</v>
      </c>
    </row>
    <row r="298" ht="22.5" customHeight="1">
      <c r="A298" s="12">
        <f t="shared" si="4"/>
        <v>3896</v>
      </c>
      <c r="B298" s="6" t="s">
        <v>11887</v>
      </c>
      <c r="C298" s="7" t="str">
        <f t="shared" si="1"/>
        <v>🔊</v>
      </c>
      <c r="D298" s="8" t="s">
        <v>3829</v>
      </c>
      <c r="E298" s="6" t="s">
        <v>13</v>
      </c>
      <c r="F298" s="12" t="str">
        <f>IFERROR(__xludf.DUMMYFUNCTION("GOOGLETRANSLATE(B298,""zh_cn"",""vi"")"),"Treo")</f>
        <v>Treo</v>
      </c>
      <c r="G298" s="12"/>
      <c r="H298" s="6"/>
      <c r="I298" s="11" t="b">
        <f t="shared" si="2"/>
        <v>0</v>
      </c>
      <c r="K298" s="11" t="b">
        <f t="shared" si="3"/>
        <v>0</v>
      </c>
    </row>
    <row r="299" ht="22.5" customHeight="1">
      <c r="A299" s="12">
        <f t="shared" si="4"/>
        <v>3897</v>
      </c>
      <c r="B299" s="6" t="s">
        <v>11888</v>
      </c>
      <c r="C299" s="7" t="str">
        <f t="shared" si="1"/>
        <v>🔊</v>
      </c>
      <c r="D299" s="8" t="s">
        <v>11889</v>
      </c>
      <c r="E299" s="6" t="s">
        <v>13</v>
      </c>
      <c r="F299" s="12" t="str">
        <f>IFERROR(__xludf.DUMMYFUNCTION("GOOGLETRANSLATE(B299,""zh_cn"",""vi"")"),"huy động")</f>
        <v>huy động</v>
      </c>
      <c r="G299" s="12"/>
      <c r="H299" s="6"/>
      <c r="I299" s="11" t="b">
        <f t="shared" si="2"/>
        <v>0</v>
      </c>
      <c r="K299" s="11" t="b">
        <f t="shared" si="3"/>
        <v>0</v>
      </c>
    </row>
    <row r="300" ht="22.5" customHeight="1">
      <c r="A300" s="12">
        <f t="shared" si="4"/>
        <v>3898</v>
      </c>
      <c r="B300" s="6" t="s">
        <v>11890</v>
      </c>
      <c r="C300" s="7" t="str">
        <f t="shared" si="1"/>
        <v>🔊</v>
      </c>
      <c r="D300" s="8" t="s">
        <v>11891</v>
      </c>
      <c r="E300" s="6" t="s">
        <v>13</v>
      </c>
      <c r="F300" s="12" t="str">
        <f>IFERROR(__xludf.DUMMYFUNCTION("GOOGLETRANSLATE(B300,""zh_cn"",""vi"")"),"câu cá")</f>
        <v>câu cá</v>
      </c>
      <c r="G300" s="12"/>
      <c r="H300" s="6"/>
      <c r="I300" s="11" t="b">
        <f t="shared" si="2"/>
        <v>0</v>
      </c>
      <c r="K300" s="11" t="b">
        <f t="shared" si="3"/>
        <v>0</v>
      </c>
    </row>
    <row r="301" ht="22.5" customHeight="1">
      <c r="A301" s="12">
        <f t="shared" si="4"/>
        <v>3899</v>
      </c>
      <c r="B301" s="6" t="s">
        <v>11892</v>
      </c>
      <c r="C301" s="7" t="str">
        <f t="shared" si="1"/>
        <v>🔊</v>
      </c>
      <c r="D301" s="8" t="s">
        <v>11893</v>
      </c>
      <c r="E301" s="6" t="s">
        <v>13</v>
      </c>
      <c r="F301" s="12" t="str">
        <f>IFERROR(__xludf.DUMMYFUNCTION("GOOGLETRANSLATE(B301,""zh_cn"",""vi"")"),"đến")</f>
        <v>đến</v>
      </c>
      <c r="G301" s="12"/>
      <c r="H301" s="6"/>
      <c r="I301" s="11" t="b">
        <f t="shared" si="2"/>
        <v>0</v>
      </c>
      <c r="K301" s="11" t="b">
        <f t="shared" si="3"/>
        <v>0</v>
      </c>
    </row>
    <row r="302" ht="22.5" customHeight="1">
      <c r="A302" s="12">
        <f t="shared" si="4"/>
        <v>3900</v>
      </c>
      <c r="B302" s="6" t="s">
        <v>11894</v>
      </c>
      <c r="C302" s="7" t="str">
        <f t="shared" si="1"/>
        <v>🔊</v>
      </c>
      <c r="D302" s="8" t="s">
        <v>11895</v>
      </c>
      <c r="E302" s="6" t="s">
        <v>99</v>
      </c>
      <c r="F302" s="12" t="str">
        <f>IFERROR(__xludf.DUMMYFUNCTION("GOOGLETRANSLATE(B302,""zh_cn"",""vi"")"),"đặc trưng")</f>
        <v>đặc trưng</v>
      </c>
      <c r="G302" s="12"/>
      <c r="H302" s="6"/>
      <c r="I302" s="11" t="b">
        <f t="shared" si="2"/>
        <v>0</v>
      </c>
      <c r="K302" s="11" t="b">
        <f t="shared" si="3"/>
        <v>0</v>
      </c>
    </row>
    <row r="303" ht="22.5" customHeight="1">
      <c r="A303" s="12">
        <f t="shared" si="4"/>
        <v>3901</v>
      </c>
      <c r="B303" s="6" t="s">
        <v>11896</v>
      </c>
      <c r="C303" s="1" t="s">
        <v>2</v>
      </c>
      <c r="D303" s="8" t="s">
        <v>11897</v>
      </c>
      <c r="E303" s="6" t="s">
        <v>13</v>
      </c>
      <c r="F303" s="12" t="str">
        <f>IFERROR(__xludf.DUMMYFUNCTION("GOOGLETRANSLATE(B303,""zh_cn"",""vi"")"),"ngã")</f>
        <v>ngã</v>
      </c>
      <c r="G303" s="12"/>
      <c r="H303" s="6"/>
      <c r="I303" s="11" t="b">
        <f t="shared" si="2"/>
        <v>0</v>
      </c>
      <c r="J303" s="24"/>
      <c r="K303" s="11" t="b">
        <f t="shared" si="3"/>
        <v>0</v>
      </c>
    </row>
    <row r="304" ht="22.5" customHeight="1">
      <c r="A304" s="12">
        <f t="shared" si="4"/>
        <v>3902</v>
      </c>
      <c r="B304" s="6" t="s">
        <v>2013</v>
      </c>
      <c r="C304" s="7" t="str">
        <f t="shared" ref="C304:C502" si="5">HYPERLINK("https://translate.google.com/translate_tts?ie=UTF-8&amp;client=tw-ob&amp;tl=zh-CN&amp;q="&amp;ENCODEURL(B304),"🔊")</f>
        <v>🔊</v>
      </c>
      <c r="D304" s="8" t="s">
        <v>11898</v>
      </c>
      <c r="E304" s="6" t="s">
        <v>27</v>
      </c>
      <c r="F304" s="12" t="str">
        <f>IFERROR(__xludf.DUMMYFUNCTION("GOOGLETRANSLATE(B304,""zh_cn"",""vi"")"),"địa điểm")</f>
        <v>địa điểm</v>
      </c>
      <c r="G304" s="12"/>
      <c r="H304" s="6"/>
      <c r="I304" s="11" t="b">
        <f t="shared" si="2"/>
        <v>0</v>
      </c>
      <c r="J304" s="24"/>
      <c r="K304" s="11" t="b">
        <f t="shared" si="3"/>
        <v>0</v>
      </c>
    </row>
    <row r="305" ht="22.5" customHeight="1">
      <c r="A305" s="12">
        <f t="shared" si="4"/>
        <v>3903</v>
      </c>
      <c r="B305" s="6" t="s">
        <v>11899</v>
      </c>
      <c r="C305" s="7" t="str">
        <f t="shared" si="5"/>
        <v>🔊</v>
      </c>
      <c r="D305" s="8" t="s">
        <v>11900</v>
      </c>
      <c r="E305" s="6" t="s">
        <v>13</v>
      </c>
      <c r="F305" s="12" t="str">
        <f>IFERROR(__xludf.DUMMYFUNCTION("GOOGLETRANSLATE(B305,""zh_cn"",""vi"")"),"sức chống cự")</f>
        <v>sức chống cự</v>
      </c>
      <c r="G305" s="12"/>
      <c r="H305" s="6"/>
      <c r="I305" s="11" t="b">
        <f t="shared" si="2"/>
        <v>0</v>
      </c>
      <c r="J305" s="24"/>
      <c r="K305" s="11" t="b">
        <f t="shared" si="3"/>
        <v>0</v>
      </c>
    </row>
    <row r="306" ht="22.5" customHeight="1">
      <c r="A306" s="12">
        <f t="shared" si="4"/>
        <v>3904</v>
      </c>
      <c r="B306" s="6" t="s">
        <v>11901</v>
      </c>
      <c r="C306" s="7" t="str">
        <f t="shared" si="5"/>
        <v>🔊</v>
      </c>
      <c r="D306" s="8" t="s">
        <v>11902</v>
      </c>
      <c r="E306" s="6" t="s">
        <v>771</v>
      </c>
      <c r="F306" s="12" t="str">
        <f>IFERROR(__xludf.DUMMYFUNCTION("GOOGLETRANSLATE(B306,""zh_cn"",""vi"")"),"đứng đầu")</f>
        <v>đứng đầu</v>
      </c>
      <c r="G306" s="12"/>
      <c r="H306" s="6"/>
      <c r="I306" s="11" t="b">
        <f t="shared" si="2"/>
        <v>0</v>
      </c>
      <c r="J306" s="24"/>
      <c r="K306" s="11" t="b">
        <f t="shared" si="3"/>
        <v>0</v>
      </c>
    </row>
    <row r="307" ht="22.5" customHeight="1">
      <c r="A307" s="12">
        <f t="shared" si="4"/>
        <v>3905</v>
      </c>
      <c r="B307" s="6" t="s">
        <v>11903</v>
      </c>
      <c r="C307" s="7" t="str">
        <f t="shared" si="5"/>
        <v>🔊</v>
      </c>
      <c r="D307" s="8" t="s">
        <v>11904</v>
      </c>
      <c r="E307" s="6" t="s">
        <v>27</v>
      </c>
      <c r="F307" s="12" t="str">
        <f>IFERROR(__xludf.DUMMYFUNCTION("GOOGLETRANSLATE(B307,""zh_cn"",""vi"")"),"Đặt hàng")</f>
        <v>Đặt hàng</v>
      </c>
      <c r="G307" s="12"/>
      <c r="H307" s="6"/>
      <c r="I307" s="11" t="b">
        <f t="shared" si="2"/>
        <v>0</v>
      </c>
      <c r="J307" s="24"/>
      <c r="K307" s="11" t="b">
        <f t="shared" si="3"/>
        <v>0</v>
      </c>
    </row>
    <row r="308" ht="22.5" customHeight="1">
      <c r="A308" s="12">
        <f t="shared" si="4"/>
        <v>3906</v>
      </c>
      <c r="B308" s="6" t="s">
        <v>11905</v>
      </c>
      <c r="C308" s="7" t="str">
        <f t="shared" si="5"/>
        <v>🔊</v>
      </c>
      <c r="D308" s="8" t="s">
        <v>11906</v>
      </c>
      <c r="E308" s="6" t="s">
        <v>13</v>
      </c>
      <c r="F308" s="12" t="str">
        <f>IFERROR(__xludf.DUMMYFUNCTION("GOOGLETRANSLATE(B308,""zh_cn"",""vi"")"),"đã đính hôn")</f>
        <v>đã đính hôn</v>
      </c>
      <c r="G308" s="12"/>
      <c r="H308" s="6"/>
      <c r="I308" s="11" t="b">
        <f t="shared" si="2"/>
        <v>0</v>
      </c>
      <c r="J308" s="24"/>
      <c r="K308" s="11" t="b">
        <f t="shared" si="3"/>
        <v>0</v>
      </c>
    </row>
    <row r="309" ht="22.5" customHeight="1">
      <c r="A309" s="12">
        <f t="shared" si="4"/>
        <v>3907</v>
      </c>
      <c r="B309" s="6" t="s">
        <v>11907</v>
      </c>
      <c r="C309" s="7" t="str">
        <f t="shared" si="5"/>
        <v>🔊</v>
      </c>
      <c r="D309" s="8" t="s">
        <v>11908</v>
      </c>
      <c r="E309" s="6" t="s">
        <v>232</v>
      </c>
      <c r="F309" s="12" t="str">
        <f>IFERROR(__xludf.DUMMYFUNCTION("GOOGLETRANSLATE(B309,""zh_cn"",""vi"")"),"Giá cả")</f>
        <v>Giá cả</v>
      </c>
      <c r="G309" s="12"/>
      <c r="H309" s="6"/>
      <c r="I309" s="11" t="b">
        <f t="shared" si="2"/>
        <v>0</v>
      </c>
      <c r="J309" s="24"/>
      <c r="K309" s="11" t="b">
        <f t="shared" si="3"/>
        <v>0</v>
      </c>
    </row>
    <row r="310" ht="22.5" customHeight="1">
      <c r="A310" s="12">
        <f t="shared" si="4"/>
        <v>3908</v>
      </c>
      <c r="B310" s="6" t="s">
        <v>11909</v>
      </c>
      <c r="C310" s="7" t="str">
        <f t="shared" si="5"/>
        <v>🔊</v>
      </c>
      <c r="D310" s="8" t="s">
        <v>11910</v>
      </c>
      <c r="E310" s="6" t="s">
        <v>232</v>
      </c>
      <c r="F310" s="12" t="str">
        <f>IFERROR(__xludf.DUMMYFUNCTION("GOOGLETRANSLATE(B310,""zh_cn"",""vi"")"),"thời gian")</f>
        <v>thời gian</v>
      </c>
      <c r="G310" s="12"/>
      <c r="H310" s="6"/>
      <c r="I310" s="11" t="b">
        <f t="shared" si="2"/>
        <v>0</v>
      </c>
      <c r="J310" s="24"/>
      <c r="K310" s="11" t="b">
        <f t="shared" si="3"/>
        <v>0</v>
      </c>
    </row>
    <row r="311" ht="22.5" customHeight="1">
      <c r="A311" s="12">
        <f t="shared" si="4"/>
        <v>3909</v>
      </c>
      <c r="B311" s="6" t="s">
        <v>11911</v>
      </c>
      <c r="C311" s="7" t="str">
        <f t="shared" si="5"/>
        <v>🔊</v>
      </c>
      <c r="D311" s="8" t="s">
        <v>11912</v>
      </c>
      <c r="E311" s="6" t="s">
        <v>232</v>
      </c>
      <c r="F311" s="12" t="str">
        <f>IFERROR(__xludf.DUMMYFUNCTION("GOOGLETRANSLATE(B311,""zh_cn"",""vi"")"),"chức vụ")</f>
        <v>chức vụ</v>
      </c>
      <c r="G311" s="12"/>
      <c r="H311" s="6"/>
      <c r="I311" s="11" t="b">
        <f t="shared" si="2"/>
        <v>0</v>
      </c>
      <c r="J311" s="24"/>
      <c r="K311" s="11" t="b">
        <f t="shared" si="3"/>
        <v>0</v>
      </c>
    </row>
    <row r="312" ht="22.5" customHeight="1">
      <c r="A312" s="12">
        <f t="shared" si="4"/>
        <v>3910</v>
      </c>
      <c r="B312" s="6" t="s">
        <v>11913</v>
      </c>
      <c r="C312" s="7" t="str">
        <f t="shared" si="5"/>
        <v>🔊</v>
      </c>
      <c r="D312" s="8" t="s">
        <v>11914</v>
      </c>
      <c r="E312" s="6" t="s">
        <v>57</v>
      </c>
      <c r="F312" s="12" t="str">
        <f>IFERROR(__xludf.DUMMYFUNCTION("GOOGLETRANSLATE(B312,""zh_cn"",""vi"")"),"sự định nghĩa")</f>
        <v>sự định nghĩa</v>
      </c>
      <c r="G312" s="12"/>
      <c r="H312" s="6"/>
      <c r="I312" s="11" t="b">
        <f t="shared" si="2"/>
        <v>0</v>
      </c>
      <c r="J312" s="24"/>
      <c r="K312" s="11" t="b">
        <f t="shared" si="3"/>
        <v>0</v>
      </c>
    </row>
    <row r="313" ht="22.5" customHeight="1">
      <c r="A313" s="12">
        <f t="shared" si="4"/>
        <v>3911</v>
      </c>
      <c r="B313" s="6" t="s">
        <v>11915</v>
      </c>
      <c r="C313" s="7" t="str">
        <f t="shared" si="5"/>
        <v>🔊</v>
      </c>
      <c r="D313" s="8" t="s">
        <v>11916</v>
      </c>
      <c r="E313" s="6" t="s">
        <v>13</v>
      </c>
      <c r="F313" s="12" t="str">
        <f>IFERROR(__xludf.DUMMYFUNCTION("GOOGLETRANSLATE(B313,""zh_cn"",""vi"")"),"đặt làm theo yêu cầu")</f>
        <v>đặt làm theo yêu cầu</v>
      </c>
      <c r="G313" s="12"/>
      <c r="H313" s="6"/>
      <c r="I313" s="11" t="b">
        <f t="shared" si="2"/>
        <v>0</v>
      </c>
      <c r="J313" s="24"/>
      <c r="K313" s="11" t="b">
        <f t="shared" si="3"/>
        <v>0</v>
      </c>
    </row>
    <row r="314" ht="22.5" customHeight="1">
      <c r="A314" s="12">
        <f t="shared" si="4"/>
        <v>3912</v>
      </c>
      <c r="B314" s="6" t="s">
        <v>11917</v>
      </c>
      <c r="C314" s="7" t="str">
        <f t="shared" si="5"/>
        <v>🔊</v>
      </c>
      <c r="D314" s="8" t="s">
        <v>11918</v>
      </c>
      <c r="E314" s="6" t="s">
        <v>99</v>
      </c>
      <c r="F314" s="12" t="str">
        <f>IFERROR(__xludf.DUMMYFUNCTION("GOOGLETRANSLATE(B314,""zh_cn"",""vi"")"),"carbon thấp")</f>
        <v>carbon thấp</v>
      </c>
      <c r="G314" s="12"/>
      <c r="H314" s="6"/>
      <c r="I314" s="11" t="b">
        <f t="shared" si="2"/>
        <v>0</v>
      </c>
      <c r="J314" s="24"/>
      <c r="K314" s="11" t="b">
        <f t="shared" si="3"/>
        <v>0</v>
      </c>
    </row>
    <row r="315" ht="22.5" customHeight="1">
      <c r="A315" s="12">
        <f t="shared" si="4"/>
        <v>3913</v>
      </c>
      <c r="B315" s="6" t="s">
        <v>11919</v>
      </c>
      <c r="C315" s="7" t="str">
        <f t="shared" si="5"/>
        <v>🔊</v>
      </c>
      <c r="D315" s="8" t="s">
        <v>11920</v>
      </c>
      <c r="E315" s="6" t="s">
        <v>27</v>
      </c>
      <c r="F315" s="12" t="str">
        <f>IFERROR(__xludf.DUMMYFUNCTION("GOOGLETRANSLATE(B315,""zh_cn"",""vi"")"),"địa hình")</f>
        <v>địa hình</v>
      </c>
      <c r="G315" s="12"/>
      <c r="H315" s="6"/>
      <c r="I315" s="11" t="b">
        <f t="shared" si="2"/>
        <v>0</v>
      </c>
      <c r="J315" s="24"/>
      <c r="K315" s="11" t="b">
        <f t="shared" si="3"/>
        <v>0</v>
      </c>
    </row>
    <row r="316" ht="22.5" customHeight="1">
      <c r="A316" s="12">
        <f t="shared" si="4"/>
        <v>3914</v>
      </c>
      <c r="B316" s="6" t="s">
        <v>11921</v>
      </c>
      <c r="C316" s="7" t="str">
        <f t="shared" si="5"/>
        <v>🔊</v>
      </c>
      <c r="D316" s="8" t="s">
        <v>11922</v>
      </c>
      <c r="E316" s="6" t="s">
        <v>27</v>
      </c>
      <c r="F316" s="12" t="str">
        <f>IFERROR(__xludf.DUMMYFUNCTION("GOOGLETRANSLATE(B316,""zh_cn"",""vi"")"),"khu vực")</f>
        <v>khu vực</v>
      </c>
      <c r="G316" s="12"/>
      <c r="H316" s="6"/>
      <c r="I316" s="11" t="b">
        <f t="shared" si="2"/>
        <v>0</v>
      </c>
      <c r="J316" s="24"/>
      <c r="K316" s="11" t="b">
        <f t="shared" si="3"/>
        <v>0</v>
      </c>
    </row>
    <row r="317" ht="22.5" customHeight="1">
      <c r="A317" s="12">
        <f t="shared" si="4"/>
        <v>3915</v>
      </c>
      <c r="B317" s="6" t="s">
        <v>11923</v>
      </c>
      <c r="C317" s="7" t="str">
        <f t="shared" si="5"/>
        <v>🔊</v>
      </c>
      <c r="D317" s="8" t="s">
        <v>11924</v>
      </c>
      <c r="E317" s="6" t="s">
        <v>27</v>
      </c>
      <c r="F317" s="12" t="str">
        <f>IFERROR(__xludf.DUMMYFUNCTION("GOOGLETRANSLATE(B317,""zh_cn"",""vi"")"),"Địa chất")</f>
        <v>Địa chất</v>
      </c>
      <c r="G317" s="12"/>
      <c r="H317" s="6"/>
      <c r="I317" s="11" t="b">
        <f t="shared" si="2"/>
        <v>0</v>
      </c>
      <c r="J317" s="24"/>
      <c r="K317" s="11" t="b">
        <f t="shared" si="3"/>
        <v>0</v>
      </c>
    </row>
    <row r="318" ht="22.5" customHeight="1">
      <c r="A318" s="12">
        <f t="shared" si="4"/>
        <v>3916</v>
      </c>
      <c r="B318" s="6" t="s">
        <v>11925</v>
      </c>
      <c r="C318" s="7" t="str">
        <f t="shared" si="5"/>
        <v>🔊</v>
      </c>
      <c r="D318" s="8" t="s">
        <v>1149</v>
      </c>
      <c r="E318" s="6" t="s">
        <v>47</v>
      </c>
      <c r="F318" s="12" t="str">
        <f>IFERROR(__xludf.DUMMYFUNCTION("GOOGLETRANSLATE(B318,""zh_cn"",""vi"")"),"Xây dựng")</f>
        <v>Xây dựng</v>
      </c>
      <c r="G318" s="12"/>
      <c r="H318" s="6"/>
      <c r="I318" s="11" t="b">
        <f t="shared" si="2"/>
        <v>0</v>
      </c>
      <c r="J318" s="24"/>
      <c r="K318" s="11" t="b">
        <f t="shared" si="3"/>
        <v>0</v>
      </c>
    </row>
    <row r="319" ht="22.5" customHeight="1">
      <c r="A319" s="12">
        <f t="shared" si="4"/>
        <v>3917</v>
      </c>
      <c r="B319" s="6" t="s">
        <v>11926</v>
      </c>
      <c r="C319" s="7" t="str">
        <f t="shared" si="5"/>
        <v>🔊</v>
      </c>
      <c r="D319" s="8" t="s">
        <v>11927</v>
      </c>
      <c r="E319" s="6" t="s">
        <v>27</v>
      </c>
      <c r="F319" s="12" t="str">
        <f>IFERROR(__xludf.DUMMYFUNCTION("GOOGLETRANSLATE(B319,""zh_cn"",""vi"")"),"động lực")</f>
        <v>động lực</v>
      </c>
      <c r="G319" s="12"/>
      <c r="H319" s="6"/>
      <c r="I319" s="11" t="b">
        <f t="shared" si="2"/>
        <v>0</v>
      </c>
      <c r="J319" s="24"/>
      <c r="K319" s="11" t="b">
        <f t="shared" si="3"/>
        <v>0</v>
      </c>
    </row>
    <row r="320" ht="22.5" customHeight="1">
      <c r="A320" s="12">
        <f t="shared" si="4"/>
        <v>3918</v>
      </c>
      <c r="B320" s="6" t="s">
        <v>11928</v>
      </c>
      <c r="C320" s="7" t="str">
        <f t="shared" si="5"/>
        <v>🔊</v>
      </c>
      <c r="D320" s="8" t="s">
        <v>11929</v>
      </c>
      <c r="E320" s="6" t="s">
        <v>27</v>
      </c>
      <c r="F320" s="12" t="str">
        <f>IFERROR(__xludf.DUMMYFUNCTION("GOOGLETRANSLATE(B320,""zh_cn"",""vi"")"),"quyền lực")</f>
        <v>quyền lực</v>
      </c>
      <c r="G320" s="12"/>
      <c r="H320" s="6"/>
      <c r="I320" s="11" t="b">
        <f t="shared" si="2"/>
        <v>0</v>
      </c>
      <c r="J320" s="24"/>
      <c r="K320" s="11" t="b">
        <f t="shared" si="3"/>
        <v>0</v>
      </c>
    </row>
    <row r="321" ht="22.5" customHeight="1">
      <c r="A321" s="12">
        <f t="shared" si="4"/>
        <v>3919</v>
      </c>
      <c r="B321" s="6" t="s">
        <v>11930</v>
      </c>
      <c r="C321" s="7" t="str">
        <f t="shared" si="5"/>
        <v>🔊</v>
      </c>
      <c r="D321" s="8" t="s">
        <v>11931</v>
      </c>
      <c r="E321" s="6" t="s">
        <v>27</v>
      </c>
      <c r="F321" s="12" t="str">
        <f>IFERROR(__xludf.DUMMYFUNCTION("GOOGLETRANSLATE(B321,""zh_cn"",""vi"")"),"hoạt hình")</f>
        <v>hoạt hình</v>
      </c>
      <c r="G321" s="12"/>
      <c r="H321" s="6"/>
      <c r="I321" s="11" t="b">
        <f t="shared" si="2"/>
        <v>0</v>
      </c>
      <c r="J321" s="24"/>
      <c r="K321" s="11" t="b">
        <f t="shared" si="3"/>
        <v>0</v>
      </c>
    </row>
    <row r="322" ht="22.5" customHeight="1">
      <c r="A322" s="12">
        <f t="shared" si="4"/>
        <v>3920</v>
      </c>
      <c r="B322" s="6" t="s">
        <v>11932</v>
      </c>
      <c r="C322" s="7" t="str">
        <f t="shared" si="5"/>
        <v>🔊</v>
      </c>
      <c r="D322" s="8" t="s">
        <v>11933</v>
      </c>
      <c r="E322" s="6" t="s">
        <v>3430</v>
      </c>
      <c r="F322" s="12" t="str">
        <f>IFERROR(__xludf.DUMMYFUNCTION("GOOGLETRANSLATE(B322,""zh_cn"",""vi"")"),"năng động")</f>
        <v>năng động</v>
      </c>
      <c r="G322" s="12"/>
      <c r="H322" s="6"/>
      <c r="I322" s="11" t="b">
        <f t="shared" si="2"/>
        <v>0</v>
      </c>
      <c r="J322" s="24"/>
      <c r="K322" s="11" t="b">
        <f t="shared" si="3"/>
        <v>0</v>
      </c>
    </row>
    <row r="323" ht="22.5" customHeight="1">
      <c r="A323" s="12">
        <f t="shared" si="4"/>
        <v>3921</v>
      </c>
      <c r="B323" s="6" t="s">
        <v>11934</v>
      </c>
      <c r="C323" s="7" t="str">
        <f t="shared" si="5"/>
        <v>🔊</v>
      </c>
      <c r="D323" s="8" t="s">
        <v>11935</v>
      </c>
      <c r="E323" s="6" t="s">
        <v>99</v>
      </c>
      <c r="F323" s="12" t="str">
        <f>IFERROR(__xludf.DUMMYFUNCTION("GOOGLETRANSLATE(B323,""zh_cn"",""vi"")"),"du dương")</f>
        <v>du dương</v>
      </c>
      <c r="G323" s="12"/>
      <c r="H323" s="6"/>
      <c r="I323" s="11" t="b">
        <f t="shared" si="2"/>
        <v>0</v>
      </c>
      <c r="J323" s="24"/>
      <c r="K323" s="11" t="b">
        <f t="shared" si="3"/>
        <v>0</v>
      </c>
    </row>
    <row r="324" ht="22.5" customHeight="1">
      <c r="A324" s="12">
        <f t="shared" si="4"/>
        <v>3922</v>
      </c>
      <c r="B324" s="6" t="s">
        <v>11936</v>
      </c>
      <c r="C324" s="7" t="str">
        <f t="shared" si="5"/>
        <v>🔊</v>
      </c>
      <c r="D324" s="8" t="s">
        <v>11937</v>
      </c>
      <c r="E324" s="6" t="s">
        <v>368</v>
      </c>
      <c r="F324" s="12" t="str">
        <f>IFERROR(__xludf.DUMMYFUNCTION("GOOGLETRANSLATE(B324,""zh_cn"",""vi"")"),"trêu chọc")</f>
        <v>trêu chọc</v>
      </c>
      <c r="G324" s="12"/>
      <c r="H324" s="6"/>
      <c r="I324" s="11" t="b">
        <f t="shared" si="2"/>
        <v>0</v>
      </c>
      <c r="J324" s="24"/>
      <c r="K324" s="11" t="b">
        <f t="shared" si="3"/>
        <v>0</v>
      </c>
    </row>
    <row r="325" ht="22.5" customHeight="1">
      <c r="A325" s="12">
        <f t="shared" si="4"/>
        <v>3923</v>
      </c>
      <c r="B325" s="6" t="s">
        <v>11938</v>
      </c>
      <c r="C325" s="7" t="str">
        <f t="shared" si="5"/>
        <v>🔊</v>
      </c>
      <c r="D325" s="8" t="s">
        <v>11939</v>
      </c>
      <c r="E325" s="6" t="s">
        <v>232</v>
      </c>
      <c r="F325" s="12" t="str">
        <f>IFERROR(__xludf.DUMMYFUNCTION("GOOGLETRANSLATE(B325,""zh_cn"",""vi"")"),"đấu tranh ")</f>
        <v>đấu tranh </v>
      </c>
      <c r="G325" s="12"/>
      <c r="H325" s="6"/>
      <c r="I325" s="11" t="b">
        <f t="shared" si="2"/>
        <v>0</v>
      </c>
      <c r="J325" s="24"/>
      <c r="K325" s="11" t="b">
        <f t="shared" si="3"/>
        <v>0</v>
      </c>
    </row>
    <row r="326" ht="22.5" customHeight="1">
      <c r="A326" s="12">
        <f t="shared" si="4"/>
        <v>3924</v>
      </c>
      <c r="B326" s="6" t="s">
        <v>11940</v>
      </c>
      <c r="C326" s="7" t="str">
        <f t="shared" si="5"/>
        <v>🔊</v>
      </c>
      <c r="D326" s="8" t="s">
        <v>159</v>
      </c>
      <c r="E326" s="6" t="s">
        <v>6727</v>
      </c>
      <c r="F326" s="12" t="str">
        <f>IFERROR(__xludf.DUMMYFUNCTION("GOOGLETRANSLATE(B326,""zh_cn"",""vi"")"),"chất độc")</f>
        <v>chất độc</v>
      </c>
      <c r="G326" s="12"/>
      <c r="H326" s="6"/>
      <c r="I326" s="11" t="b">
        <f t="shared" si="2"/>
        <v>0</v>
      </c>
      <c r="J326" s="24"/>
      <c r="K326" s="11" t="b">
        <f t="shared" si="3"/>
        <v>0</v>
      </c>
    </row>
    <row r="327" ht="22.5" customHeight="1">
      <c r="A327" s="12">
        <f t="shared" si="4"/>
        <v>3925</v>
      </c>
      <c r="B327" s="6" t="s">
        <v>11941</v>
      </c>
      <c r="C327" s="7" t="str">
        <f t="shared" si="5"/>
        <v>🔊</v>
      </c>
      <c r="D327" s="8" t="s">
        <v>7497</v>
      </c>
      <c r="E327" s="6" t="s">
        <v>13</v>
      </c>
      <c r="F327" s="12" t="str">
        <f>IFERROR(__xludf.DUMMYFUNCTION("GOOGLETRANSLATE(B327,""zh_cn"",""vi"")"),"Đi qua")</f>
        <v>Đi qua</v>
      </c>
      <c r="G327" s="12"/>
      <c r="H327" s="6"/>
      <c r="I327" s="11" t="b">
        <f t="shared" si="2"/>
        <v>0</v>
      </c>
      <c r="J327" s="24"/>
      <c r="K327" s="11" t="b">
        <f t="shared" si="3"/>
        <v>0</v>
      </c>
    </row>
    <row r="328" ht="22.5" customHeight="1">
      <c r="A328" s="12">
        <f t="shared" si="4"/>
        <v>3926</v>
      </c>
      <c r="B328" s="6" t="s">
        <v>11942</v>
      </c>
      <c r="C328" s="7" t="str">
        <f t="shared" si="5"/>
        <v>🔊</v>
      </c>
      <c r="D328" s="8" t="s">
        <v>11943</v>
      </c>
      <c r="E328" s="6" t="s">
        <v>13</v>
      </c>
      <c r="F328" s="12" t="str">
        <f>IFERROR(__xludf.DUMMYFUNCTION("GOOGLETRANSLATE(B328,""zh_cn"",""vi"")"),"kết thúc")</f>
        <v>kết thúc</v>
      </c>
      <c r="G328" s="12"/>
      <c r="H328" s="6"/>
      <c r="I328" s="11" t="b">
        <f t="shared" si="2"/>
        <v>0</v>
      </c>
      <c r="J328" s="24"/>
      <c r="K328" s="11" t="b">
        <f t="shared" si="3"/>
        <v>0</v>
      </c>
    </row>
    <row r="329" ht="22.5" customHeight="1">
      <c r="A329" s="12">
        <f t="shared" si="4"/>
        <v>3927</v>
      </c>
      <c r="B329" s="6" t="s">
        <v>11944</v>
      </c>
      <c r="C329" s="7" t="str">
        <f t="shared" si="5"/>
        <v>🔊</v>
      </c>
      <c r="D329" s="8" t="s">
        <v>11945</v>
      </c>
      <c r="E329" s="6" t="s">
        <v>13</v>
      </c>
      <c r="F329" s="12" t="str">
        <f>IFERROR(__xludf.DUMMYFUNCTION("GOOGLETRANSLATE(B329,""zh_cn"",""vi"")"),"thiếu")</f>
        <v>thiếu</v>
      </c>
      <c r="G329" s="12"/>
      <c r="H329" s="6"/>
      <c r="I329" s="11" t="b">
        <f t="shared" si="2"/>
        <v>0</v>
      </c>
      <c r="J329" s="24"/>
      <c r="K329" s="11" t="b">
        <f t="shared" si="3"/>
        <v>0</v>
      </c>
    </row>
    <row r="330" ht="22.5" customHeight="1">
      <c r="A330" s="12">
        <f t="shared" si="4"/>
        <v>3928</v>
      </c>
      <c r="B330" s="6" t="s">
        <v>11946</v>
      </c>
      <c r="C330" s="7" t="str">
        <f t="shared" si="5"/>
        <v>🔊</v>
      </c>
      <c r="D330" s="8" t="s">
        <v>11947</v>
      </c>
      <c r="E330" s="6" t="s">
        <v>99</v>
      </c>
      <c r="F330" s="12" t="str">
        <f>IFERROR(__xludf.DUMMYFUNCTION("GOOGLETRANSLATE(B330,""zh_cn"",""vi"")"),"đối xứng")</f>
        <v>đối xứng</v>
      </c>
      <c r="G330" s="12"/>
      <c r="H330" s="6"/>
      <c r="I330" s="11" t="b">
        <f t="shared" si="2"/>
        <v>0</v>
      </c>
      <c r="J330" s="24"/>
      <c r="K330" s="11" t="b">
        <f t="shared" si="3"/>
        <v>0</v>
      </c>
    </row>
    <row r="331" ht="22.5" customHeight="1">
      <c r="A331" s="12">
        <f t="shared" si="4"/>
        <v>3929</v>
      </c>
      <c r="B331" s="6" t="s">
        <v>11948</v>
      </c>
      <c r="C331" s="7" t="str">
        <f t="shared" si="5"/>
        <v>🔊</v>
      </c>
      <c r="D331" s="8" t="s">
        <v>11949</v>
      </c>
      <c r="E331" s="6" t="s">
        <v>13</v>
      </c>
      <c r="F331" s="12" t="str">
        <f>IFERROR(__xludf.DUMMYFUNCTION("GOOGLETRANSLATE(B331,""zh_cn"",""vi"")"),"cập bến")</f>
        <v>cập bến</v>
      </c>
      <c r="G331" s="12"/>
      <c r="H331" s="6"/>
      <c r="I331" s="11" t="b">
        <f t="shared" si="2"/>
        <v>0</v>
      </c>
      <c r="J331" s="24"/>
      <c r="K331" s="11" t="b">
        <f t="shared" si="3"/>
        <v>0</v>
      </c>
    </row>
    <row r="332" ht="22.5" customHeight="1">
      <c r="A332" s="12">
        <f t="shared" si="4"/>
        <v>3930</v>
      </c>
      <c r="B332" s="6" t="s">
        <v>11950</v>
      </c>
      <c r="C332" s="7" t="str">
        <f t="shared" si="5"/>
        <v>🔊</v>
      </c>
      <c r="D332" s="8" t="s">
        <v>11951</v>
      </c>
      <c r="E332" s="6" t="s">
        <v>13</v>
      </c>
      <c r="F332" s="12" t="str">
        <f>IFERROR(__xludf.DUMMYFUNCTION("GOOGLETRANSLATE(B332,""zh_cn"",""vi"")"),"đối đầu")</f>
        <v>đối đầu</v>
      </c>
      <c r="G332" s="12"/>
      <c r="H332" s="6"/>
      <c r="I332" s="11" t="b">
        <f t="shared" si="2"/>
        <v>0</v>
      </c>
      <c r="J332" s="24"/>
      <c r="K332" s="11" t="b">
        <f t="shared" si="3"/>
        <v>0</v>
      </c>
    </row>
    <row r="333" ht="22.5" customHeight="1">
      <c r="A333" s="12">
        <f t="shared" si="4"/>
        <v>3931</v>
      </c>
      <c r="B333" s="6" t="s">
        <v>11952</v>
      </c>
      <c r="C333" s="7" t="str">
        <f t="shared" si="5"/>
        <v>🔊</v>
      </c>
      <c r="D333" s="8" t="s">
        <v>11953</v>
      </c>
      <c r="E333" s="6" t="s">
        <v>13</v>
      </c>
      <c r="F333" s="12" t="str">
        <f>IFERROR(__xludf.DUMMYFUNCTION("GOOGLETRANSLATE(B333,""zh_cn"",""vi"")"),"phe đối lập")</f>
        <v>phe đối lập</v>
      </c>
      <c r="G333" s="12"/>
      <c r="H333" s="6"/>
      <c r="I333" s="11" t="b">
        <f t="shared" si="2"/>
        <v>0</v>
      </c>
      <c r="J333" s="24"/>
      <c r="K333" s="11" t="b">
        <f t="shared" si="3"/>
        <v>0</v>
      </c>
    </row>
    <row r="334" ht="22.5" customHeight="1">
      <c r="A334" s="12">
        <f t="shared" si="4"/>
        <v>3932</v>
      </c>
      <c r="B334" s="6" t="s">
        <v>11954</v>
      </c>
      <c r="C334" s="7" t="str">
        <f t="shared" si="5"/>
        <v>🔊</v>
      </c>
      <c r="D334" s="8" t="s">
        <v>11955</v>
      </c>
      <c r="E334" s="6" t="s">
        <v>368</v>
      </c>
      <c r="F334" s="12" t="str">
        <f>IFERROR(__xludf.DUMMYFUNCTION("GOOGLETRANSLATE(B334,""zh_cn"",""vi"")"),"tương ứng")</f>
        <v>tương ứng</v>
      </c>
      <c r="G334" s="12"/>
      <c r="H334" s="6"/>
      <c r="I334" s="11" t="b">
        <f t="shared" si="2"/>
        <v>0</v>
      </c>
      <c r="J334" s="24"/>
      <c r="K334" s="11" t="b">
        <f t="shared" si="3"/>
        <v>0</v>
      </c>
    </row>
    <row r="335" ht="22.5" customHeight="1">
      <c r="A335" s="12">
        <f t="shared" si="4"/>
        <v>3933</v>
      </c>
      <c r="B335" s="6" t="s">
        <v>11956</v>
      </c>
      <c r="C335" s="7" t="str">
        <f t="shared" si="5"/>
        <v>🔊</v>
      </c>
      <c r="D335" s="8" t="s">
        <v>7534</v>
      </c>
      <c r="E335" s="6" t="s">
        <v>13</v>
      </c>
      <c r="F335" s="12" t="str">
        <f>IFERROR(__xludf.DUMMYFUNCTION("GOOGLETRANSLATE(B335,""zh_cn"",""vi"")"),"ngồi xổm")</f>
        <v>ngồi xổm</v>
      </c>
      <c r="G335" s="12"/>
      <c r="H335" s="6"/>
      <c r="I335" s="11" t="b">
        <f t="shared" si="2"/>
        <v>0</v>
      </c>
      <c r="J335" s="24"/>
      <c r="K335" s="11" t="b">
        <f t="shared" si="3"/>
        <v>0</v>
      </c>
    </row>
    <row r="336" ht="22.5" customHeight="1">
      <c r="A336" s="12">
        <f t="shared" si="4"/>
        <v>3934</v>
      </c>
      <c r="B336" s="6" t="s">
        <v>11957</v>
      </c>
      <c r="C336" s="7" t="str">
        <f t="shared" si="5"/>
        <v>🔊</v>
      </c>
      <c r="D336" s="8" t="s">
        <v>11958</v>
      </c>
      <c r="E336" s="6" t="s">
        <v>61</v>
      </c>
      <c r="F336" s="12" t="str">
        <f>IFERROR(__xludf.DUMMYFUNCTION("GOOGLETRANSLATE(B336,""zh_cn"",""vi"")"),"Ngay lập tức")</f>
        <v>Ngay lập tức</v>
      </c>
      <c r="G336" s="12"/>
      <c r="H336" s="6"/>
      <c r="I336" s="11" t="b">
        <f t="shared" si="2"/>
        <v>0</v>
      </c>
      <c r="J336" s="24"/>
      <c r="K336" s="11" t="b">
        <f t="shared" si="3"/>
        <v>0</v>
      </c>
    </row>
    <row r="337" ht="22.5" customHeight="1">
      <c r="A337" s="12">
        <f t="shared" si="4"/>
        <v>3935</v>
      </c>
      <c r="B337" s="6" t="s">
        <v>11959</v>
      </c>
      <c r="C337" s="7" t="str">
        <f t="shared" si="5"/>
        <v>🔊</v>
      </c>
      <c r="D337" s="8" t="s">
        <v>11960</v>
      </c>
      <c r="E337" s="6" t="s">
        <v>13</v>
      </c>
      <c r="F337" s="12" t="str">
        <f>IFERROR(__xludf.DUMMYFUNCTION("GOOGLETRANSLATE(B337,""zh_cn"",""vi"")"),"Chiếm đoạt")</f>
        <v>Chiếm đoạt</v>
      </c>
      <c r="G337" s="12"/>
      <c r="H337" s="6"/>
      <c r="I337" s="11" t="b">
        <f t="shared" si="2"/>
        <v>0</v>
      </c>
      <c r="J337" s="24"/>
      <c r="K337" s="11" t="b">
        <f t="shared" si="3"/>
        <v>0</v>
      </c>
    </row>
    <row r="338" ht="22.5" customHeight="1">
      <c r="A338" s="12">
        <f t="shared" si="4"/>
        <v>3936</v>
      </c>
      <c r="B338" s="6" t="s">
        <v>11961</v>
      </c>
      <c r="C338" s="7" t="str">
        <f t="shared" si="5"/>
        <v>🔊</v>
      </c>
      <c r="D338" s="8" t="s">
        <v>11962</v>
      </c>
      <c r="E338" s="6" t="s">
        <v>13</v>
      </c>
      <c r="F338" s="12" t="str">
        <f>IFERROR(__xludf.DUMMYFUNCTION("GOOGLETRANSLATE(B338,""zh_cn"",""vi"")"),"Dodge")</f>
        <v>Dodge</v>
      </c>
      <c r="G338" s="12"/>
      <c r="H338" s="6"/>
      <c r="I338" s="11" t="b">
        <f t="shared" si="2"/>
        <v>0</v>
      </c>
      <c r="J338" s="24"/>
      <c r="K338" s="11" t="b">
        <f t="shared" si="3"/>
        <v>0</v>
      </c>
    </row>
    <row r="339" ht="22.5" customHeight="1">
      <c r="A339" s="12">
        <f t="shared" si="4"/>
        <v>3937</v>
      </c>
      <c r="B339" s="6" t="s">
        <v>11963</v>
      </c>
      <c r="C339" s="7" t="str">
        <f t="shared" si="5"/>
        <v>🔊</v>
      </c>
      <c r="D339" s="8" t="s">
        <v>11964</v>
      </c>
      <c r="E339" s="14"/>
      <c r="F339" s="12" t="str">
        <f>IFERROR(__xludf.DUMMYFUNCTION("GOOGLETRANSLATE(B339,""zh_cn"",""vi"")"),"linh hoạt")</f>
        <v>linh hoạt</v>
      </c>
      <c r="G339" s="12"/>
      <c r="H339" s="6"/>
      <c r="I339" s="11" t="b">
        <f t="shared" si="2"/>
        <v>0</v>
      </c>
      <c r="J339" s="24"/>
      <c r="K339" s="11" t="b">
        <f t="shared" si="3"/>
        <v>0</v>
      </c>
    </row>
    <row r="340" ht="22.5" customHeight="1">
      <c r="A340" s="12">
        <f t="shared" si="4"/>
        <v>3938</v>
      </c>
      <c r="B340" s="6" t="s">
        <v>11965</v>
      </c>
      <c r="C340" s="7" t="str">
        <f t="shared" si="5"/>
        <v>🔊</v>
      </c>
      <c r="D340" s="8" t="s">
        <v>11966</v>
      </c>
      <c r="E340" s="6" t="s">
        <v>13</v>
      </c>
      <c r="F340" s="12" t="str">
        <f>IFERROR(__xludf.DUMMYFUNCTION("GOOGLETRANSLATE(B340,""zh_cn"",""vi"")"),"Cảm ơn")</f>
        <v>Cảm ơn</v>
      </c>
      <c r="G340" s="12"/>
      <c r="H340" s="6"/>
      <c r="I340" s="11" t="b">
        <f t="shared" si="2"/>
        <v>0</v>
      </c>
      <c r="J340" s="24"/>
      <c r="K340" s="11" t="b">
        <f t="shared" si="3"/>
        <v>0</v>
      </c>
    </row>
    <row r="341" ht="22.5" customHeight="1">
      <c r="A341" s="12">
        <f t="shared" si="4"/>
        <v>3939</v>
      </c>
      <c r="B341" s="6" t="s">
        <v>11967</v>
      </c>
      <c r="C341" s="7" t="str">
        <f t="shared" si="5"/>
        <v>🔊</v>
      </c>
      <c r="D341" s="8" t="s">
        <v>11968</v>
      </c>
      <c r="E341" s="6" t="s">
        <v>27</v>
      </c>
      <c r="F341" s="12" t="str">
        <f>IFERROR(__xludf.DUMMYFUNCTION("GOOGLETRANSLATE(B341,""zh_cn"",""vi"")"),"đa phương tiện")</f>
        <v>đa phương tiện</v>
      </c>
      <c r="G341" s="12"/>
      <c r="H341" s="6"/>
      <c r="I341" s="11" t="b">
        <f t="shared" si="2"/>
        <v>0</v>
      </c>
      <c r="J341" s="24"/>
      <c r="K341" s="11" t="b">
        <f t="shared" si="3"/>
        <v>0</v>
      </c>
    </row>
    <row r="342" ht="22.5" customHeight="1">
      <c r="A342" s="12">
        <f t="shared" si="4"/>
        <v>3940</v>
      </c>
      <c r="B342" s="6" t="s">
        <v>11969</v>
      </c>
      <c r="C342" s="7" t="str">
        <f t="shared" si="5"/>
        <v>🔊</v>
      </c>
      <c r="D342" s="8" t="s">
        <v>11970</v>
      </c>
      <c r="E342" s="6" t="s">
        <v>13</v>
      </c>
      <c r="F342" s="12" t="str">
        <f>IFERROR(__xludf.DUMMYFUNCTION("GOOGLETRANSLATE(B342,""zh_cn"",""vi"")"),"chiếm đoạt")</f>
        <v>chiếm đoạt</v>
      </c>
      <c r="G342" s="12"/>
      <c r="H342" s="6"/>
      <c r="I342" s="11" t="b">
        <f t="shared" si="2"/>
        <v>0</v>
      </c>
      <c r="J342" s="24"/>
      <c r="K342" s="11" t="b">
        <f t="shared" si="3"/>
        <v>0</v>
      </c>
    </row>
    <row r="343" ht="22.5" customHeight="1">
      <c r="A343" s="12">
        <f t="shared" si="4"/>
        <v>3941</v>
      </c>
      <c r="B343" s="6" t="s">
        <v>11971</v>
      </c>
      <c r="C343" s="7" t="str">
        <f t="shared" si="5"/>
        <v>🔊</v>
      </c>
      <c r="D343" s="8" t="s">
        <v>11972</v>
      </c>
      <c r="E343" s="6" t="s">
        <v>368</v>
      </c>
      <c r="F343" s="12" t="str">
        <f>IFERROR(__xludf.DUMMYFUNCTION("GOOGLETRANSLATE(B343,""zh_cn"",""vi"")"),"Dư thừa")</f>
        <v>Dư thừa</v>
      </c>
      <c r="G343" s="12"/>
      <c r="H343" s="6"/>
      <c r="I343" s="11" t="b">
        <f t="shared" si="2"/>
        <v>0</v>
      </c>
      <c r="J343" s="24"/>
      <c r="K343" s="11" t="b">
        <f t="shared" si="3"/>
        <v>0</v>
      </c>
    </row>
    <row r="344" ht="22.5" customHeight="1">
      <c r="A344" s="12">
        <f t="shared" si="4"/>
        <v>3942</v>
      </c>
      <c r="B344" s="6" t="s">
        <v>11973</v>
      </c>
      <c r="C344" s="7" t="str">
        <f t="shared" si="5"/>
        <v>🔊</v>
      </c>
      <c r="D344" s="8" t="s">
        <v>11974</v>
      </c>
      <c r="E344" s="6" t="s">
        <v>99</v>
      </c>
      <c r="F344" s="12" t="str">
        <f>IFERROR(__xludf.DUMMYFUNCTION("GOOGLETRANSLATE(B344,""zh_cn"",""vi"")"),"Phong phú")</f>
        <v>Phong phú</v>
      </c>
      <c r="G344" s="12"/>
      <c r="H344" s="6"/>
      <c r="I344" s="11" t="b">
        <f t="shared" si="2"/>
        <v>0</v>
      </c>
      <c r="J344" s="24"/>
      <c r="K344" s="11" t="b">
        <f t="shared" si="3"/>
        <v>0</v>
      </c>
    </row>
    <row r="345" ht="22.5" customHeight="1">
      <c r="A345" s="12">
        <f t="shared" si="4"/>
        <v>3943</v>
      </c>
      <c r="B345" s="6" t="s">
        <v>11975</v>
      </c>
      <c r="C345" s="7" t="str">
        <f t="shared" si="5"/>
        <v>🔊</v>
      </c>
      <c r="D345" s="8" t="s">
        <v>11976</v>
      </c>
      <c r="E345" s="6" t="s">
        <v>27</v>
      </c>
      <c r="F345" s="12" t="str">
        <f>IFERROR(__xludf.DUMMYFUNCTION("GOOGLETRANSLATE(B345,""zh_cn"",""vi"")"),"thành phố")</f>
        <v>thành phố</v>
      </c>
      <c r="G345" s="12"/>
      <c r="H345" s="6"/>
      <c r="I345" s="11" t="b">
        <f t="shared" si="2"/>
        <v>0</v>
      </c>
      <c r="J345" s="24"/>
      <c r="K345" s="11" t="b">
        <f t="shared" si="3"/>
        <v>0</v>
      </c>
    </row>
    <row r="346" ht="22.5" customHeight="1">
      <c r="A346" s="12">
        <f t="shared" si="4"/>
        <v>3944</v>
      </c>
      <c r="B346" s="6" t="s">
        <v>11977</v>
      </c>
      <c r="C346" s="7" t="str">
        <f t="shared" si="5"/>
        <v>🔊</v>
      </c>
      <c r="D346" s="8" t="s">
        <v>11978</v>
      </c>
      <c r="E346" s="6" t="s">
        <v>99</v>
      </c>
      <c r="F346" s="12" t="str">
        <f>IFERROR(__xludf.DUMMYFUNCTION("GOOGLETRANSLATE(B346,""zh_cn"",""vi"")"),"xấu")</f>
        <v>xấu</v>
      </c>
      <c r="G346" s="12"/>
      <c r="H346" s="6"/>
      <c r="I346" s="11" t="b">
        <f t="shared" si="2"/>
        <v>0</v>
      </c>
      <c r="J346" s="24"/>
      <c r="K346" s="11" t="b">
        <f t="shared" si="3"/>
        <v>0</v>
      </c>
    </row>
    <row r="347" ht="22.5" customHeight="1">
      <c r="A347" s="12">
        <f t="shared" si="4"/>
        <v>3945</v>
      </c>
      <c r="B347" s="6" t="s">
        <v>11979</v>
      </c>
      <c r="C347" s="7" t="str">
        <f t="shared" si="5"/>
        <v>🔊</v>
      </c>
      <c r="D347" s="8" t="s">
        <v>11980</v>
      </c>
      <c r="E347" s="6" t="s">
        <v>27</v>
      </c>
      <c r="F347" s="12" t="str">
        <f>IFERROR(__xludf.DUMMYFUNCTION("GOOGLETRANSLATE(B347,""zh_cn"",""vi"")"),"bông tai")</f>
        <v>bông tai</v>
      </c>
      <c r="G347" s="12"/>
      <c r="H347" s="6"/>
      <c r="I347" s="11" t="b">
        <f t="shared" si="2"/>
        <v>0</v>
      </c>
      <c r="J347" s="24"/>
      <c r="K347" s="11" t="b">
        <f t="shared" si="3"/>
        <v>0</v>
      </c>
    </row>
    <row r="348" ht="22.5" customHeight="1">
      <c r="A348" s="12">
        <f t="shared" si="4"/>
        <v>3946</v>
      </c>
      <c r="B348" s="6" t="s">
        <v>11981</v>
      </c>
      <c r="C348" s="7" t="str">
        <f t="shared" si="5"/>
        <v>🔊</v>
      </c>
      <c r="D348" s="8" t="s">
        <v>11982</v>
      </c>
      <c r="E348" s="6" t="s">
        <v>27</v>
      </c>
      <c r="F348" s="12" t="str">
        <f>IFERROR(__xludf.DUMMYFUNCTION("GOOGLETRANSLATE(B348,""zh_cn"",""vi"")"),"Nhi khoa")</f>
        <v>Nhi khoa</v>
      </c>
      <c r="G348" s="12"/>
      <c r="H348" s="6"/>
      <c r="I348" s="11" t="b">
        <f t="shared" si="2"/>
        <v>0</v>
      </c>
      <c r="J348" s="24"/>
      <c r="K348" s="11" t="b">
        <f t="shared" si="3"/>
        <v>0</v>
      </c>
    </row>
    <row r="349" ht="22.5" customHeight="1">
      <c r="A349" s="12">
        <f t="shared" si="4"/>
        <v>3947</v>
      </c>
      <c r="B349" s="6" t="s">
        <v>11983</v>
      </c>
      <c r="C349" s="7" t="str">
        <f t="shared" si="5"/>
        <v>🔊</v>
      </c>
      <c r="D349" s="8" t="s">
        <v>11984</v>
      </c>
      <c r="E349" s="6" t="s">
        <v>27</v>
      </c>
      <c r="F349" s="12" t="str">
        <f>IFERROR(__xludf.DUMMYFUNCTION("GOOGLETRANSLATE(B349,""zh_cn"",""vi"")"),"khí cacbonic")</f>
        <v>khí cacbonic</v>
      </c>
      <c r="G349" s="12"/>
      <c r="H349" s="6"/>
      <c r="I349" s="11" t="b">
        <f t="shared" si="2"/>
        <v>0</v>
      </c>
      <c r="J349" s="24"/>
      <c r="K349" s="11" t="b">
        <f t="shared" si="3"/>
        <v>0</v>
      </c>
    </row>
    <row r="350" ht="22.5" customHeight="1">
      <c r="A350" s="12">
        <f t="shared" si="4"/>
        <v>3948</v>
      </c>
      <c r="B350" s="6" t="s">
        <v>11985</v>
      </c>
      <c r="C350" s="7" t="str">
        <f t="shared" si="5"/>
        <v>🔊</v>
      </c>
      <c r="D350" s="8" t="s">
        <v>11986</v>
      </c>
      <c r="E350" s="6" t="s">
        <v>416</v>
      </c>
      <c r="F350" s="12" t="str">
        <f>IFERROR(__xludf.DUMMYFUNCTION("GOOGLETRANSLATE(B350,""zh_cn"",""vi"")"),"buồn nôn")</f>
        <v>buồn nôn</v>
      </c>
      <c r="G350" s="12"/>
      <c r="H350" s="6"/>
      <c r="I350" s="11" t="b">
        <f t="shared" si="2"/>
        <v>0</v>
      </c>
      <c r="J350" s="24"/>
      <c r="K350" s="11" t="b">
        <f t="shared" si="3"/>
        <v>0</v>
      </c>
    </row>
    <row r="351" ht="22.5" customHeight="1">
      <c r="A351" s="12">
        <f t="shared" si="4"/>
        <v>3949</v>
      </c>
      <c r="B351" s="6" t="s">
        <v>11987</v>
      </c>
      <c r="C351" s="7" t="str">
        <f t="shared" si="5"/>
        <v>🔊</v>
      </c>
      <c r="D351" s="8" t="s">
        <v>11988</v>
      </c>
      <c r="E351" s="6" t="s">
        <v>13</v>
      </c>
      <c r="F351" s="12" t="str">
        <f>IFERROR(__xludf.DUMMYFUNCTION("GOOGLETRANSLATE(B351,""zh_cn"",""vi"")"),"Khởi phát bệnh")</f>
        <v>Khởi phát bệnh</v>
      </c>
      <c r="G351" s="12"/>
      <c r="H351" s="6"/>
      <c r="I351" s="11" t="b">
        <f t="shared" si="2"/>
        <v>0</v>
      </c>
      <c r="J351" s="24"/>
      <c r="K351" s="11" t="b">
        <f t="shared" si="3"/>
        <v>0</v>
      </c>
    </row>
    <row r="352" ht="22.5" customHeight="1">
      <c r="A352" s="12">
        <f t="shared" si="4"/>
        <v>3950</v>
      </c>
      <c r="B352" s="6" t="s">
        <v>11989</v>
      </c>
      <c r="C352" s="7" t="str">
        <f t="shared" si="5"/>
        <v>🔊</v>
      </c>
      <c r="D352" s="8" t="s">
        <v>11990</v>
      </c>
      <c r="E352" s="6" t="s">
        <v>13</v>
      </c>
      <c r="F352" s="12" t="str">
        <f>IFERROR(__xludf.DUMMYFUNCTION("GOOGLETRANSLATE(B352,""zh_cn"",""vi"")"),"lo lắng")</f>
        <v>lo lắng</v>
      </c>
      <c r="G352" s="12"/>
      <c r="H352" s="6"/>
      <c r="I352" s="11" t="b">
        <f t="shared" si="2"/>
        <v>0</v>
      </c>
      <c r="J352" s="24"/>
      <c r="K352" s="11" t="b">
        <f t="shared" si="3"/>
        <v>0</v>
      </c>
    </row>
    <row r="353" ht="22.5" customHeight="1">
      <c r="A353" s="12">
        <f t="shared" si="4"/>
        <v>3951</v>
      </c>
      <c r="B353" s="6" t="s">
        <v>11991</v>
      </c>
      <c r="C353" s="7" t="str">
        <f t="shared" si="5"/>
        <v>🔊</v>
      </c>
      <c r="D353" s="8" t="s">
        <v>11992</v>
      </c>
      <c r="E353" s="6" t="s">
        <v>13</v>
      </c>
      <c r="F353" s="12" t="str">
        <f>IFERROR(__xludf.DUMMYFUNCTION("GOOGLETRANSLATE(B353,""zh_cn"",""vi"")"),"Phát điện")</f>
        <v>Phát điện</v>
      </c>
      <c r="G353" s="12"/>
      <c r="H353" s="6"/>
      <c r="I353" s="11" t="b">
        <f t="shared" si="2"/>
        <v>0</v>
      </c>
      <c r="J353" s="24"/>
      <c r="K353" s="11" t="b">
        <f t="shared" si="3"/>
        <v>0</v>
      </c>
    </row>
    <row r="354" ht="22.5" customHeight="1">
      <c r="A354" s="12">
        <f t="shared" si="4"/>
        <v>3952</v>
      </c>
      <c r="B354" s="6" t="s">
        <v>11993</v>
      </c>
      <c r="C354" s="7" t="str">
        <f t="shared" si="5"/>
        <v>🔊</v>
      </c>
      <c r="D354" s="8" t="s">
        <v>11994</v>
      </c>
      <c r="E354" s="6" t="s">
        <v>99</v>
      </c>
      <c r="F354" s="12" t="str">
        <f>IFERROR(__xludf.DUMMYFUNCTION("GOOGLETRANSLATE(B354,""zh_cn"",""vi"")"),"hợp pháp")</f>
        <v>hợp pháp</v>
      </c>
      <c r="G354" s="12"/>
      <c r="H354" s="6"/>
      <c r="I354" s="11" t="b">
        <f t="shared" si="2"/>
        <v>0</v>
      </c>
      <c r="J354" s="24"/>
      <c r="K354" s="11" t="b">
        <f t="shared" si="3"/>
        <v>0</v>
      </c>
    </row>
    <row r="355" ht="22.5" customHeight="1">
      <c r="A355" s="12">
        <f t="shared" si="4"/>
        <v>3953</v>
      </c>
      <c r="B355" s="6" t="s">
        <v>11995</v>
      </c>
      <c r="C355" s="7" t="str">
        <f t="shared" si="5"/>
        <v>🔊</v>
      </c>
      <c r="D355" s="8" t="s">
        <v>11996</v>
      </c>
      <c r="E355" s="6" t="s">
        <v>13</v>
      </c>
      <c r="F355" s="12" t="str">
        <f>IFERROR(__xludf.DUMMYFUNCTION("GOOGLETRANSLATE(B355,""zh_cn"",""vi"")"),"phóng")</f>
        <v>phóng</v>
      </c>
      <c r="G355" s="12"/>
      <c r="H355" s="6"/>
      <c r="I355" s="11" t="b">
        <f t="shared" si="2"/>
        <v>0</v>
      </c>
      <c r="J355" s="24"/>
      <c r="K355" s="11" t="b">
        <f t="shared" si="3"/>
        <v>0</v>
      </c>
    </row>
    <row r="356" ht="22.5" customHeight="1">
      <c r="A356" s="12">
        <f t="shared" si="4"/>
        <v>3954</v>
      </c>
      <c r="B356" s="6" t="s">
        <v>11997</v>
      </c>
      <c r="C356" s="7" t="str">
        <f t="shared" si="5"/>
        <v>🔊</v>
      </c>
      <c r="D356" s="8" t="s">
        <v>11998</v>
      </c>
      <c r="E356" s="6" t="s">
        <v>13</v>
      </c>
      <c r="F356" s="12" t="str">
        <f>IFERROR(__xludf.DUMMYFUNCTION("GOOGLETRANSLATE(B356,""zh_cn"",""vi"")"),"Phân bổ")</f>
        <v>Phân bổ</v>
      </c>
      <c r="G356" s="12"/>
      <c r="H356" s="6"/>
      <c r="I356" s="11" t="b">
        <f t="shared" si="2"/>
        <v>0</v>
      </c>
      <c r="J356" s="24"/>
      <c r="K356" s="11" t="b">
        <f t="shared" si="3"/>
        <v>0</v>
      </c>
    </row>
    <row r="357" ht="22.5" customHeight="1">
      <c r="A357" s="12">
        <f t="shared" si="4"/>
        <v>3955</v>
      </c>
      <c r="B357" s="6" t="s">
        <v>11999</v>
      </c>
      <c r="C357" s="7" t="str">
        <f t="shared" si="5"/>
        <v>🔊</v>
      </c>
      <c r="D357" s="8" t="s">
        <v>12000</v>
      </c>
      <c r="E357" s="6" t="s">
        <v>27</v>
      </c>
      <c r="F357" s="12" t="str">
        <f>IFERROR(__xludf.DUMMYFUNCTION("GOOGLETRANSLATE(B357,""zh_cn"",""vi"")"),"Phán xét")</f>
        <v>Phán xét</v>
      </c>
      <c r="G357" s="12"/>
      <c r="H357" s="6"/>
      <c r="I357" s="11" t="b">
        <f t="shared" si="2"/>
        <v>0</v>
      </c>
      <c r="J357" s="24"/>
      <c r="K357" s="11" t="b">
        <f t="shared" si="3"/>
        <v>0</v>
      </c>
    </row>
    <row r="358" ht="22.5" customHeight="1">
      <c r="A358" s="12">
        <f t="shared" si="4"/>
        <v>3956</v>
      </c>
      <c r="B358" s="6" t="s">
        <v>12001</v>
      </c>
      <c r="C358" s="7" t="str">
        <f t="shared" si="5"/>
        <v>🔊</v>
      </c>
      <c r="D358" s="8" t="s">
        <v>12002</v>
      </c>
      <c r="E358" s="6" t="s">
        <v>13</v>
      </c>
      <c r="F358" s="12" t="str">
        <f>IFERROR(__xludf.DUMMYFUNCTION("GOOGLETRANSLATE(B358,""zh_cn"",""vi"")"),"Ánh sáng")</f>
        <v>Ánh sáng</v>
      </c>
      <c r="G358" s="12"/>
      <c r="H358" s="6"/>
      <c r="I358" s="11" t="b">
        <f t="shared" si="2"/>
        <v>0</v>
      </c>
      <c r="J358" s="24"/>
      <c r="K358" s="11" t="b">
        <f t="shared" si="3"/>
        <v>0</v>
      </c>
    </row>
    <row r="359" ht="22.5" customHeight="1">
      <c r="A359" s="12">
        <f t="shared" si="4"/>
        <v>3957</v>
      </c>
      <c r="B359" s="6" t="s">
        <v>12003</v>
      </c>
      <c r="C359" s="7" t="str">
        <f t="shared" si="5"/>
        <v>🔊</v>
      </c>
      <c r="D359" s="8" t="s">
        <v>12004</v>
      </c>
      <c r="E359" s="6" t="s">
        <v>27</v>
      </c>
      <c r="F359" s="12" t="str">
        <f>IFERROR(__xludf.DUMMYFUNCTION("GOOGLETRANSLATE(B359,""zh_cn"",""vi"")"),"Quy định")</f>
        <v>Quy định</v>
      </c>
      <c r="G359" s="12"/>
      <c r="H359" s="6"/>
      <c r="I359" s="11" t="b">
        <f t="shared" si="2"/>
        <v>0</v>
      </c>
      <c r="J359" s="24"/>
      <c r="K359" s="11" t="b">
        <f t="shared" si="3"/>
        <v>0</v>
      </c>
    </row>
    <row r="360" ht="22.5" customHeight="1">
      <c r="A360" s="12">
        <f t="shared" si="4"/>
        <v>3958</v>
      </c>
      <c r="B360" s="6" t="s">
        <v>12005</v>
      </c>
      <c r="C360" s="7" t="str">
        <f t="shared" si="5"/>
        <v>🔊</v>
      </c>
      <c r="D360" s="8" t="s">
        <v>187</v>
      </c>
      <c r="E360" s="6" t="s">
        <v>13</v>
      </c>
      <c r="F360" s="12" t="str">
        <f>IFERROR(__xludf.DUMMYFUNCTION("GOOGLETRANSLATE(B360,""zh_cn"",""vi"")"),"Người phạm tội")</f>
        <v>Người phạm tội</v>
      </c>
      <c r="G360" s="12"/>
      <c r="H360" s="6"/>
      <c r="I360" s="11" t="b">
        <f t="shared" si="2"/>
        <v>0</v>
      </c>
      <c r="J360" s="24"/>
      <c r="K360" s="11" t="b">
        <f t="shared" si="3"/>
        <v>0</v>
      </c>
    </row>
    <row r="361" ht="22.5" customHeight="1">
      <c r="A361" s="12">
        <f t="shared" si="4"/>
        <v>3959</v>
      </c>
      <c r="B361" s="6" t="s">
        <v>12006</v>
      </c>
      <c r="C361" s="7" t="str">
        <f t="shared" si="5"/>
        <v>🔊</v>
      </c>
      <c r="D361" s="8" t="s">
        <v>7585</v>
      </c>
      <c r="E361" s="6" t="s">
        <v>47</v>
      </c>
      <c r="F361" s="12" t="str">
        <f>IFERROR(__xludf.DUMMYFUNCTION("GOOGLETRANSLATE(B361,""zh_cn"",""vi"")"),"Cái quạt")</f>
        <v>Cái quạt</v>
      </c>
      <c r="G361" s="12"/>
      <c r="H361" s="6"/>
      <c r="I361" s="11" t="b">
        <f t="shared" si="2"/>
        <v>0</v>
      </c>
      <c r="J361" s="24"/>
      <c r="K361" s="11" t="b">
        <f t="shared" si="3"/>
        <v>0</v>
      </c>
    </row>
    <row r="362" ht="22.5" customHeight="1">
      <c r="A362" s="12">
        <f t="shared" si="4"/>
        <v>3960</v>
      </c>
      <c r="B362" s="6" t="s">
        <v>12007</v>
      </c>
      <c r="C362" s="7" t="str">
        <f t="shared" si="5"/>
        <v>🔊</v>
      </c>
      <c r="D362" s="8" t="s">
        <v>12008</v>
      </c>
      <c r="E362" s="6" t="s">
        <v>13</v>
      </c>
      <c r="F362" s="12" t="str">
        <f>IFERROR(__xludf.DUMMYFUNCTION("GOOGLETRANSLATE(B362,""zh_cn"",""vi"")"),"Những trở ngại")</f>
        <v>Những trở ngại</v>
      </c>
      <c r="G362" s="12"/>
      <c r="H362" s="6"/>
      <c r="I362" s="11" t="b">
        <f t="shared" si="2"/>
        <v>0</v>
      </c>
      <c r="J362" s="24"/>
      <c r="K362" s="11" t="b">
        <f t="shared" si="3"/>
        <v>0</v>
      </c>
    </row>
    <row r="363" ht="22.5" customHeight="1">
      <c r="A363" s="12">
        <f t="shared" si="4"/>
        <v>3961</v>
      </c>
      <c r="B363" s="6" t="s">
        <v>12009</v>
      </c>
      <c r="C363" s="7" t="str">
        <f t="shared" si="5"/>
        <v>🔊</v>
      </c>
      <c r="D363" s="8" t="s">
        <v>12010</v>
      </c>
      <c r="E363" s="6" t="s">
        <v>13</v>
      </c>
      <c r="F363" s="12" t="str">
        <f>IFERROR(__xludf.DUMMYFUNCTION("GOOGLETRANSLATE(B363,""zh_cn"",""vi"")"),"phóng to")</f>
        <v>phóng to</v>
      </c>
      <c r="G363" s="12"/>
      <c r="H363" s="6"/>
      <c r="I363" s="11" t="b">
        <f t="shared" si="2"/>
        <v>0</v>
      </c>
      <c r="J363" s="24"/>
      <c r="K363" s="11" t="b">
        <f t="shared" si="3"/>
        <v>0</v>
      </c>
    </row>
    <row r="364" ht="22.5" customHeight="1">
      <c r="A364" s="12">
        <f t="shared" si="4"/>
        <v>3962</v>
      </c>
      <c r="B364" s="6" t="s">
        <v>12011</v>
      </c>
      <c r="C364" s="7" t="str">
        <f t="shared" si="5"/>
        <v>🔊</v>
      </c>
      <c r="D364" s="8" t="s">
        <v>12012</v>
      </c>
      <c r="E364" s="6" t="s">
        <v>27</v>
      </c>
      <c r="F364" s="12" t="str">
        <f>IFERROR(__xludf.DUMMYFUNCTION("GOOGLETRANSLATE(B364,""zh_cn"",""vi"")"),"Tất cả các khía cạnh")</f>
        <v>Tất cả các khía cạnh</v>
      </c>
      <c r="G364" s="12"/>
      <c r="H364" s="6"/>
      <c r="I364" s="11" t="b">
        <f t="shared" si="2"/>
        <v>0</v>
      </c>
      <c r="J364" s="24"/>
      <c r="K364" s="11" t="b">
        <f t="shared" si="3"/>
        <v>0</v>
      </c>
    </row>
    <row r="365" ht="22.5" customHeight="1">
      <c r="A365" s="12">
        <f t="shared" si="4"/>
        <v>3963</v>
      </c>
      <c r="B365" s="6" t="s">
        <v>12013</v>
      </c>
      <c r="C365" s="7" t="str">
        <f t="shared" si="5"/>
        <v>🔊</v>
      </c>
      <c r="D365" s="8" t="s">
        <v>12014</v>
      </c>
      <c r="E365" s="6" t="s">
        <v>13</v>
      </c>
      <c r="F365" s="12" t="str">
        <f>IFERROR(__xludf.DUMMYFUNCTION("GOOGLETRANSLATE(B365,""zh_cn"",""vi"")"),"Hãy buông bỏ")</f>
        <v>Hãy buông bỏ</v>
      </c>
      <c r="G365" s="12"/>
      <c r="H365" s="6"/>
      <c r="I365" s="11" t="b">
        <f t="shared" si="2"/>
        <v>0</v>
      </c>
      <c r="J365" s="24"/>
      <c r="K365" s="11" t="b">
        <f t="shared" si="3"/>
        <v>0</v>
      </c>
    </row>
    <row r="366" ht="22.5" customHeight="1">
      <c r="A366" s="12">
        <f t="shared" si="4"/>
        <v>3964</v>
      </c>
      <c r="B366" s="6" t="s">
        <v>12015</v>
      </c>
      <c r="C366" s="7" t="str">
        <f t="shared" si="5"/>
        <v>🔊</v>
      </c>
      <c r="D366" s="8" t="s">
        <v>12016</v>
      </c>
      <c r="E366" s="6" t="s">
        <v>27</v>
      </c>
      <c r="F366" s="12" t="str">
        <f>IFERROR(__xludf.DUMMYFUNCTION("GOOGLETRANSLATE(B366,""zh_cn"",""vi"")"),"giá nhà ở")</f>
        <v>giá nhà ở</v>
      </c>
      <c r="G366" s="12"/>
      <c r="H366" s="6"/>
      <c r="I366" s="11" t="b">
        <f t="shared" si="2"/>
        <v>0</v>
      </c>
      <c r="J366" s="24"/>
      <c r="K366" s="11" t="b">
        <f t="shared" si="3"/>
        <v>0</v>
      </c>
    </row>
    <row r="367" ht="22.5" customHeight="1">
      <c r="A367" s="12">
        <f t="shared" si="4"/>
        <v>3965</v>
      </c>
      <c r="B367" s="6" t="s">
        <v>12017</v>
      </c>
      <c r="C367" s="7" t="str">
        <f t="shared" si="5"/>
        <v>🔊</v>
      </c>
      <c r="D367" s="8" t="s">
        <v>12018</v>
      </c>
      <c r="E367" s="6" t="s">
        <v>13</v>
      </c>
      <c r="F367" s="12" t="str">
        <f>IFERROR(__xludf.DUMMYFUNCTION("GOOGLETRANSLATE(B367,""zh_cn"",""vi"")"),"Phỏng vấn")</f>
        <v>Phỏng vấn</v>
      </c>
      <c r="G367" s="12"/>
      <c r="H367" s="6"/>
      <c r="I367" s="11" t="b">
        <f t="shared" si="2"/>
        <v>0</v>
      </c>
      <c r="J367" s="24"/>
      <c r="K367" s="11" t="b">
        <f t="shared" si="3"/>
        <v>0</v>
      </c>
    </row>
    <row r="368" ht="22.5" customHeight="1">
      <c r="A368" s="12">
        <f t="shared" si="4"/>
        <v>3966</v>
      </c>
      <c r="B368" s="6" t="s">
        <v>12019</v>
      </c>
      <c r="C368" s="7" t="str">
        <f t="shared" si="5"/>
        <v>🔊</v>
      </c>
      <c r="D368" s="8" t="s">
        <v>12020</v>
      </c>
      <c r="E368" s="6" t="s">
        <v>27</v>
      </c>
      <c r="F368" s="12" t="str">
        <f>IFERROR(__xludf.DUMMYFUNCTION("GOOGLETRANSLATE(B368,""zh_cn"",""vi"")"),"chức vụ")</f>
        <v>chức vụ</v>
      </c>
      <c r="G368" s="12"/>
      <c r="H368" s="6"/>
      <c r="I368" s="11" t="b">
        <f t="shared" si="2"/>
        <v>0</v>
      </c>
      <c r="J368" s="24"/>
      <c r="K368" s="11" t="b">
        <f t="shared" si="3"/>
        <v>0</v>
      </c>
    </row>
    <row r="369" ht="22.5" customHeight="1">
      <c r="A369" s="12">
        <f t="shared" si="4"/>
        <v>3967</v>
      </c>
      <c r="B369" s="6" t="s">
        <v>12021</v>
      </c>
      <c r="C369" s="7" t="str">
        <f t="shared" si="5"/>
        <v>🔊</v>
      </c>
      <c r="D369" s="8" t="s">
        <v>12022</v>
      </c>
      <c r="E369" s="6" t="s">
        <v>27</v>
      </c>
      <c r="F369" s="12" t="str">
        <f>IFERROR(__xludf.DUMMYFUNCTION("GOOGLETRANSLATE(B369,""zh_cn"",""vi"")"),"phương ngữ")</f>
        <v>phương ngữ</v>
      </c>
      <c r="G369" s="12"/>
      <c r="H369" s="6"/>
      <c r="I369" s="11" t="b">
        <f t="shared" si="2"/>
        <v>0</v>
      </c>
      <c r="J369" s="24"/>
      <c r="K369" s="11" t="b">
        <f t="shared" si="3"/>
        <v>0</v>
      </c>
    </row>
    <row r="370" ht="22.5" customHeight="1">
      <c r="A370" s="12">
        <f t="shared" si="4"/>
        <v>3968</v>
      </c>
      <c r="B370" s="6" t="s">
        <v>12023</v>
      </c>
      <c r="C370" s="7" t="str">
        <f t="shared" si="5"/>
        <v>🔊</v>
      </c>
      <c r="D370" s="8" t="s">
        <v>12024</v>
      </c>
      <c r="E370" s="6" t="s">
        <v>13</v>
      </c>
      <c r="F370" s="12" t="str">
        <f>IFERROR(__xludf.DUMMYFUNCTION("GOOGLETRANSLATE(B370,""zh_cn"",""vi"")"),"Phòng ngừa và kiểm soát")</f>
        <v>Phòng ngừa và kiểm soát</v>
      </c>
      <c r="G370" s="12"/>
      <c r="H370" s="6"/>
      <c r="I370" s="11" t="b">
        <f t="shared" si="2"/>
        <v>0</v>
      </c>
      <c r="J370" s="24"/>
      <c r="K370" s="11" t="b">
        <f t="shared" si="3"/>
        <v>0</v>
      </c>
    </row>
    <row r="371" ht="22.5" customHeight="1">
      <c r="A371" s="12">
        <f t="shared" si="4"/>
        <v>3969</v>
      </c>
      <c r="B371" s="6" t="s">
        <v>12025</v>
      </c>
      <c r="C371" s="7" t="str">
        <f t="shared" si="5"/>
        <v>🔊</v>
      </c>
      <c r="D371" s="8" t="s">
        <v>12026</v>
      </c>
      <c r="E371" s="6" t="s">
        <v>13</v>
      </c>
      <c r="F371" s="12" t="str">
        <f>IFERROR(__xludf.DUMMYFUNCTION("GOOGLETRANSLATE(B371,""zh_cn"",""vi"")"),"nhận xét")</f>
        <v>nhận xét</v>
      </c>
      <c r="G371" s="12"/>
      <c r="H371" s="6"/>
      <c r="I371" s="11" t="b">
        <f t="shared" si="2"/>
        <v>0</v>
      </c>
      <c r="J371" s="24"/>
      <c r="K371" s="11" t="b">
        <f t="shared" si="3"/>
        <v>0</v>
      </c>
    </row>
    <row r="372" ht="22.5" customHeight="1">
      <c r="A372" s="12">
        <f t="shared" si="4"/>
        <v>3970</v>
      </c>
      <c r="B372" s="6" t="s">
        <v>12027</v>
      </c>
      <c r="C372" s="7" t="str">
        <f t="shared" si="5"/>
        <v>🔊</v>
      </c>
      <c r="D372" s="8" t="s">
        <v>12028</v>
      </c>
      <c r="E372" s="6" t="s">
        <v>99</v>
      </c>
      <c r="F372" s="12" t="str">
        <f>IFERROR(__xludf.DUMMYFUNCTION("GOOGLETRANSLATE(B372,""zh_cn"",""vi"")"),"bận")</f>
        <v>bận</v>
      </c>
      <c r="G372" s="12"/>
      <c r="H372" s="6"/>
      <c r="I372" s="11" t="b">
        <f t="shared" si="2"/>
        <v>0</v>
      </c>
      <c r="J372" s="24"/>
      <c r="K372" s="11" t="b">
        <f t="shared" si="3"/>
        <v>0</v>
      </c>
    </row>
    <row r="373" ht="22.5" customHeight="1">
      <c r="A373" s="12">
        <f t="shared" si="4"/>
        <v>3971</v>
      </c>
      <c r="B373" s="6" t="s">
        <v>12029</v>
      </c>
      <c r="C373" s="7" t="str">
        <f t="shared" si="5"/>
        <v>🔊</v>
      </c>
      <c r="D373" s="8" t="s">
        <v>12030</v>
      </c>
      <c r="E373" s="6" t="s">
        <v>61</v>
      </c>
      <c r="F373" s="12" t="str">
        <f>IFERROR(__xludf.DUMMYFUNCTION("GOOGLETRANSLATE(B373,""zh_cn"",""vi"")"),"tất cả)")</f>
        <v>tất cả)</v>
      </c>
      <c r="G373" s="12"/>
      <c r="H373" s="6"/>
      <c r="I373" s="11" t="b">
        <f t="shared" si="2"/>
        <v>0</v>
      </c>
      <c r="J373" s="24"/>
      <c r="K373" s="11" t="b">
        <f t="shared" si="3"/>
        <v>0</v>
      </c>
    </row>
    <row r="374" ht="22.5" customHeight="1">
      <c r="A374" s="12">
        <f t="shared" si="4"/>
        <v>3972</v>
      </c>
      <c r="B374" s="6" t="s">
        <v>12031</v>
      </c>
      <c r="C374" s="7" t="str">
        <f t="shared" si="5"/>
        <v>🔊</v>
      </c>
      <c r="D374" s="8" t="s">
        <v>12032</v>
      </c>
      <c r="E374" s="6" t="s">
        <v>13</v>
      </c>
      <c r="F374" s="12" t="str">
        <f>IFERROR(__xludf.DUMMYFUNCTION("GOOGLETRANSLATE(B374,""zh_cn"",""vi"")"),"Sự phản xạ")</f>
        <v>Sự phản xạ</v>
      </c>
      <c r="G374" s="12"/>
      <c r="H374" s="6"/>
      <c r="I374" s="11" t="b">
        <f t="shared" si="2"/>
        <v>0</v>
      </c>
      <c r="J374" s="24"/>
      <c r="K374" s="11" t="b">
        <f t="shared" si="3"/>
        <v>0</v>
      </c>
    </row>
    <row r="375" ht="22.5" customHeight="1">
      <c r="A375" s="12">
        <f t="shared" si="4"/>
        <v>3973</v>
      </c>
      <c r="B375" s="6" t="s">
        <v>12033</v>
      </c>
      <c r="C375" s="7" t="str">
        <f t="shared" si="5"/>
        <v>🔊</v>
      </c>
      <c r="D375" s="8" t="s">
        <v>12034</v>
      </c>
      <c r="E375" s="6" t="s">
        <v>13</v>
      </c>
      <c r="F375" s="12" t="str">
        <f>IFERROR(__xludf.DUMMYFUNCTION("GOOGLETRANSLATE(B375,""zh_cn"",""vi"")"),"Sự sinh sản")</f>
        <v>Sự sinh sản</v>
      </c>
      <c r="G375" s="12"/>
      <c r="H375" s="6"/>
      <c r="I375" s="11" t="b">
        <f t="shared" si="2"/>
        <v>0</v>
      </c>
      <c r="J375" s="24"/>
      <c r="K375" s="11" t="b">
        <f t="shared" si="3"/>
        <v>0</v>
      </c>
    </row>
    <row r="376" ht="22.5" customHeight="1">
      <c r="A376" s="12">
        <f t="shared" si="4"/>
        <v>3974</v>
      </c>
      <c r="B376" s="6" t="s">
        <v>12035</v>
      </c>
      <c r="C376" s="7" t="str">
        <f t="shared" si="5"/>
        <v>🔊</v>
      </c>
      <c r="D376" s="8" t="s">
        <v>12036</v>
      </c>
      <c r="E376" s="6" t="s">
        <v>27</v>
      </c>
      <c r="F376" s="12" t="str">
        <f>IFERROR(__xludf.DUMMYFUNCTION("GOOGLETRANSLATE(B376,""zh_cn"",""vi"")"),"hóa đơn")</f>
        <v>hóa đơn</v>
      </c>
      <c r="G376" s="12"/>
      <c r="H376" s="6"/>
      <c r="I376" s="11" t="b">
        <f t="shared" si="2"/>
        <v>0</v>
      </c>
      <c r="J376" s="24"/>
      <c r="K376" s="11" t="b">
        <f t="shared" si="3"/>
        <v>0</v>
      </c>
    </row>
    <row r="377" ht="22.5" customHeight="1">
      <c r="A377" s="12">
        <f t="shared" si="4"/>
        <v>3975</v>
      </c>
      <c r="B377" s="6" t="s">
        <v>12037</v>
      </c>
      <c r="C377" s="7" t="str">
        <f t="shared" si="5"/>
        <v>🔊</v>
      </c>
      <c r="D377" s="8" t="s">
        <v>12038</v>
      </c>
      <c r="E377" s="6" t="s">
        <v>13</v>
      </c>
      <c r="F377" s="12" t="str">
        <f>IFERROR(__xludf.DUMMYFUNCTION("GOOGLETRANSLATE(B377,""zh_cn"",""vi"")"),"đã phát hành")</f>
        <v>đã phát hành</v>
      </c>
      <c r="G377" s="12"/>
      <c r="H377" s="6"/>
      <c r="I377" s="11" t="b">
        <f t="shared" si="2"/>
        <v>0</v>
      </c>
      <c r="J377" s="24"/>
      <c r="K377" s="11" t="b">
        <f t="shared" si="3"/>
        <v>0</v>
      </c>
    </row>
    <row r="378" ht="22.5" customHeight="1">
      <c r="A378" s="12">
        <f t="shared" si="4"/>
        <v>3976</v>
      </c>
      <c r="B378" s="6" t="s">
        <v>12039</v>
      </c>
      <c r="C378" s="7" t="str">
        <f t="shared" si="5"/>
        <v>🔊</v>
      </c>
      <c r="D378" s="8" t="s">
        <v>7638</v>
      </c>
      <c r="E378" s="6" t="s">
        <v>13</v>
      </c>
      <c r="F378" s="12" t="str">
        <f>IFERROR(__xludf.DUMMYFUNCTION("GOOGLETRANSLATE(B378,""zh_cn"",""vi"")"),"bị viêm")</f>
        <v>bị viêm</v>
      </c>
      <c r="G378" s="12"/>
      <c r="H378" s="6"/>
      <c r="I378" s="11" t="b">
        <f t="shared" si="2"/>
        <v>0</v>
      </c>
      <c r="J378" s="24"/>
      <c r="K378" s="11" t="b">
        <f t="shared" si="3"/>
        <v>0</v>
      </c>
    </row>
    <row r="379" ht="22.5" customHeight="1">
      <c r="A379" s="12">
        <f t="shared" si="4"/>
        <v>3977</v>
      </c>
      <c r="B379" s="6" t="s">
        <v>12040</v>
      </c>
      <c r="C379" s="7" t="str">
        <f t="shared" si="5"/>
        <v>🔊</v>
      </c>
      <c r="D379" s="8" t="s">
        <v>12041</v>
      </c>
      <c r="E379" s="6" t="s">
        <v>13</v>
      </c>
      <c r="F379" s="12" t="str">
        <f>IFERROR(__xludf.DUMMYFUNCTION("GOOGLETRANSLATE(B379,""zh_cn"",""vi"")"),"phát triển")</f>
        <v>phát triển</v>
      </c>
      <c r="G379" s="12"/>
      <c r="H379" s="6"/>
      <c r="I379" s="11" t="b">
        <f t="shared" si="2"/>
        <v>0</v>
      </c>
      <c r="J379" s="24"/>
      <c r="K379" s="11" t="b">
        <f t="shared" si="3"/>
        <v>0</v>
      </c>
    </row>
    <row r="380" ht="22.5" customHeight="1">
      <c r="A380" s="12">
        <f t="shared" si="4"/>
        <v>3978</v>
      </c>
      <c r="B380" s="6" t="s">
        <v>12042</v>
      </c>
      <c r="C380" s="7" t="str">
        <f t="shared" si="5"/>
        <v>🔊</v>
      </c>
      <c r="D380" s="8" t="s">
        <v>12043</v>
      </c>
      <c r="E380" s="6" t="s">
        <v>4943</v>
      </c>
      <c r="F380" s="12" t="str">
        <f>IFERROR(__xludf.DUMMYFUNCTION("GOOGLETRANSLATE(B380,""zh_cn"",""vi"")"),"Mập")</f>
        <v>Mập</v>
      </c>
      <c r="G380" s="12"/>
      <c r="H380" s="6"/>
      <c r="I380" s="11" t="b">
        <f t="shared" si="2"/>
        <v>0</v>
      </c>
      <c r="J380" s="24"/>
      <c r="K380" s="11" t="b">
        <f t="shared" si="3"/>
        <v>0</v>
      </c>
    </row>
    <row r="381" ht="22.5" customHeight="1">
      <c r="A381" s="12">
        <f t="shared" si="4"/>
        <v>3979</v>
      </c>
      <c r="B381" s="6" t="s">
        <v>12044</v>
      </c>
      <c r="C381" s="7" t="str">
        <f t="shared" si="5"/>
        <v>🔊</v>
      </c>
      <c r="D381" s="8" t="s">
        <v>3978</v>
      </c>
      <c r="E381" s="6" t="s">
        <v>27</v>
      </c>
      <c r="F381" s="12" t="str">
        <f>IFERROR(__xludf.DUMMYFUNCTION("GOOGLETRANSLATE(B381,""zh_cn"",""vi"")"),"phổi")</f>
        <v>phổi</v>
      </c>
      <c r="G381" s="12"/>
      <c r="H381" s="6"/>
      <c r="I381" s="11" t="b">
        <f t="shared" si="2"/>
        <v>0</v>
      </c>
      <c r="J381" s="24"/>
      <c r="K381" s="11" t="b">
        <f t="shared" si="3"/>
        <v>0</v>
      </c>
    </row>
    <row r="382" ht="22.5" customHeight="1">
      <c r="A382" s="12">
        <f t="shared" si="4"/>
        <v>3980</v>
      </c>
      <c r="B382" s="6" t="s">
        <v>12045</v>
      </c>
      <c r="C382" s="7" t="str">
        <f t="shared" si="5"/>
        <v>🔊</v>
      </c>
      <c r="D382" s="8" t="s">
        <v>12046</v>
      </c>
      <c r="E382" s="6" t="s">
        <v>99</v>
      </c>
      <c r="F382" s="12" t="str">
        <f>IFERROR(__xludf.DUMMYFUNCTION("GOOGLETRANSLATE(B382,""zh_cn"",""vi"")"),"béo phì")</f>
        <v>béo phì</v>
      </c>
      <c r="G382" s="12"/>
      <c r="H382" s="6"/>
      <c r="I382" s="11" t="b">
        <f t="shared" si="2"/>
        <v>0</v>
      </c>
      <c r="J382" s="24"/>
      <c r="K382" s="11" t="b">
        <f t="shared" si="3"/>
        <v>0</v>
      </c>
    </row>
    <row r="383" ht="22.5" customHeight="1">
      <c r="A383" s="12">
        <f t="shared" si="4"/>
        <v>3981</v>
      </c>
      <c r="B383" s="6" t="s">
        <v>12047</v>
      </c>
      <c r="C383" s="7" t="str">
        <f t="shared" si="5"/>
        <v>🔊</v>
      </c>
      <c r="D383" s="8" t="s">
        <v>12048</v>
      </c>
      <c r="E383" s="6" t="s">
        <v>61</v>
      </c>
      <c r="F383" s="12" t="str">
        <f>IFERROR(__xludf.DUMMYFUNCTION("GOOGLETRANSLATE(B383,""zh_cn"",""vi"")"),"nhanh")</f>
        <v>nhanh</v>
      </c>
      <c r="G383" s="12"/>
      <c r="H383" s="6"/>
      <c r="I383" s="11" t="b">
        <f t="shared" si="2"/>
        <v>0</v>
      </c>
      <c r="J383" s="24"/>
      <c r="K383" s="11" t="b">
        <f t="shared" si="3"/>
        <v>0</v>
      </c>
    </row>
    <row r="384" ht="22.5" customHeight="1">
      <c r="A384" s="12">
        <f t="shared" si="4"/>
        <v>3982</v>
      </c>
      <c r="B384" s="6" t="s">
        <v>12049</v>
      </c>
      <c r="C384" s="7" t="str">
        <f t="shared" si="5"/>
        <v>🔊</v>
      </c>
      <c r="D384" s="8" t="s">
        <v>12050</v>
      </c>
      <c r="E384" s="6" t="s">
        <v>99</v>
      </c>
      <c r="F384" s="12" t="str">
        <f>IFERROR(__xludf.DUMMYFUNCTION("GOOGLETRANSLATE(B384,""zh_cn"",""vi"")"),"màu mỡ")</f>
        <v>màu mỡ</v>
      </c>
      <c r="G384" s="12"/>
      <c r="H384" s="6"/>
      <c r="I384" s="11" t="b">
        <f t="shared" si="2"/>
        <v>0</v>
      </c>
      <c r="J384" s="24"/>
      <c r="K384" s="11" t="b">
        <f t="shared" si="3"/>
        <v>0</v>
      </c>
    </row>
    <row r="385" ht="22.5" customHeight="1">
      <c r="A385" s="12">
        <f t="shared" si="4"/>
        <v>3983</v>
      </c>
      <c r="B385" s="6" t="s">
        <v>12051</v>
      </c>
      <c r="C385" s="7" t="str">
        <f t="shared" si="5"/>
        <v>🔊</v>
      </c>
      <c r="D385" s="8" t="s">
        <v>12052</v>
      </c>
      <c r="E385" s="6" t="s">
        <v>27</v>
      </c>
      <c r="F385" s="12" t="str">
        <f>IFERROR(__xludf.DUMMYFUNCTION("GOOGLETRANSLATE(B385,""zh_cn"",""vi"")"),"viêm phổi")</f>
        <v>viêm phổi</v>
      </c>
      <c r="G385" s="12"/>
      <c r="H385" s="6"/>
      <c r="I385" s="11" t="b">
        <f t="shared" si="2"/>
        <v>0</v>
      </c>
      <c r="J385" s="24"/>
      <c r="K385" s="11" t="b">
        <f t="shared" si="3"/>
        <v>0</v>
      </c>
    </row>
    <row r="386" ht="22.5" customHeight="1">
      <c r="A386" s="12">
        <f t="shared" si="4"/>
        <v>3984</v>
      </c>
      <c r="B386" s="6" t="s">
        <v>12053</v>
      </c>
      <c r="C386" s="7" t="str">
        <f t="shared" si="5"/>
        <v>🔊</v>
      </c>
      <c r="D386" s="8" t="s">
        <v>12054</v>
      </c>
      <c r="E386" s="6" t="s">
        <v>3430</v>
      </c>
      <c r="F386" s="12" t="str">
        <f>IFERROR(__xludf.DUMMYFUNCTION("GOOGLETRANSLATE(B386,""zh_cn"",""vi"")"),"hồng")</f>
        <v>hồng</v>
      </c>
      <c r="G386" s="12"/>
      <c r="H386" s="6"/>
      <c r="I386" s="11" t="b">
        <f t="shared" si="2"/>
        <v>0</v>
      </c>
      <c r="J386" s="24"/>
      <c r="K386" s="11" t="b">
        <f t="shared" si="3"/>
        <v>0</v>
      </c>
    </row>
    <row r="387" ht="22.5" customHeight="1">
      <c r="A387" s="12">
        <f t="shared" si="4"/>
        <v>3985</v>
      </c>
      <c r="B387" s="6" t="s">
        <v>12055</v>
      </c>
      <c r="C387" s="7" t="str">
        <f t="shared" si="5"/>
        <v>🔊</v>
      </c>
      <c r="D387" s="8" t="s">
        <v>12056</v>
      </c>
      <c r="E387" s="6" t="s">
        <v>13</v>
      </c>
      <c r="F387" s="12" t="str">
        <f>IFERROR(__xludf.DUMMYFUNCTION("GOOGLETRANSLATE(B387,""zh_cn"",""vi"")"),"Đóng cửa")</f>
        <v>Đóng cửa</v>
      </c>
      <c r="G387" s="12"/>
      <c r="H387" s="6"/>
      <c r="I387" s="11" t="b">
        <f t="shared" si="2"/>
        <v>0</v>
      </c>
      <c r="J387" s="24"/>
      <c r="K387" s="11" t="b">
        <f t="shared" si="3"/>
        <v>0</v>
      </c>
    </row>
    <row r="388" ht="22.5" customHeight="1">
      <c r="A388" s="12">
        <f t="shared" si="4"/>
        <v>3986</v>
      </c>
      <c r="B388" s="6" t="s">
        <v>12057</v>
      </c>
      <c r="C388" s="7" t="str">
        <f t="shared" si="5"/>
        <v>🔊</v>
      </c>
      <c r="D388" s="8" t="s">
        <v>12058</v>
      </c>
      <c r="E388" s="6" t="s">
        <v>27</v>
      </c>
      <c r="F388" s="12" t="str">
        <f>IFERROR(__xludf.DUMMYFUNCTION("GOOGLETRANSLATE(B388,""zh_cn"",""vi"")"),"Phong cảnh")</f>
        <v>Phong cảnh</v>
      </c>
      <c r="G388" s="12"/>
      <c r="H388" s="6"/>
      <c r="I388" s="11" t="b">
        <f t="shared" si="2"/>
        <v>0</v>
      </c>
      <c r="J388" s="24"/>
      <c r="K388" s="11" t="b">
        <f t="shared" si="3"/>
        <v>0</v>
      </c>
    </row>
    <row r="389" ht="22.5" customHeight="1">
      <c r="A389" s="12">
        <f t="shared" si="4"/>
        <v>3987</v>
      </c>
      <c r="B389" s="6" t="s">
        <v>12059</v>
      </c>
      <c r="C389" s="7" t="str">
        <f t="shared" si="5"/>
        <v>🔊</v>
      </c>
      <c r="D389" s="8" t="s">
        <v>12060</v>
      </c>
      <c r="E389" s="6" t="s">
        <v>27</v>
      </c>
      <c r="F389" s="12" t="str">
        <f>IFERROR(__xludf.DUMMYFUNCTION("GOOGLETRANSLATE(B389,""zh_cn"",""vi"")"),"gió")</f>
        <v>gió</v>
      </c>
      <c r="G389" s="12"/>
      <c r="H389" s="6"/>
      <c r="I389" s="11" t="b">
        <f t="shared" si="2"/>
        <v>0</v>
      </c>
      <c r="J389" s="24"/>
      <c r="K389" s="11" t="b">
        <f t="shared" si="3"/>
        <v>0</v>
      </c>
    </row>
    <row r="390" ht="22.5" customHeight="1">
      <c r="A390" s="12">
        <f t="shared" si="4"/>
        <v>3988</v>
      </c>
      <c r="B390" s="6" t="s">
        <v>12061</v>
      </c>
      <c r="C390" s="7" t="str">
        <f t="shared" si="5"/>
        <v>🔊</v>
      </c>
      <c r="D390" s="8" t="s">
        <v>12062</v>
      </c>
      <c r="E390" s="6" t="s">
        <v>13</v>
      </c>
      <c r="F390" s="12" t="str">
        <f>IFERROR(__xludf.DUMMYFUNCTION("GOOGLETRANSLATE(B390,""zh_cn"",""vi"")"),"Phân công lao động")</f>
        <v>Phân công lao động</v>
      </c>
      <c r="G390" s="12"/>
      <c r="H390" s="6"/>
      <c r="I390" s="11" t="b">
        <f t="shared" si="2"/>
        <v>0</v>
      </c>
      <c r="J390" s="24"/>
      <c r="K390" s="11" t="b">
        <f t="shared" si="3"/>
        <v>0</v>
      </c>
    </row>
    <row r="391" ht="22.5" customHeight="1">
      <c r="A391" s="12">
        <f t="shared" si="4"/>
        <v>3989</v>
      </c>
      <c r="B391" s="6" t="s">
        <v>12063</v>
      </c>
      <c r="C391" s="7" t="str">
        <f t="shared" si="5"/>
        <v>🔊</v>
      </c>
      <c r="D391" s="8" t="s">
        <v>12064</v>
      </c>
      <c r="E391" s="6" t="s">
        <v>13</v>
      </c>
      <c r="F391" s="12" t="str">
        <f>IFERROR(__xludf.DUMMYFUNCTION("GOOGLETRANSLATE(B391,""zh_cn"",""vi"")"),"Mùa gặt")</f>
        <v>Mùa gặt</v>
      </c>
      <c r="G391" s="12"/>
      <c r="H391" s="6"/>
      <c r="I391" s="11" t="b">
        <f t="shared" si="2"/>
        <v>0</v>
      </c>
      <c r="J391" s="24"/>
      <c r="K391" s="11" t="b">
        <f t="shared" si="3"/>
        <v>0</v>
      </c>
    </row>
    <row r="392" ht="22.5" customHeight="1">
      <c r="A392" s="12">
        <f t="shared" si="4"/>
        <v>3990</v>
      </c>
      <c r="B392" s="6" t="s">
        <v>12065</v>
      </c>
      <c r="C392" s="7" t="str">
        <f t="shared" si="5"/>
        <v>🔊</v>
      </c>
      <c r="D392" s="8" t="s">
        <v>12066</v>
      </c>
      <c r="E392" s="6" t="s">
        <v>13</v>
      </c>
      <c r="F392" s="12" t="str">
        <f>IFERROR(__xludf.DUMMYFUNCTION("GOOGLETRANSLATE(B392,""zh_cn"",""vi"")"),"Sự cống hiến")</f>
        <v>Sự cống hiến</v>
      </c>
      <c r="G392" s="12"/>
      <c r="H392" s="6"/>
      <c r="I392" s="11" t="b">
        <f t="shared" si="2"/>
        <v>0</v>
      </c>
      <c r="J392" s="24"/>
      <c r="K392" s="11" t="b">
        <f t="shared" si="3"/>
        <v>0</v>
      </c>
    </row>
    <row r="393" ht="22.5" customHeight="1">
      <c r="A393" s="12">
        <f t="shared" si="4"/>
        <v>3991</v>
      </c>
      <c r="B393" s="6" t="s">
        <v>12067</v>
      </c>
      <c r="C393" s="7" t="str">
        <f t="shared" si="5"/>
        <v>🔊</v>
      </c>
      <c r="D393" s="8" t="s">
        <v>12068</v>
      </c>
      <c r="E393" s="6" t="s">
        <v>27</v>
      </c>
      <c r="F393" s="12" t="str">
        <f>IFERROR(__xludf.DUMMYFUNCTION("GOOGLETRANSLATE(B393,""zh_cn"",""vi"")"),"gió và mưa")</f>
        <v>gió và mưa</v>
      </c>
      <c r="G393" s="12"/>
      <c r="H393" s="6"/>
      <c r="I393" s="11" t="b">
        <f t="shared" si="2"/>
        <v>0</v>
      </c>
      <c r="J393" s="24"/>
      <c r="K393" s="11" t="b">
        <f t="shared" si="3"/>
        <v>0</v>
      </c>
    </row>
    <row r="394" ht="22.5" customHeight="1">
      <c r="A394" s="12">
        <f t="shared" si="4"/>
        <v>3992</v>
      </c>
      <c r="B394" s="6" t="s">
        <v>12069</v>
      </c>
      <c r="C394" s="7" t="str">
        <f t="shared" si="5"/>
        <v>🔊</v>
      </c>
      <c r="D394" s="8" t="s">
        <v>12070</v>
      </c>
      <c r="E394" s="6" t="s">
        <v>13</v>
      </c>
      <c r="F394" s="12" t="str">
        <f>IFERROR(__xludf.DUMMYFUNCTION("GOOGLETRANSLATE(B394,""zh_cn"",""vi"")"),"Phân loại")</f>
        <v>Phân loại</v>
      </c>
      <c r="G394" s="12"/>
      <c r="H394" s="6"/>
      <c r="I394" s="11" t="b">
        <f t="shared" si="2"/>
        <v>0</v>
      </c>
      <c r="J394" s="24"/>
      <c r="K394" s="11" t="b">
        <f t="shared" si="3"/>
        <v>0</v>
      </c>
    </row>
    <row r="395" ht="22.5" customHeight="1">
      <c r="A395" s="12">
        <f t="shared" si="4"/>
        <v>3993</v>
      </c>
      <c r="B395" s="6" t="s">
        <v>12071</v>
      </c>
      <c r="C395" s="7" t="str">
        <f t="shared" si="5"/>
        <v>🔊</v>
      </c>
      <c r="D395" s="8" t="s">
        <v>12072</v>
      </c>
      <c r="E395" s="6" t="s">
        <v>99</v>
      </c>
      <c r="F395" s="12" t="str">
        <f>IFERROR(__xludf.DUMMYFUNCTION("GOOGLETRANSLATE(B395,""zh_cn"",""vi"")"),"sự tức giận")</f>
        <v>sự tức giận</v>
      </c>
      <c r="G395" s="12"/>
      <c r="H395" s="6"/>
      <c r="I395" s="11" t="b">
        <f t="shared" si="2"/>
        <v>0</v>
      </c>
      <c r="J395" s="24"/>
      <c r="K395" s="11" t="b">
        <f t="shared" si="3"/>
        <v>0</v>
      </c>
    </row>
    <row r="396" ht="22.5" customHeight="1">
      <c r="A396" s="12">
        <f t="shared" si="4"/>
        <v>3994</v>
      </c>
      <c r="B396" s="6" t="s">
        <v>12073</v>
      </c>
      <c r="C396" s="7" t="str">
        <f t="shared" si="5"/>
        <v>🔊</v>
      </c>
      <c r="D396" s="8" t="s">
        <v>12074</v>
      </c>
      <c r="E396" s="6" t="s">
        <v>13</v>
      </c>
      <c r="F396" s="12" t="str">
        <f>IFERROR(__xludf.DUMMYFUNCTION("GOOGLETRANSLATE(B396,""zh_cn"",""vi"")"),"Trả góp")</f>
        <v>Trả góp</v>
      </c>
      <c r="G396" s="12"/>
      <c r="H396" s="6"/>
      <c r="I396" s="11" t="b">
        <f t="shared" si="2"/>
        <v>0</v>
      </c>
      <c r="J396" s="24"/>
      <c r="K396" s="11" t="b">
        <f t="shared" si="3"/>
        <v>0</v>
      </c>
    </row>
    <row r="397" ht="22.5" customHeight="1">
      <c r="A397" s="12">
        <f t="shared" si="4"/>
        <v>3995</v>
      </c>
      <c r="B397" s="6" t="s">
        <v>12075</v>
      </c>
      <c r="C397" s="7" t="str">
        <f t="shared" si="5"/>
        <v>🔊</v>
      </c>
      <c r="D397" s="8" t="s">
        <v>12076</v>
      </c>
      <c r="E397" s="6" t="s">
        <v>416</v>
      </c>
      <c r="F397" s="12" t="str">
        <f>IFERROR(__xludf.DUMMYFUNCTION("GOOGLETRANSLATE(B397,""zh_cn"",""vi"")"),"sự phân tán")</f>
        <v>sự phân tán</v>
      </c>
      <c r="G397" s="12"/>
      <c r="H397" s="6"/>
      <c r="I397" s="11" t="b">
        <f t="shared" si="2"/>
        <v>0</v>
      </c>
      <c r="J397" s="24"/>
      <c r="K397" s="11" t="b">
        <f t="shared" si="3"/>
        <v>0</v>
      </c>
    </row>
    <row r="398" ht="22.5" customHeight="1">
      <c r="A398" s="12">
        <f t="shared" si="4"/>
        <v>3996</v>
      </c>
      <c r="B398" s="6" t="s">
        <v>12077</v>
      </c>
      <c r="C398" s="7" t="str">
        <f t="shared" si="5"/>
        <v>🔊</v>
      </c>
      <c r="D398" s="8" t="s">
        <v>3999</v>
      </c>
      <c r="E398" s="6" t="s">
        <v>27</v>
      </c>
      <c r="F398" s="12" t="str">
        <f>IFERROR(__xludf.DUMMYFUNCTION("GOOGLETRANSLATE(B398,""zh_cn"",""vi"")"),"Bầu không khí")</f>
        <v>Bầu không khí</v>
      </c>
      <c r="G398" s="12"/>
      <c r="H398" s="6"/>
      <c r="I398" s="11" t="b">
        <f t="shared" si="2"/>
        <v>0</v>
      </c>
      <c r="J398" s="24"/>
      <c r="K398" s="11" t="b">
        <f t="shared" si="3"/>
        <v>0</v>
      </c>
    </row>
    <row r="399" ht="22.5" customHeight="1">
      <c r="A399" s="12">
        <f t="shared" si="4"/>
        <v>3997</v>
      </c>
      <c r="B399" s="6" t="s">
        <v>12078</v>
      </c>
      <c r="C399" s="7" t="str">
        <f t="shared" si="5"/>
        <v>🔊</v>
      </c>
      <c r="D399" s="8" t="s">
        <v>4005</v>
      </c>
      <c r="E399" s="6" t="s">
        <v>13</v>
      </c>
      <c r="F399" s="12" t="str">
        <f>IFERROR(__xludf.DUMMYFUNCTION("GOOGLETRANSLATE(B399,""zh_cn"",""vi"")"),"Quần áo")</f>
        <v>Quần áo</v>
      </c>
      <c r="G399" s="12"/>
      <c r="H399" s="6"/>
      <c r="I399" s="11" t="b">
        <f t="shared" si="2"/>
        <v>0</v>
      </c>
      <c r="J399" s="24"/>
      <c r="K399" s="11" t="b">
        <f t="shared" si="3"/>
        <v>0</v>
      </c>
    </row>
    <row r="400" ht="22.5" customHeight="1">
      <c r="A400" s="12">
        <f t="shared" si="4"/>
        <v>3998</v>
      </c>
      <c r="B400" s="6" t="s">
        <v>12079</v>
      </c>
      <c r="C400" s="7" t="str">
        <f t="shared" si="5"/>
        <v>🔊</v>
      </c>
      <c r="D400" s="8" t="s">
        <v>4005</v>
      </c>
      <c r="E400" s="6" t="s">
        <v>13</v>
      </c>
      <c r="F400" s="12" t="str">
        <f>IFERROR(__xludf.DUMMYFUNCTION("GOOGLETRANSLATE(B400,""zh_cn"",""vi"")"),"trôi nổi")</f>
        <v>trôi nổi</v>
      </c>
      <c r="G400" s="12"/>
      <c r="H400" s="6"/>
      <c r="I400" s="11" t="b">
        <f t="shared" si="2"/>
        <v>0</v>
      </c>
      <c r="J400" s="24"/>
      <c r="K400" s="11" t="b">
        <f t="shared" si="3"/>
        <v>0</v>
      </c>
    </row>
    <row r="401" ht="22.5" customHeight="1">
      <c r="A401" s="12">
        <f t="shared" si="4"/>
        <v>3999</v>
      </c>
      <c r="B401" s="6" t="s">
        <v>12080</v>
      </c>
      <c r="C401" s="7" t="str">
        <f t="shared" si="5"/>
        <v>🔊</v>
      </c>
      <c r="D401" s="8" t="s">
        <v>4008</v>
      </c>
      <c r="E401" s="6" t="s">
        <v>99</v>
      </c>
      <c r="F401" s="12" t="str">
        <f>IFERROR(__xludf.DUMMYFUNCTION("GOOGLETRANSLATE(B401,""zh_cn"",""vi"")"),"Tiểu-2")</f>
        <v>Tiểu-2</v>
      </c>
      <c r="G401" s="12"/>
      <c r="H401" s="6"/>
      <c r="I401" s="11" t="b">
        <f t="shared" si="2"/>
        <v>0</v>
      </c>
      <c r="J401" s="24"/>
      <c r="K401" s="11" t="b">
        <f t="shared" si="3"/>
        <v>0</v>
      </c>
    </row>
    <row r="402" ht="22.5" customHeight="1">
      <c r="A402" s="12">
        <f t="shared" si="4"/>
        <v>4000</v>
      </c>
      <c r="B402" s="6" t="s">
        <v>12081</v>
      </c>
      <c r="C402" s="7" t="str">
        <f t="shared" si="5"/>
        <v>🔊</v>
      </c>
      <c r="D402" s="8" t="s">
        <v>12082</v>
      </c>
      <c r="E402" s="6" t="s">
        <v>13</v>
      </c>
      <c r="F402" s="12" t="str">
        <f>IFERROR(__xludf.DUMMYFUNCTION("GOOGLETRANSLATE(B402,""zh_cn"",""vi"")"),"tuân theo")</f>
        <v>tuân theo</v>
      </c>
      <c r="G402" s="12"/>
      <c r="H402" s="6"/>
      <c r="I402" s="11" t="b">
        <f t="shared" si="2"/>
        <v>0</v>
      </c>
      <c r="J402" s="24"/>
      <c r="K402" s="11" t="b">
        <f t="shared" si="3"/>
        <v>0</v>
      </c>
    </row>
    <row r="403" ht="22.5" customHeight="1">
      <c r="A403" s="12">
        <f t="shared" si="4"/>
        <v>4001</v>
      </c>
      <c r="B403" s="6" t="s">
        <v>12083</v>
      </c>
      <c r="C403" s="7" t="str">
        <f t="shared" si="5"/>
        <v>🔊</v>
      </c>
      <c r="D403" s="8" t="s">
        <v>12084</v>
      </c>
      <c r="E403" s="6" t="s">
        <v>13</v>
      </c>
      <c r="F403" s="12" t="str">
        <f>IFERROR(__xludf.DUMMYFUNCTION("GOOGLETRANSLATE(B403,""zh_cn"",""vi"")"),"Dạy kèm")</f>
        <v>Dạy kèm</v>
      </c>
      <c r="G403" s="12"/>
      <c r="H403" s="6"/>
      <c r="I403" s="11" t="b">
        <f t="shared" si="2"/>
        <v>0</v>
      </c>
      <c r="J403" s="24"/>
      <c r="K403" s="11" t="b">
        <f t="shared" si="3"/>
        <v>0</v>
      </c>
    </row>
    <row r="404" ht="22.5" customHeight="1">
      <c r="A404" s="12">
        <f t="shared" si="4"/>
        <v>4002</v>
      </c>
      <c r="B404" s="6" t="s">
        <v>12085</v>
      </c>
      <c r="C404" s="7" t="str">
        <f t="shared" si="5"/>
        <v>🔊</v>
      </c>
      <c r="D404" s="8" t="s">
        <v>12086</v>
      </c>
      <c r="E404" s="6" t="s">
        <v>27</v>
      </c>
      <c r="F404" s="12" t="str">
        <f>IFERROR(__xludf.DUMMYFUNCTION("GOOGLETRANSLATE(B404,""zh_cn"",""vi"")"),"biên độ")</f>
        <v>biên độ</v>
      </c>
      <c r="G404" s="12"/>
      <c r="H404" s="6"/>
      <c r="I404" s="11" t="b">
        <f t="shared" si="2"/>
        <v>0</v>
      </c>
      <c r="J404" s="24"/>
      <c r="K404" s="11" t="b">
        <f t="shared" si="3"/>
        <v>0</v>
      </c>
    </row>
    <row r="405" ht="22.5" customHeight="1">
      <c r="A405" s="12">
        <f t="shared" si="4"/>
        <v>4003</v>
      </c>
      <c r="B405" s="6" t="s">
        <v>12087</v>
      </c>
      <c r="C405" s="7" t="str">
        <f t="shared" si="5"/>
        <v>🔊</v>
      </c>
      <c r="D405" s="8" t="s">
        <v>12088</v>
      </c>
      <c r="E405" s="6" t="s">
        <v>13</v>
      </c>
      <c r="F405" s="12" t="str">
        <f>IFERROR(__xludf.DUMMYFUNCTION("GOOGLETRANSLATE(B405,""zh_cn"",""vi"")"),"che phủ")</f>
        <v>che phủ</v>
      </c>
      <c r="G405" s="12"/>
      <c r="H405" s="6"/>
      <c r="I405" s="11" t="b">
        <f t="shared" si="2"/>
        <v>0</v>
      </c>
      <c r="J405" s="24"/>
      <c r="K405" s="11" t="b">
        <f t="shared" si="3"/>
        <v>0</v>
      </c>
    </row>
    <row r="406" ht="22.5" customHeight="1">
      <c r="A406" s="12">
        <f t="shared" si="4"/>
        <v>4004</v>
      </c>
      <c r="B406" s="6" t="s">
        <v>12089</v>
      </c>
      <c r="C406" s="7" t="str">
        <f t="shared" si="5"/>
        <v>🔊</v>
      </c>
      <c r="D406" s="8" t="s">
        <v>12090</v>
      </c>
      <c r="E406" s="6" t="s">
        <v>27</v>
      </c>
      <c r="F406" s="12" t="str">
        <f>IFERROR(__xludf.DUMMYFUNCTION("GOOGLETRANSLATE(B406,""zh_cn"",""vi"")"),"biểu tượng")</f>
        <v>biểu tượng</v>
      </c>
      <c r="G406" s="12"/>
      <c r="H406" s="6"/>
      <c r="I406" s="11" t="b">
        <f t="shared" si="2"/>
        <v>0</v>
      </c>
      <c r="J406" s="24"/>
      <c r="K406" s="11" t="b">
        <f t="shared" si="3"/>
        <v>0</v>
      </c>
    </row>
    <row r="407" ht="22.5" customHeight="1">
      <c r="A407" s="12">
        <f t="shared" si="4"/>
        <v>4005</v>
      </c>
      <c r="B407" s="6" t="s">
        <v>12091</v>
      </c>
      <c r="C407" s="7" t="str">
        <f t="shared" si="5"/>
        <v>🔊</v>
      </c>
      <c r="D407" s="8" t="s">
        <v>12092</v>
      </c>
      <c r="E407" s="6" t="s">
        <v>27</v>
      </c>
      <c r="F407" s="12" t="str">
        <f>IFERROR(__xludf.DUMMYFUNCTION("GOOGLETRANSLATE(B407,""zh_cn"",""vi"")"),"phụ lục")</f>
        <v>phụ lục</v>
      </c>
      <c r="G407" s="12"/>
      <c r="H407" s="6"/>
      <c r="I407" s="11" t="b">
        <f t="shared" si="2"/>
        <v>0</v>
      </c>
      <c r="J407" s="24"/>
      <c r="K407" s="11" t="b">
        <f t="shared" si="3"/>
        <v>0</v>
      </c>
    </row>
    <row r="408" ht="22.5" customHeight="1">
      <c r="A408" s="12">
        <f t="shared" si="4"/>
        <v>4006</v>
      </c>
      <c r="B408" s="6" t="s">
        <v>12093</v>
      </c>
      <c r="C408" s="7" t="str">
        <f t="shared" si="5"/>
        <v>🔊</v>
      </c>
      <c r="D408" s="8" t="s">
        <v>12094</v>
      </c>
      <c r="E408" s="6" t="s">
        <v>57</v>
      </c>
      <c r="F408" s="12" t="str">
        <f>IFERROR(__xludf.DUMMYFUNCTION("GOOGLETRANSLATE(B408,""zh_cn"",""vi"")"),"Phúc lợi")</f>
        <v>Phúc lợi</v>
      </c>
      <c r="G408" s="12"/>
      <c r="H408" s="6"/>
      <c r="I408" s="11" t="b">
        <f t="shared" si="2"/>
        <v>0</v>
      </c>
      <c r="J408" s="24"/>
      <c r="K408" s="11" t="b">
        <f t="shared" si="3"/>
        <v>0</v>
      </c>
    </row>
    <row r="409" ht="22.5" customHeight="1">
      <c r="A409" s="12">
        <f t="shared" si="4"/>
        <v>4007</v>
      </c>
      <c r="B409" s="6" t="s">
        <v>12095</v>
      </c>
      <c r="C409" s="7" t="str">
        <f t="shared" si="5"/>
        <v>🔊</v>
      </c>
      <c r="D409" s="8" t="s">
        <v>12096</v>
      </c>
      <c r="E409" s="6" t="s">
        <v>99</v>
      </c>
      <c r="F409" s="12" t="str">
        <f>IFERROR(__xludf.DUMMYFUNCTION("GOOGLETRANSLATE(B409,""zh_cn"",""vi"")"),"tiêu cực")</f>
        <v>tiêu cực</v>
      </c>
      <c r="G409" s="12"/>
      <c r="H409" s="6"/>
      <c r="I409" s="11" t="b">
        <f t="shared" si="2"/>
        <v>0</v>
      </c>
      <c r="J409" s="24"/>
      <c r="K409" s="11" t="b">
        <f t="shared" si="3"/>
        <v>0</v>
      </c>
    </row>
    <row r="410" ht="22.5" customHeight="1">
      <c r="A410" s="12">
        <f t="shared" si="4"/>
        <v>4008</v>
      </c>
      <c r="B410" s="6" t="s">
        <v>12097</v>
      </c>
      <c r="C410" s="7" t="str">
        <f t="shared" si="5"/>
        <v>🔊</v>
      </c>
      <c r="D410" s="8" t="s">
        <v>12098</v>
      </c>
      <c r="E410" s="6" t="s">
        <v>27</v>
      </c>
      <c r="F410" s="12" t="str">
        <f>IFERROR(__xludf.DUMMYFUNCTION("GOOGLETRANSLATE(B410,""zh_cn"",""vi"")"),"quý bà")</f>
        <v>quý bà</v>
      </c>
      <c r="G410" s="12"/>
      <c r="H410" s="6"/>
      <c r="I410" s="11" t="b">
        <f t="shared" si="2"/>
        <v>0</v>
      </c>
      <c r="J410" s="24"/>
      <c r="K410" s="11" t="b">
        <f t="shared" si="3"/>
        <v>0</v>
      </c>
    </row>
    <row r="411" ht="22.5" customHeight="1">
      <c r="A411" s="12">
        <f t="shared" si="4"/>
        <v>4009</v>
      </c>
      <c r="B411" s="6" t="s">
        <v>12099</v>
      </c>
      <c r="C411" s="7" t="str">
        <f t="shared" si="5"/>
        <v>🔊</v>
      </c>
      <c r="D411" s="8" t="s">
        <v>12100</v>
      </c>
      <c r="E411" s="6" t="s">
        <v>13</v>
      </c>
      <c r="F411" s="12" t="str">
        <f>IFERROR(__xludf.DUMMYFUNCTION("GOOGLETRANSLATE(B411,""zh_cn"",""vi"")"),"Lấy")</f>
        <v>Lấy</v>
      </c>
      <c r="G411" s="12"/>
      <c r="H411" s="6"/>
      <c r="I411" s="11" t="b">
        <f t="shared" si="2"/>
        <v>0</v>
      </c>
      <c r="J411" s="24"/>
      <c r="K411" s="11" t="b">
        <f t="shared" si="3"/>
        <v>0</v>
      </c>
    </row>
    <row r="412" ht="22.5" customHeight="1">
      <c r="A412" s="12">
        <f t="shared" si="4"/>
        <v>4010</v>
      </c>
      <c r="B412" s="6" t="s">
        <v>12101</v>
      </c>
      <c r="C412" s="7" t="str">
        <f t="shared" si="5"/>
        <v>🔊</v>
      </c>
      <c r="D412" s="8" t="s">
        <v>12102</v>
      </c>
      <c r="E412" s="6" t="s">
        <v>416</v>
      </c>
      <c r="F412" s="12" t="str">
        <f>IFERROR(__xludf.DUMMYFUNCTION("GOOGLETRANSLATE(B412,""zh_cn"",""vi"")"),"giàu có")</f>
        <v>giàu có</v>
      </c>
      <c r="G412" s="12"/>
      <c r="H412" s="6"/>
      <c r="I412" s="11" t="b">
        <f t="shared" si="2"/>
        <v>0</v>
      </c>
      <c r="J412" s="24"/>
      <c r="K412" s="11" t="b">
        <f t="shared" si="3"/>
        <v>0</v>
      </c>
    </row>
    <row r="413" ht="22.5" customHeight="1">
      <c r="A413" s="12">
        <f t="shared" si="4"/>
        <v>4011</v>
      </c>
      <c r="B413" s="6" t="s">
        <v>12103</v>
      </c>
      <c r="C413" s="7" t="str">
        <f t="shared" si="5"/>
        <v>🔊</v>
      </c>
      <c r="D413" s="8" t="s">
        <v>12104</v>
      </c>
      <c r="E413" s="6" t="s">
        <v>13</v>
      </c>
      <c r="F413" s="12" t="str">
        <f>IFERROR(__xludf.DUMMYFUNCTION("GOOGLETRANSLATE(B413,""zh_cn"",""vi"")"),"Đưa cho")</f>
        <v>Đưa cho</v>
      </c>
      <c r="G413" s="12"/>
      <c r="H413" s="6"/>
      <c r="I413" s="11" t="b">
        <f t="shared" si="2"/>
        <v>0</v>
      </c>
      <c r="J413" s="24"/>
      <c r="K413" s="11" t="b">
        <f t="shared" si="3"/>
        <v>0</v>
      </c>
    </row>
    <row r="414" ht="22.5" customHeight="1">
      <c r="A414" s="12">
        <f t="shared" si="4"/>
        <v>4012</v>
      </c>
      <c r="B414" s="6" t="s">
        <v>12105</v>
      </c>
      <c r="C414" s="7" t="str">
        <f t="shared" si="5"/>
        <v>🔊</v>
      </c>
      <c r="D414" s="8" t="s">
        <v>12106</v>
      </c>
      <c r="E414" s="6" t="s">
        <v>368</v>
      </c>
      <c r="F414" s="12" t="str">
        <f>IFERROR(__xludf.DUMMYFUNCTION("GOOGLETRANSLATE(B414,""zh_cn"",""vi"")"),"Ủng hộ")</f>
        <v>Ủng hộ</v>
      </c>
      <c r="G414" s="12"/>
      <c r="H414" s="6"/>
      <c r="I414" s="11" t="b">
        <f t="shared" si="2"/>
        <v>0</v>
      </c>
      <c r="J414" s="24"/>
      <c r="K414" s="11" t="b">
        <f t="shared" si="3"/>
        <v>0</v>
      </c>
    </row>
    <row r="415" ht="22.5" customHeight="1">
      <c r="A415" s="12">
        <f t="shared" si="4"/>
        <v>4013</v>
      </c>
      <c r="B415" s="6" t="s">
        <v>12107</v>
      </c>
      <c r="C415" s="7" t="str">
        <f t="shared" si="5"/>
        <v>🔊</v>
      </c>
      <c r="D415" s="8" t="s">
        <v>2150</v>
      </c>
      <c r="E415" s="6" t="s">
        <v>106</v>
      </c>
      <c r="F415" s="12" t="str">
        <f>IFERROR(__xludf.DUMMYFUNCTION("GOOGLETRANSLATE(B415,""zh_cn"",""vi"")"),"Cái 2")</f>
        <v>Cái 2</v>
      </c>
      <c r="G415" s="12"/>
      <c r="H415" s="6"/>
      <c r="I415" s="11" t="b">
        <f t="shared" si="2"/>
        <v>0</v>
      </c>
      <c r="J415" s="24"/>
      <c r="K415" s="11" t="b">
        <f t="shared" si="3"/>
        <v>0</v>
      </c>
    </row>
    <row r="416" ht="22.5" customHeight="1">
      <c r="A416" s="12">
        <f t="shared" si="4"/>
        <v>4014</v>
      </c>
      <c r="B416" s="6" t="s">
        <v>12108</v>
      </c>
      <c r="C416" s="7" t="str">
        <f t="shared" si="5"/>
        <v>🔊</v>
      </c>
      <c r="D416" s="8" t="s">
        <v>12109</v>
      </c>
      <c r="E416" s="6" t="s">
        <v>13</v>
      </c>
      <c r="F416" s="12" t="str">
        <f>IFERROR(__xludf.DUMMYFUNCTION("GOOGLETRANSLATE(B416,""zh_cn"",""vi"")"),"sự thích nghi")</f>
        <v>sự thích nghi</v>
      </c>
      <c r="G416" s="12"/>
      <c r="H416" s="6"/>
      <c r="I416" s="11" t="b">
        <f t="shared" si="2"/>
        <v>0</v>
      </c>
      <c r="J416" s="24"/>
      <c r="K416" s="11" t="b">
        <f t="shared" si="3"/>
        <v>0</v>
      </c>
    </row>
    <row r="417" ht="22.5" customHeight="1">
      <c r="A417" s="12">
        <f t="shared" si="4"/>
        <v>4015</v>
      </c>
      <c r="B417" s="6" t="s">
        <v>12110</v>
      </c>
      <c r="C417" s="7" t="str">
        <f t="shared" si="5"/>
        <v>🔊</v>
      </c>
      <c r="D417" s="8" t="s">
        <v>12111</v>
      </c>
      <c r="E417" s="6" t="s">
        <v>27</v>
      </c>
      <c r="F417" s="12" t="str">
        <f>IFERROR(__xludf.DUMMYFUNCTION("GOOGLETRANSLATE(B417,""zh_cn"",""vi"")"),"xác suất")</f>
        <v>xác suất</v>
      </c>
      <c r="G417" s="12"/>
      <c r="H417" s="6"/>
      <c r="I417" s="11" t="b">
        <f t="shared" si="2"/>
        <v>0</v>
      </c>
      <c r="J417" s="24"/>
      <c r="K417" s="11" t="b">
        <f t="shared" si="3"/>
        <v>0</v>
      </c>
    </row>
    <row r="418" ht="22.5" customHeight="1">
      <c r="A418" s="12">
        <f t="shared" si="4"/>
        <v>4016</v>
      </c>
      <c r="B418" s="6" t="s">
        <v>12112</v>
      </c>
      <c r="C418" s="7" t="str">
        <f t="shared" si="5"/>
        <v>🔊</v>
      </c>
      <c r="D418" s="8" t="s">
        <v>12113</v>
      </c>
      <c r="E418" s="6" t="s">
        <v>13</v>
      </c>
      <c r="F418" s="12" t="str">
        <f>IFERROR(__xludf.DUMMYFUNCTION("GOOGLETRANSLATE(B418,""zh_cn"",""vi"")"),"Sự biến đổi")</f>
        <v>Sự biến đổi</v>
      </c>
      <c r="G418" s="12"/>
      <c r="H418" s="6"/>
      <c r="I418" s="11" t="b">
        <f t="shared" si="2"/>
        <v>0</v>
      </c>
      <c r="J418" s="24"/>
      <c r="K418" s="11" t="b">
        <f t="shared" si="3"/>
        <v>0</v>
      </c>
    </row>
    <row r="419" ht="22.5" customHeight="1">
      <c r="A419" s="12">
        <f t="shared" si="4"/>
        <v>4017</v>
      </c>
      <c r="B419" s="6" t="s">
        <v>12114</v>
      </c>
      <c r="C419" s="7" t="str">
        <f t="shared" si="5"/>
        <v>🔊</v>
      </c>
      <c r="D419" s="8" t="s">
        <v>4053</v>
      </c>
      <c r="E419" s="6" t="s">
        <v>27</v>
      </c>
      <c r="F419" s="12" t="str">
        <f>IFERROR(__xludf.DUMMYFUNCTION("GOOGLETRANSLATE(B419,""zh_cn"",""vi"")"),"gan")</f>
        <v>gan</v>
      </c>
      <c r="G419" s="12"/>
      <c r="H419" s="6"/>
      <c r="I419" s="11" t="b">
        <f t="shared" si="2"/>
        <v>0</v>
      </c>
      <c r="J419" s="24"/>
      <c r="K419" s="11" t="b">
        <f t="shared" si="3"/>
        <v>0</v>
      </c>
    </row>
    <row r="420" ht="22.5" customHeight="1">
      <c r="A420" s="12">
        <f t="shared" si="4"/>
        <v>4018</v>
      </c>
      <c r="B420" s="6" t="s">
        <v>12115</v>
      </c>
      <c r="C420" s="7" t="str">
        <f t="shared" si="5"/>
        <v>🔊</v>
      </c>
      <c r="D420" s="8" t="s">
        <v>12116</v>
      </c>
      <c r="E420" s="6" t="s">
        <v>1308</v>
      </c>
      <c r="F420" s="12" t="str">
        <f>IFERROR(__xludf.DUMMYFUNCTION("GOOGLETRANSLATE(B420,""zh_cn"",""vi"")"),"đơn giản")</f>
        <v>đơn giản</v>
      </c>
      <c r="G420" s="12"/>
      <c r="H420" s="6"/>
      <c r="I420" s="11" t="b">
        <f t="shared" si="2"/>
        <v>0</v>
      </c>
      <c r="J420" s="24"/>
      <c r="K420" s="11" t="b">
        <f t="shared" si="3"/>
        <v>0</v>
      </c>
    </row>
    <row r="421" ht="22.5" customHeight="1">
      <c r="A421" s="12">
        <f t="shared" si="4"/>
        <v>4019</v>
      </c>
      <c r="B421" s="6" t="s">
        <v>12117</v>
      </c>
      <c r="C421" s="7" t="str">
        <f t="shared" si="5"/>
        <v>🔊</v>
      </c>
      <c r="D421" s="8" t="s">
        <v>12118</v>
      </c>
      <c r="E421" s="6" t="s">
        <v>99</v>
      </c>
      <c r="F421" s="12" t="str">
        <f>IFERROR(__xludf.DUMMYFUNCTION("GOOGLETRANSLATE(B421,""zh_cn"",""vi"")"),"Vụng về")</f>
        <v>Vụng về</v>
      </c>
      <c r="G421" s="12"/>
      <c r="H421" s="6"/>
      <c r="I421" s="11" t="b">
        <f t="shared" si="2"/>
        <v>0</v>
      </c>
      <c r="J421" s="24"/>
      <c r="K421" s="11" t="b">
        <f t="shared" si="3"/>
        <v>0</v>
      </c>
    </row>
    <row r="422" ht="22.5" customHeight="1">
      <c r="A422" s="12">
        <f t="shared" si="4"/>
        <v>4020</v>
      </c>
      <c r="B422" s="6" t="s">
        <v>12119</v>
      </c>
      <c r="C422" s="7" t="str">
        <f t="shared" si="5"/>
        <v>🔊</v>
      </c>
      <c r="D422" s="8" t="s">
        <v>12120</v>
      </c>
      <c r="E422" s="6" t="s">
        <v>27</v>
      </c>
      <c r="F422" s="12" t="str">
        <f>IFERROR(__xludf.DUMMYFUNCTION("GOOGLETRANSLATE(B422,""zh_cn"",""vi"")"),"cái bút")</f>
        <v>cái bút</v>
      </c>
      <c r="G422" s="12"/>
      <c r="H422" s="6"/>
      <c r="I422" s="11" t="b">
        <f t="shared" si="2"/>
        <v>0</v>
      </c>
      <c r="J422" s="24"/>
      <c r="K422" s="11" t="b">
        <f t="shared" si="3"/>
        <v>0</v>
      </c>
    </row>
    <row r="423" ht="22.5" customHeight="1">
      <c r="A423" s="12">
        <f t="shared" si="4"/>
        <v>4021</v>
      </c>
      <c r="B423" s="6" t="s">
        <v>12121</v>
      </c>
      <c r="C423" s="7" t="str">
        <f t="shared" si="5"/>
        <v>🔊</v>
      </c>
      <c r="D423" s="8" t="s">
        <v>12122</v>
      </c>
      <c r="E423" s="6" t="s">
        <v>27</v>
      </c>
      <c r="F423" s="12" t="str">
        <f>IFERROR(__xludf.DUMMYFUNCTION("GOOGLETRANSLATE(B423,""zh_cn"",""vi"")"),"cảng")</f>
        <v>cảng</v>
      </c>
      <c r="G423" s="12"/>
      <c r="H423" s="6"/>
      <c r="I423" s="11" t="b">
        <f t="shared" si="2"/>
        <v>0</v>
      </c>
      <c r="J423" s="24"/>
      <c r="K423" s="11" t="b">
        <f t="shared" si="3"/>
        <v>0</v>
      </c>
    </row>
    <row r="424" ht="22.5" customHeight="1">
      <c r="A424" s="12">
        <f t="shared" si="4"/>
        <v>4022</v>
      </c>
      <c r="B424" s="6" t="s">
        <v>12123</v>
      </c>
      <c r="C424" s="7" t="str">
        <f t="shared" si="5"/>
        <v>🔊</v>
      </c>
      <c r="D424" s="8" t="s">
        <v>12124</v>
      </c>
      <c r="E424" s="6" t="s">
        <v>27</v>
      </c>
      <c r="F424" s="12" t="str">
        <f>IFERROR(__xludf.DUMMYFUNCTION("GOOGLETRANSLATE(B424,""zh_cn"",""vi"")"),"bưu kiện")</f>
        <v>bưu kiện</v>
      </c>
      <c r="G424" s="12"/>
      <c r="H424" s="6"/>
      <c r="I424" s="11" t="b">
        <f t="shared" si="2"/>
        <v>0</v>
      </c>
      <c r="J424" s="24"/>
      <c r="K424" s="11" t="b">
        <f t="shared" si="3"/>
        <v>0</v>
      </c>
    </row>
    <row r="425" ht="22.5" customHeight="1">
      <c r="A425" s="12">
        <f t="shared" si="4"/>
        <v>4023</v>
      </c>
      <c r="B425" s="6" t="s">
        <v>12125</v>
      </c>
      <c r="C425" s="7" t="str">
        <f t="shared" si="5"/>
        <v>🔊</v>
      </c>
      <c r="D425" s="8" t="s">
        <v>12126</v>
      </c>
      <c r="E425" s="6" t="s">
        <v>99</v>
      </c>
      <c r="F425" s="12" t="str">
        <f>IFERROR(__xludf.DUMMYFUNCTION("GOOGLETRANSLATE(B425,""zh_cn"",""vi"")"),"hạn hán")</f>
        <v>hạn hán</v>
      </c>
      <c r="G425" s="12"/>
      <c r="H425" s="6"/>
      <c r="I425" s="11" t="b">
        <f t="shared" si="2"/>
        <v>0</v>
      </c>
      <c r="J425" s="24"/>
      <c r="K425" s="11" t="b">
        <f t="shared" si="3"/>
        <v>0</v>
      </c>
    </row>
    <row r="426" ht="22.5" customHeight="1">
      <c r="A426" s="12">
        <f t="shared" si="4"/>
        <v>4024</v>
      </c>
      <c r="B426" s="6" t="s">
        <v>12127</v>
      </c>
      <c r="C426" s="7" t="str">
        <f t="shared" si="5"/>
        <v>🔊</v>
      </c>
      <c r="D426" s="8" t="s">
        <v>12128</v>
      </c>
      <c r="E426" s="6" t="s">
        <v>13</v>
      </c>
      <c r="F426" s="12" t="str">
        <f>IFERROR(__xludf.DUMMYFUNCTION("GOOGLETRANSLATE(B426,""zh_cn"",""vi"")"),"lòng biết ơn")</f>
        <v>lòng biết ơn</v>
      </c>
      <c r="G426" s="12"/>
      <c r="H426" s="6"/>
      <c r="I426" s="11" t="b">
        <f t="shared" si="2"/>
        <v>0</v>
      </c>
      <c r="J426" s="24"/>
      <c r="K426" s="11" t="b">
        <f t="shared" si="3"/>
        <v>0</v>
      </c>
    </row>
    <row r="427" ht="22.5" customHeight="1">
      <c r="A427" s="12">
        <f t="shared" si="4"/>
        <v>4025</v>
      </c>
      <c r="B427" s="6" t="s">
        <v>12129</v>
      </c>
      <c r="C427" s="7" t="str">
        <f t="shared" si="5"/>
        <v>🔊</v>
      </c>
      <c r="D427" s="8" t="s">
        <v>12130</v>
      </c>
      <c r="E427" s="6" t="s">
        <v>61</v>
      </c>
      <c r="F427" s="12" t="str">
        <f>IFERROR(__xludf.DUMMYFUNCTION("GOOGLETRANSLATE(B427,""zh_cn"",""vi"")"),"nhanh")</f>
        <v>nhanh</v>
      </c>
      <c r="G427" s="12"/>
      <c r="H427" s="6"/>
      <c r="I427" s="11" t="b">
        <f t="shared" si="2"/>
        <v>0</v>
      </c>
      <c r="J427" s="24"/>
      <c r="K427" s="11" t="b">
        <f t="shared" si="3"/>
        <v>0</v>
      </c>
    </row>
    <row r="428" ht="22.5" customHeight="1">
      <c r="A428" s="12">
        <f t="shared" si="4"/>
        <v>4026</v>
      </c>
      <c r="B428" s="6" t="s">
        <v>12131</v>
      </c>
      <c r="C428" s="7" t="str">
        <f t="shared" si="5"/>
        <v>🔊</v>
      </c>
      <c r="D428" s="8" t="s">
        <v>12132</v>
      </c>
      <c r="E428" s="6" t="s">
        <v>13</v>
      </c>
      <c r="F428" s="12" t="str">
        <f>IFERROR(__xludf.DUMMYFUNCTION("GOOGLETRANSLATE(B428,""zh_cn"",""vi"")"),"Nhiễm trùng")</f>
        <v>Nhiễm trùng</v>
      </c>
      <c r="G428" s="12"/>
      <c r="H428" s="6"/>
      <c r="I428" s="11" t="b">
        <f t="shared" si="2"/>
        <v>0</v>
      </c>
      <c r="J428" s="24"/>
      <c r="K428" s="11" t="b">
        <f t="shared" si="3"/>
        <v>0</v>
      </c>
    </row>
    <row r="429" ht="22.5" customHeight="1">
      <c r="A429" s="12">
        <f t="shared" si="4"/>
        <v>4027</v>
      </c>
      <c r="B429" s="6" t="s">
        <v>12133</v>
      </c>
      <c r="C429" s="7" t="str">
        <f t="shared" si="5"/>
        <v>🔊</v>
      </c>
      <c r="D429" s="8" t="s">
        <v>12134</v>
      </c>
      <c r="E429" s="6" t="s">
        <v>13</v>
      </c>
      <c r="F429" s="12" t="str">
        <f>IFERROR(__xludf.DUMMYFUNCTION("GOOGLETRANSLATE(B429,""zh_cn"",""vi"")"),"sự can thiệp")</f>
        <v>sự can thiệp</v>
      </c>
      <c r="G429" s="12"/>
      <c r="H429" s="6"/>
      <c r="I429" s="11" t="b">
        <f t="shared" si="2"/>
        <v>0</v>
      </c>
      <c r="J429" s="24"/>
      <c r="K429" s="11" t="b">
        <f t="shared" si="3"/>
        <v>0</v>
      </c>
    </row>
    <row r="430" ht="22.5" customHeight="1">
      <c r="A430" s="12">
        <f t="shared" si="4"/>
        <v>4028</v>
      </c>
      <c r="B430" s="6" t="s">
        <v>12135</v>
      </c>
      <c r="C430" s="7" t="str">
        <f t="shared" si="5"/>
        <v>🔊</v>
      </c>
      <c r="D430" s="8" t="s">
        <v>12136</v>
      </c>
      <c r="E430" s="6" t="s">
        <v>27</v>
      </c>
      <c r="F430" s="12" t="str">
        <f>IFERROR(__xludf.DUMMYFUNCTION("GOOGLETRANSLATE(B430,""zh_cn"",""vi"")"),"Suy nghĩ")</f>
        <v>Suy nghĩ</v>
      </c>
      <c r="G430" s="12"/>
      <c r="H430" s="6"/>
      <c r="I430" s="11" t="b">
        <f t="shared" si="2"/>
        <v>0</v>
      </c>
      <c r="J430" s="24"/>
      <c r="K430" s="11" t="b">
        <f t="shared" si="3"/>
        <v>0</v>
      </c>
    </row>
    <row r="431" ht="22.5" customHeight="1">
      <c r="A431" s="12">
        <f t="shared" si="4"/>
        <v>4029</v>
      </c>
      <c r="B431" s="6" t="s">
        <v>12137</v>
      </c>
      <c r="C431" s="7" t="str">
        <f t="shared" si="5"/>
        <v>🔊</v>
      </c>
      <c r="D431" s="8" t="s">
        <v>12138</v>
      </c>
      <c r="E431" s="6" t="s">
        <v>99</v>
      </c>
      <c r="F431" s="12" t="str">
        <f>IFERROR(__xludf.DUMMYFUNCTION("GOOGLETRANSLATE(B431,""zh_cn"",""vi"")"),"khô")</f>
        <v>khô</v>
      </c>
      <c r="G431" s="12"/>
      <c r="H431" s="6"/>
      <c r="I431" s="11" t="b">
        <f t="shared" si="2"/>
        <v>0</v>
      </c>
      <c r="J431" s="24"/>
      <c r="K431" s="11" t="b">
        <f t="shared" si="3"/>
        <v>0</v>
      </c>
    </row>
    <row r="432" ht="22.5" customHeight="1">
      <c r="A432" s="12">
        <f t="shared" si="4"/>
        <v>4030</v>
      </c>
      <c r="B432" s="6" t="s">
        <v>12139</v>
      </c>
      <c r="C432" s="7" t="str">
        <f t="shared" si="5"/>
        <v>🔊</v>
      </c>
      <c r="D432" s="8" t="s">
        <v>12140</v>
      </c>
      <c r="E432" s="6" t="s">
        <v>3430</v>
      </c>
      <c r="F432" s="12" t="str">
        <f>IFERROR(__xludf.DUMMYFUNCTION("GOOGLETRANSLATE(B432,""zh_cn"",""vi"")"),"Cấp độ cao")</f>
        <v>Cấp độ cao</v>
      </c>
      <c r="G432" s="12"/>
      <c r="H432" s="6"/>
      <c r="I432" s="11" t="b">
        <f t="shared" si="2"/>
        <v>0</v>
      </c>
      <c r="J432" s="24"/>
      <c r="K432" s="11" t="b">
        <f t="shared" si="3"/>
        <v>0</v>
      </c>
    </row>
    <row r="433" ht="22.5" customHeight="1">
      <c r="A433" s="12">
        <f t="shared" si="4"/>
        <v>4031</v>
      </c>
      <c r="B433" s="6" t="s">
        <v>12141</v>
      </c>
      <c r="C433" s="7" t="str">
        <f t="shared" si="5"/>
        <v>🔊</v>
      </c>
      <c r="D433" s="8" t="s">
        <v>12142</v>
      </c>
      <c r="E433" s="6" t="s">
        <v>99</v>
      </c>
      <c r="F433" s="12" t="str">
        <f>IFERROR(__xludf.DUMMYFUNCTION("GOOGLETRANSLATE(B433,""zh_cn"",""vi"")"),"tuyệt vời")</f>
        <v>tuyệt vời</v>
      </c>
      <c r="G433" s="12"/>
      <c r="H433" s="6"/>
      <c r="I433" s="11" t="b">
        <f t="shared" si="2"/>
        <v>0</v>
      </c>
      <c r="J433" s="24"/>
      <c r="K433" s="11" t="b">
        <f t="shared" si="3"/>
        <v>0</v>
      </c>
    </row>
    <row r="434" ht="22.5" customHeight="1">
      <c r="A434" s="12">
        <f t="shared" si="4"/>
        <v>4032</v>
      </c>
      <c r="B434" s="6" t="s">
        <v>12143</v>
      </c>
      <c r="C434" s="7" t="str">
        <f t="shared" si="5"/>
        <v>🔊</v>
      </c>
      <c r="D434" s="8" t="s">
        <v>12144</v>
      </c>
      <c r="E434" s="6" t="s">
        <v>99</v>
      </c>
      <c r="F434" s="12" t="str">
        <f>IFERROR(__xludf.DUMMYFUNCTION("GOOGLETRANSLATE(B434,""zh_cn"",""vi"")"),"cao hơn")</f>
        <v>cao hơn</v>
      </c>
      <c r="G434" s="12"/>
      <c r="H434" s="6"/>
      <c r="I434" s="11" t="b">
        <f t="shared" si="2"/>
        <v>0</v>
      </c>
      <c r="J434" s="24"/>
      <c r="K434" s="11" t="b">
        <f t="shared" si="3"/>
        <v>0</v>
      </c>
    </row>
    <row r="435" ht="22.5" customHeight="1">
      <c r="A435" s="12">
        <f t="shared" si="4"/>
        <v>4033</v>
      </c>
      <c r="B435" s="6" t="s">
        <v>12145</v>
      </c>
      <c r="C435" s="7" t="str">
        <f t="shared" si="5"/>
        <v>🔊</v>
      </c>
      <c r="D435" s="8" t="s">
        <v>12146</v>
      </c>
      <c r="E435" s="6" t="s">
        <v>1164</v>
      </c>
      <c r="F435" s="12" t="str">
        <f>IFERROR(__xludf.DUMMYFUNCTION("GOOGLETRANSLATE(B435,""zh_cn"",""vi"")"),"cao cấp")</f>
        <v>cao cấp</v>
      </c>
      <c r="G435" s="12"/>
      <c r="H435" s="6"/>
      <c r="I435" s="11" t="b">
        <f t="shared" si="2"/>
        <v>0</v>
      </c>
      <c r="J435" s="24"/>
      <c r="K435" s="11" t="b">
        <f t="shared" si="3"/>
        <v>0</v>
      </c>
    </row>
    <row r="436" ht="22.5" customHeight="1">
      <c r="A436" s="12">
        <f t="shared" si="4"/>
        <v>4034</v>
      </c>
      <c r="B436" s="6" t="s">
        <v>12147</v>
      </c>
      <c r="C436" s="7" t="str">
        <f t="shared" si="5"/>
        <v>🔊</v>
      </c>
      <c r="D436" s="8" t="s">
        <v>12148</v>
      </c>
      <c r="E436" s="6" t="s">
        <v>27</v>
      </c>
      <c r="F436" s="12" t="str">
        <f>IFERROR(__xludf.DUMMYFUNCTION("GOOGLETRANSLATE(B436,""zh_cn"",""vi"")"),"đỉnh cao")</f>
        <v>đỉnh cao</v>
      </c>
      <c r="G436" s="12"/>
      <c r="H436" s="6"/>
      <c r="I436" s="11" t="b">
        <f t="shared" si="2"/>
        <v>0</v>
      </c>
      <c r="J436" s="24"/>
      <c r="K436" s="11" t="b">
        <f t="shared" si="3"/>
        <v>0</v>
      </c>
    </row>
    <row r="437" ht="22.5" customHeight="1">
      <c r="A437" s="12">
        <f t="shared" si="4"/>
        <v>4035</v>
      </c>
      <c r="B437" s="6" t="s">
        <v>12149</v>
      </c>
      <c r="C437" s="7" t="str">
        <f t="shared" si="5"/>
        <v>🔊</v>
      </c>
      <c r="D437" s="8" t="s">
        <v>12150</v>
      </c>
      <c r="E437" s="6" t="s">
        <v>27</v>
      </c>
      <c r="F437" s="12" t="str">
        <f>IFERROR(__xludf.DUMMYFUNCTION("GOOGLETRANSLATE(B437,""zh_cn"",""vi"")"),"Bản thảo")</f>
        <v>Bản thảo</v>
      </c>
      <c r="G437" s="12"/>
      <c r="H437" s="6"/>
      <c r="I437" s="11" t="b">
        <f t="shared" si="2"/>
        <v>0</v>
      </c>
      <c r="J437" s="24"/>
      <c r="K437" s="11" t="b">
        <f t="shared" si="3"/>
        <v>0</v>
      </c>
    </row>
    <row r="438" ht="22.5" customHeight="1">
      <c r="A438" s="12">
        <f t="shared" si="4"/>
        <v>4036</v>
      </c>
      <c r="B438" s="6" t="s">
        <v>12151</v>
      </c>
      <c r="C438" s="7" t="str">
        <f t="shared" si="5"/>
        <v>🔊</v>
      </c>
      <c r="D438" s="8" t="s">
        <v>12152</v>
      </c>
      <c r="E438" s="6" t="s">
        <v>99</v>
      </c>
      <c r="F438" s="12" t="str">
        <f>IFERROR(__xludf.DUMMYFUNCTION("GOOGLETRANSLATE(B438,""zh_cn"",""vi"")"),"quý tộc")</f>
        <v>quý tộc</v>
      </c>
      <c r="G438" s="12"/>
      <c r="H438" s="6"/>
      <c r="I438" s="11" t="b">
        <f t="shared" si="2"/>
        <v>0</v>
      </c>
      <c r="J438" s="24"/>
      <c r="K438" s="11" t="b">
        <f t="shared" si="3"/>
        <v>0</v>
      </c>
    </row>
    <row r="439" ht="22.5" customHeight="1">
      <c r="A439" s="12">
        <f t="shared" si="4"/>
        <v>4037</v>
      </c>
      <c r="B439" s="6" t="s">
        <v>12153</v>
      </c>
      <c r="C439" s="7" t="str">
        <f t="shared" si="5"/>
        <v>🔊</v>
      </c>
      <c r="D439" s="8" t="s">
        <v>12154</v>
      </c>
      <c r="E439" s="6" t="s">
        <v>27</v>
      </c>
      <c r="F439" s="12" t="str">
        <f>IFERROR(__xludf.DUMMYFUNCTION("GOOGLETRANSLATE(B439,""zh_cn"",""vi"")"),"Bậc thầy")</f>
        <v>Bậc thầy</v>
      </c>
      <c r="G439" s="12"/>
      <c r="H439" s="6"/>
      <c r="I439" s="11" t="b">
        <f t="shared" si="2"/>
        <v>0</v>
      </c>
      <c r="J439" s="24"/>
      <c r="K439" s="11" t="b">
        <f t="shared" si="3"/>
        <v>0</v>
      </c>
    </row>
    <row r="440" ht="22.5" customHeight="1">
      <c r="A440" s="12">
        <f t="shared" si="4"/>
        <v>4038</v>
      </c>
      <c r="B440" s="6" t="s">
        <v>12155</v>
      </c>
      <c r="C440" s="7" t="str">
        <f t="shared" si="5"/>
        <v>🔊</v>
      </c>
      <c r="D440" s="8" t="s">
        <v>12156</v>
      </c>
      <c r="E440" s="14"/>
      <c r="F440" s="12" t="str">
        <f>IFERROR(__xludf.DUMMYFUNCTION("GOOGLETRANSLATE(B440,""zh_cn"",""vi"")"),"Công nghệ cao")</f>
        <v>Công nghệ cao</v>
      </c>
      <c r="G440" s="12"/>
      <c r="H440" s="6"/>
      <c r="I440" s="11" t="b">
        <f t="shared" si="2"/>
        <v>0</v>
      </c>
      <c r="J440" s="24"/>
      <c r="K440" s="11" t="b">
        <f t="shared" si="3"/>
        <v>0</v>
      </c>
    </row>
    <row r="441" ht="22.5" customHeight="1">
      <c r="A441" s="12">
        <f t="shared" si="4"/>
        <v>4039</v>
      </c>
      <c r="B441" s="6" t="s">
        <v>12157</v>
      </c>
      <c r="C441" s="7" t="str">
        <f t="shared" si="5"/>
        <v>🔊</v>
      </c>
      <c r="D441" s="8" t="s">
        <v>12158</v>
      </c>
      <c r="E441" s="6" t="s">
        <v>27</v>
      </c>
      <c r="F441" s="12" t="str">
        <f>IFERROR(__xludf.DUMMYFUNCTION("GOOGLETRANSLATE(B441,""zh_cn"",""vi"")"),"cao nguyên")</f>
        <v>cao nguyên</v>
      </c>
      <c r="G441" s="12"/>
      <c r="H441" s="6"/>
      <c r="I441" s="11" t="b">
        <f t="shared" si="2"/>
        <v>0</v>
      </c>
      <c r="J441" s="24"/>
      <c r="K441" s="11" t="b">
        <f t="shared" si="3"/>
        <v>0</v>
      </c>
    </row>
    <row r="442" ht="22.5" customHeight="1">
      <c r="A442" s="12">
        <f t="shared" si="4"/>
        <v>4040</v>
      </c>
      <c r="B442" s="6" t="s">
        <v>12159</v>
      </c>
      <c r="C442" s="7" t="str">
        <f t="shared" si="5"/>
        <v>🔊</v>
      </c>
      <c r="D442" s="8" t="s">
        <v>12160</v>
      </c>
      <c r="E442" s="6" t="s">
        <v>27</v>
      </c>
      <c r="F442" s="12" t="str">
        <f>IFERROR(__xludf.DUMMYFUNCTION("GOOGLETRANSLATE(B442,""zh_cn"",""vi"")"),"Bản thảo")</f>
        <v>Bản thảo</v>
      </c>
      <c r="G442" s="12"/>
      <c r="H442" s="6"/>
      <c r="I442" s="11" t="b">
        <f t="shared" si="2"/>
        <v>0</v>
      </c>
      <c r="J442" s="24"/>
      <c r="K442" s="11" t="b">
        <f t="shared" si="3"/>
        <v>0</v>
      </c>
    </row>
    <row r="443" ht="22.5" customHeight="1">
      <c r="A443" s="12">
        <f t="shared" si="4"/>
        <v>4041</v>
      </c>
      <c r="B443" s="6" t="s">
        <v>12161</v>
      </c>
      <c r="C443" s="7" t="str">
        <f t="shared" si="5"/>
        <v>🔊</v>
      </c>
      <c r="D443" s="8" t="s">
        <v>218</v>
      </c>
      <c r="E443" s="6" t="s">
        <v>13</v>
      </c>
      <c r="F443" s="12" t="str">
        <f>IFERROR(__xludf.DUMMYFUNCTION("GOOGLETRANSLATE(B443,""zh_cn"",""vi"")"),"cắt")</f>
        <v>cắt</v>
      </c>
      <c r="G443" s="12"/>
      <c r="H443" s="6"/>
      <c r="I443" s="11" t="b">
        <f t="shared" si="2"/>
        <v>0</v>
      </c>
      <c r="J443" s="24"/>
      <c r="K443" s="11" t="b">
        <f t="shared" si="3"/>
        <v>0</v>
      </c>
    </row>
    <row r="444" ht="22.5" customHeight="1">
      <c r="A444" s="12">
        <f t="shared" si="4"/>
        <v>4042</v>
      </c>
      <c r="B444" s="6" t="s">
        <v>12162</v>
      </c>
      <c r="C444" s="7" t="str">
        <f t="shared" si="5"/>
        <v>🔊</v>
      </c>
      <c r="D444" s="8" t="s">
        <v>12163</v>
      </c>
      <c r="E444" s="6" t="s">
        <v>27</v>
      </c>
      <c r="F444" s="12" t="str">
        <f>IFERROR(__xludf.DUMMYFUNCTION("GOOGLETRANSLATE(B444,""zh_cn"",""vi"")"),"nhà bên cạnh")</f>
        <v>nhà bên cạnh</v>
      </c>
      <c r="G444" s="12"/>
      <c r="H444" s="6"/>
      <c r="I444" s="11" t="b">
        <f t="shared" si="2"/>
        <v>0</v>
      </c>
      <c r="J444" s="24"/>
      <c r="K444" s="11" t="b">
        <f t="shared" si="3"/>
        <v>0</v>
      </c>
    </row>
    <row r="445" ht="22.5" customHeight="1">
      <c r="A445" s="12">
        <f t="shared" si="4"/>
        <v>4043</v>
      </c>
      <c r="B445" s="6" t="s">
        <v>12164</v>
      </c>
      <c r="C445" s="7" t="str">
        <f t="shared" si="5"/>
        <v>🔊</v>
      </c>
      <c r="D445" s="8" t="s">
        <v>12165</v>
      </c>
      <c r="E445" s="6" t="s">
        <v>13</v>
      </c>
      <c r="F445" s="12" t="str">
        <f>IFERROR(__xludf.DUMMYFUNCTION("GOOGLETRANSLATE(B445,""zh_cn"",""vi"")"),"hát")</f>
        <v>hát</v>
      </c>
      <c r="G445" s="12"/>
      <c r="H445" s="6"/>
      <c r="I445" s="11" t="b">
        <f t="shared" si="2"/>
        <v>0</v>
      </c>
      <c r="J445" s="24"/>
      <c r="K445" s="11" t="b">
        <f t="shared" si="3"/>
        <v>0</v>
      </c>
    </row>
    <row r="446" ht="22.5" customHeight="1">
      <c r="A446" s="12">
        <f t="shared" si="4"/>
        <v>4044</v>
      </c>
      <c r="B446" s="6" t="s">
        <v>12166</v>
      </c>
      <c r="C446" s="7" t="str">
        <f t="shared" si="5"/>
        <v>🔊</v>
      </c>
      <c r="D446" s="8" t="s">
        <v>12167</v>
      </c>
      <c r="E446" s="6" t="s">
        <v>368</v>
      </c>
      <c r="F446" s="12" t="str">
        <f>IFERROR(__xludf.DUMMYFUNCTION("GOOGLETRANSLATE(B446,""zh_cn"",""vi"")"),"cuộc cách mạng")</f>
        <v>cuộc cách mạng</v>
      </c>
      <c r="G446" s="12"/>
      <c r="H446" s="6"/>
      <c r="I446" s="11" t="b">
        <f t="shared" si="2"/>
        <v>0</v>
      </c>
      <c r="J446" s="24"/>
      <c r="K446" s="11" t="b">
        <f t="shared" si="3"/>
        <v>0</v>
      </c>
    </row>
    <row r="447" ht="22.5" customHeight="1">
      <c r="A447" s="12">
        <f t="shared" si="4"/>
        <v>4045</v>
      </c>
      <c r="B447" s="6" t="s">
        <v>12168</v>
      </c>
      <c r="C447" s="7" t="str">
        <f t="shared" si="5"/>
        <v>🔊</v>
      </c>
      <c r="D447" s="8" t="s">
        <v>12169</v>
      </c>
      <c r="E447" s="6" t="s">
        <v>27</v>
      </c>
      <c r="F447" s="12" t="str">
        <f>IFERROR(__xludf.DUMMYFUNCTION("GOOGLETRANSLATE(B447,""zh_cn"",""vi"")"),"trước mặt")</f>
        <v>trước mặt</v>
      </c>
      <c r="G447" s="12"/>
      <c r="H447" s="6"/>
      <c r="I447" s="11" t="b">
        <f t="shared" si="2"/>
        <v>0</v>
      </c>
      <c r="J447" s="24"/>
      <c r="K447" s="11" t="b">
        <f t="shared" si="3"/>
        <v>0</v>
      </c>
    </row>
    <row r="448" ht="22.5" customHeight="1">
      <c r="A448" s="12">
        <f t="shared" si="4"/>
        <v>4046</v>
      </c>
      <c r="B448" s="6" t="s">
        <v>12170</v>
      </c>
      <c r="C448" s="7" t="str">
        <f t="shared" si="5"/>
        <v>🔊</v>
      </c>
      <c r="D448" s="8" t="s">
        <v>12171</v>
      </c>
      <c r="E448" s="6" t="s">
        <v>13</v>
      </c>
      <c r="F448" s="12" t="str">
        <f>IFERROR(__xludf.DUMMYFUNCTION("GOOGLETRANSLATE(B448,""zh_cn"",""vi"")"),"theo")</f>
        <v>theo</v>
      </c>
      <c r="G448" s="12"/>
      <c r="H448" s="6"/>
      <c r="I448" s="11" t="b">
        <f t="shared" si="2"/>
        <v>0</v>
      </c>
      <c r="J448" s="24"/>
      <c r="K448" s="11" t="b">
        <f t="shared" si="3"/>
        <v>0</v>
      </c>
    </row>
    <row r="449" ht="22.5" customHeight="1">
      <c r="A449" s="12">
        <f t="shared" si="4"/>
        <v>4047</v>
      </c>
      <c r="B449" s="6" t="s">
        <v>12172</v>
      </c>
      <c r="C449" s="7" t="str">
        <f t="shared" si="5"/>
        <v>🔊</v>
      </c>
      <c r="D449" s="8" t="s">
        <v>12173</v>
      </c>
      <c r="E449" s="6" t="s">
        <v>13</v>
      </c>
      <c r="F449" s="12" t="str">
        <f>IFERROR(__xludf.DUMMYFUNCTION("GOOGLETRANSLATE(B449,""zh_cn"",""vi"")"),"theo dõi")</f>
        <v>theo dõi</v>
      </c>
      <c r="G449" s="12"/>
      <c r="H449" s="6"/>
      <c r="I449" s="11" t="b">
        <f t="shared" si="2"/>
        <v>0</v>
      </c>
      <c r="J449" s="24"/>
      <c r="K449" s="11" t="b">
        <f t="shared" si="3"/>
        <v>0</v>
      </c>
    </row>
    <row r="450" ht="22.5" customHeight="1">
      <c r="A450" s="12">
        <f t="shared" si="4"/>
        <v>4048</v>
      </c>
      <c r="B450" s="6" t="s">
        <v>12174</v>
      </c>
      <c r="C450" s="7" t="str">
        <f t="shared" si="5"/>
        <v>🔊</v>
      </c>
      <c r="D450" s="8" t="s">
        <v>12175</v>
      </c>
      <c r="E450" s="6" t="s">
        <v>27</v>
      </c>
      <c r="F450" s="12" t="str">
        <f>IFERROR(__xludf.DUMMYFUNCTION("GOOGLETRANSLATE(B450,""zh_cn"",""vi"")"),"cá nhân")</f>
        <v>cá nhân</v>
      </c>
      <c r="G450" s="12"/>
      <c r="H450" s="6"/>
      <c r="I450" s="11" t="b">
        <f t="shared" si="2"/>
        <v>0</v>
      </c>
      <c r="J450" s="24"/>
      <c r="K450" s="11" t="b">
        <f t="shared" si="3"/>
        <v>0</v>
      </c>
    </row>
    <row r="451" ht="22.5" customHeight="1">
      <c r="A451" s="12">
        <f t="shared" si="4"/>
        <v>4049</v>
      </c>
      <c r="B451" s="6" t="s">
        <v>12176</v>
      </c>
      <c r="C451" s="7" t="str">
        <f t="shared" si="5"/>
        <v>🔊</v>
      </c>
      <c r="D451" s="8" t="s">
        <v>12177</v>
      </c>
      <c r="E451" s="6" t="s">
        <v>99</v>
      </c>
      <c r="F451" s="12" t="str">
        <f>IFERROR(__xludf.DUMMYFUNCTION("GOOGLETRANSLATE(B451,""zh_cn"",""vi"")"),"nam giới")</f>
        <v>nam giới</v>
      </c>
      <c r="G451" s="12"/>
      <c r="H451" s="6"/>
      <c r="I451" s="11" t="b">
        <f t="shared" si="2"/>
        <v>0</v>
      </c>
      <c r="J451" s="24"/>
      <c r="K451" s="11" t="b">
        <f t="shared" si="3"/>
        <v>0</v>
      </c>
    </row>
    <row r="452" ht="22.5" customHeight="1">
      <c r="A452" s="12">
        <f t="shared" si="4"/>
        <v>4050</v>
      </c>
      <c r="B452" s="6" t="s">
        <v>12178</v>
      </c>
      <c r="C452" s="7" t="str">
        <f t="shared" si="5"/>
        <v>🔊</v>
      </c>
      <c r="D452" s="8" t="s">
        <v>12177</v>
      </c>
      <c r="E452" s="6" t="s">
        <v>27</v>
      </c>
      <c r="F452" s="12" t="str">
        <f>IFERROR(__xludf.DUMMYFUNCTION("GOOGLETRANSLATE(B452,""zh_cn"",""vi"")"),"cung điện")</f>
        <v>cung điện</v>
      </c>
      <c r="G452" s="12"/>
      <c r="H452" s="6"/>
      <c r="I452" s="11" t="b">
        <f t="shared" si="2"/>
        <v>0</v>
      </c>
      <c r="J452" s="24"/>
      <c r="K452" s="11" t="b">
        <f t="shared" si="3"/>
        <v>0</v>
      </c>
    </row>
    <row r="453" ht="22.5" customHeight="1">
      <c r="A453" s="12">
        <f t="shared" si="4"/>
        <v>4051</v>
      </c>
      <c r="B453" s="6" t="s">
        <v>12179</v>
      </c>
      <c r="C453" s="7" t="str">
        <f t="shared" si="5"/>
        <v>🔊</v>
      </c>
      <c r="D453" s="8" t="s">
        <v>12180</v>
      </c>
      <c r="E453" s="6" t="s">
        <v>27</v>
      </c>
      <c r="F453" s="12" t="str">
        <f>IFERROR(__xludf.DUMMYFUNCTION("GOOGLETRANSLATE(B453,""zh_cn"",""vi"")"),"an ninh công cộng")</f>
        <v>an ninh công cộng</v>
      </c>
      <c r="G453" s="12"/>
      <c r="H453" s="6"/>
      <c r="I453" s="11" t="b">
        <f t="shared" si="2"/>
        <v>0</v>
      </c>
      <c r="J453" s="24"/>
      <c r="K453" s="11" t="b">
        <f t="shared" si="3"/>
        <v>0</v>
      </c>
    </row>
    <row r="454" ht="22.5" customHeight="1">
      <c r="A454" s="12">
        <f t="shared" si="4"/>
        <v>4052</v>
      </c>
      <c r="B454" s="6" t="s">
        <v>12181</v>
      </c>
      <c r="C454" s="7" t="str">
        <f t="shared" si="5"/>
        <v>🔊</v>
      </c>
      <c r="D454" s="8" t="s">
        <v>12182</v>
      </c>
      <c r="E454" s="6" t="s">
        <v>27</v>
      </c>
      <c r="F454" s="12" t="str">
        <f>IFERROR(__xludf.DUMMYFUNCTION("GOOGLETRANSLATE(B454,""zh_cn"",""vi"")"),"công trường xây dựng")</f>
        <v>công trường xây dựng</v>
      </c>
      <c r="G454" s="12"/>
      <c r="H454" s="6"/>
      <c r="I454" s="11" t="b">
        <f t="shared" si="2"/>
        <v>0</v>
      </c>
      <c r="J454" s="24"/>
      <c r="K454" s="11" t="b">
        <f t="shared" si="3"/>
        <v>0</v>
      </c>
    </row>
    <row r="455" ht="22.5" customHeight="1">
      <c r="A455" s="12">
        <f t="shared" si="4"/>
        <v>4053</v>
      </c>
      <c r="B455" s="6" t="s">
        <v>12183</v>
      </c>
      <c r="C455" s="7" t="str">
        <f t="shared" si="5"/>
        <v>🔊</v>
      </c>
      <c r="D455" s="8" t="s">
        <v>4149</v>
      </c>
      <c r="E455" s="6" t="s">
        <v>27</v>
      </c>
      <c r="F455" s="12" t="str">
        <f>IFERROR(__xludf.DUMMYFUNCTION("GOOGLETRANSLATE(B455,""zh_cn"",""vi"")"),"thời gian")</f>
        <v>thời gian</v>
      </c>
      <c r="G455" s="12"/>
      <c r="H455" s="6"/>
      <c r="I455" s="11" t="b">
        <f t="shared" si="2"/>
        <v>0</v>
      </c>
      <c r="J455" s="24"/>
      <c r="K455" s="11" t="b">
        <f t="shared" si="3"/>
        <v>0</v>
      </c>
    </row>
    <row r="456" ht="22.5" customHeight="1">
      <c r="A456" s="12">
        <f t="shared" si="4"/>
        <v>4054</v>
      </c>
      <c r="B456" s="6" t="s">
        <v>12184</v>
      </c>
      <c r="C456" s="7" t="str">
        <f t="shared" si="5"/>
        <v>🔊</v>
      </c>
      <c r="D456" s="8" t="s">
        <v>12185</v>
      </c>
      <c r="E456" s="6" t="s">
        <v>232</v>
      </c>
      <c r="F456" s="12" t="str">
        <f>IFERROR(__xludf.DUMMYFUNCTION("GOOGLETRANSLATE(B456,""zh_cn"",""vi"")"),"thông báo")</f>
        <v>thông báo</v>
      </c>
      <c r="G456" s="12"/>
      <c r="H456" s="6"/>
      <c r="I456" s="11" t="b">
        <f t="shared" si="2"/>
        <v>0</v>
      </c>
      <c r="J456" s="24"/>
      <c r="K456" s="11" t="b">
        <f t="shared" si="3"/>
        <v>0</v>
      </c>
    </row>
    <row r="457" ht="22.5" customHeight="1">
      <c r="A457" s="12">
        <f t="shared" si="4"/>
        <v>4055</v>
      </c>
      <c r="B457" s="6" t="s">
        <v>12186</v>
      </c>
      <c r="C457" s="7" t="str">
        <f t="shared" si="5"/>
        <v>🔊</v>
      </c>
      <c r="D457" s="8" t="s">
        <v>12187</v>
      </c>
      <c r="E457" s="6" t="s">
        <v>416</v>
      </c>
      <c r="F457" s="12" t="str">
        <f>IFERROR(__xludf.DUMMYFUNCTION("GOOGLETRANSLATE(B457,""zh_cn"",""vi"")"),"Hợp nhất")</f>
        <v>Hợp nhất</v>
      </c>
      <c r="G457" s="12"/>
      <c r="H457" s="6"/>
      <c r="I457" s="11" t="b">
        <f t="shared" si="2"/>
        <v>0</v>
      </c>
      <c r="J457" s="24"/>
      <c r="K457" s="11" t="b">
        <f t="shared" si="3"/>
        <v>0</v>
      </c>
    </row>
    <row r="458" ht="22.5" customHeight="1">
      <c r="A458" s="12">
        <f t="shared" si="4"/>
        <v>4056</v>
      </c>
      <c r="B458" s="6" t="s">
        <v>12188</v>
      </c>
      <c r="C458" s="7" t="str">
        <f t="shared" si="5"/>
        <v>🔊</v>
      </c>
      <c r="D458" s="8" t="s">
        <v>12189</v>
      </c>
      <c r="E458" s="6" t="s">
        <v>13</v>
      </c>
      <c r="F458" s="12" t="str">
        <f>IFERROR(__xludf.DUMMYFUNCTION("GOOGLETRANSLATE(B458,""zh_cn"",""vi"")"),"tổng cộng")</f>
        <v>tổng cộng</v>
      </c>
      <c r="G458" s="12"/>
      <c r="H458" s="6"/>
      <c r="I458" s="11" t="b">
        <f t="shared" si="2"/>
        <v>0</v>
      </c>
      <c r="J458" s="24"/>
      <c r="K458" s="11" t="b">
        <f t="shared" si="3"/>
        <v>0</v>
      </c>
    </row>
    <row r="459" ht="22.5" customHeight="1">
      <c r="A459" s="12">
        <f t="shared" si="4"/>
        <v>4057</v>
      </c>
      <c r="B459" s="6" t="s">
        <v>12190</v>
      </c>
      <c r="C459" s="7" t="str">
        <f t="shared" si="5"/>
        <v>🔊</v>
      </c>
      <c r="D459" s="8" t="s">
        <v>12191</v>
      </c>
      <c r="E459" s="6" t="s">
        <v>13</v>
      </c>
      <c r="F459" s="12" t="str">
        <f>IFERROR(__xludf.DUMMYFUNCTION("GOOGLETRANSLATE(B459,""zh_cn"",""vi"")"),"cung cấp")</f>
        <v>cung cấp</v>
      </c>
      <c r="G459" s="12"/>
      <c r="H459" s="6"/>
      <c r="I459" s="11" t="b">
        <f t="shared" si="2"/>
        <v>0</v>
      </c>
      <c r="J459" s="24"/>
      <c r="K459" s="11" t="b">
        <f t="shared" si="3"/>
        <v>0</v>
      </c>
    </row>
    <row r="460" ht="22.5" customHeight="1">
      <c r="A460" s="12">
        <f t="shared" si="4"/>
        <v>4058</v>
      </c>
      <c r="B460" s="6" t="s">
        <v>12192</v>
      </c>
      <c r="C460" s="7" t="str">
        <f t="shared" si="5"/>
        <v>🔊</v>
      </c>
      <c r="D460" s="8" t="s">
        <v>12193</v>
      </c>
      <c r="E460" s="6" t="s">
        <v>13</v>
      </c>
      <c r="F460" s="12" t="str">
        <f>IFERROR(__xludf.DUMMYFUNCTION("GOOGLETRANSLATE(B460,""zh_cn"",""vi"")"),"tấn công")</f>
        <v>tấn công</v>
      </c>
      <c r="G460" s="12"/>
      <c r="H460" s="6"/>
      <c r="I460" s="11" t="b">
        <f t="shared" si="2"/>
        <v>0</v>
      </c>
      <c r="J460" s="24"/>
      <c r="K460" s="11" t="b">
        <f t="shared" si="3"/>
        <v>0</v>
      </c>
    </row>
    <row r="461" ht="22.5" customHeight="1">
      <c r="A461" s="12">
        <f t="shared" si="4"/>
        <v>4059</v>
      </c>
      <c r="B461" s="6" t="s">
        <v>12194</v>
      </c>
      <c r="C461" s="7" t="str">
        <f t="shared" si="5"/>
        <v>🔊</v>
      </c>
      <c r="D461" s="8" t="s">
        <v>12195</v>
      </c>
      <c r="E461" s="6" t="s">
        <v>416</v>
      </c>
      <c r="F461" s="12" t="str">
        <f>IFERROR(__xludf.DUMMYFUNCTION("GOOGLETRANSLATE(B461,""zh_cn"",""vi"")"),"công cộng")</f>
        <v>công cộng</v>
      </c>
      <c r="G461" s="12"/>
      <c r="H461" s="6"/>
      <c r="I461" s="11" t="b">
        <f t="shared" si="2"/>
        <v>0</v>
      </c>
      <c r="J461" s="24"/>
      <c r="K461" s="11" t="b">
        <f t="shared" si="3"/>
        <v>0</v>
      </c>
    </row>
    <row r="462" ht="22.5" customHeight="1">
      <c r="A462" s="12">
        <f t="shared" si="4"/>
        <v>4060</v>
      </c>
      <c r="B462" s="6" t="s">
        <v>12196</v>
      </c>
      <c r="C462" s="7" t="str">
        <f t="shared" si="5"/>
        <v>🔊</v>
      </c>
      <c r="D462" s="8" t="s">
        <v>12197</v>
      </c>
      <c r="E462" s="6" t="s">
        <v>27</v>
      </c>
      <c r="F462" s="12" t="str">
        <f>IFERROR(__xludf.DUMMYFUNCTION("GOOGLETRANSLATE(B462,""zh_cn"",""vi"")"),"công dân")</f>
        <v>công dân</v>
      </c>
      <c r="G462" s="12"/>
      <c r="H462" s="6"/>
      <c r="I462" s="11" t="b">
        <f t="shared" si="2"/>
        <v>0</v>
      </c>
      <c r="J462" s="24"/>
      <c r="K462" s="11" t="b">
        <f t="shared" si="3"/>
        <v>0</v>
      </c>
    </row>
    <row r="463" ht="22.5" customHeight="1">
      <c r="A463" s="12">
        <f t="shared" si="4"/>
        <v>4061</v>
      </c>
      <c r="B463" s="6" t="s">
        <v>12198</v>
      </c>
      <c r="C463" s="7" t="str">
        <f t="shared" si="5"/>
        <v>🔊</v>
      </c>
      <c r="D463" s="8" t="s">
        <v>12199</v>
      </c>
      <c r="E463" s="6" t="s">
        <v>13</v>
      </c>
      <c r="F463" s="12" t="str">
        <f>IFERROR(__xludf.DUMMYFUNCTION("GOOGLETRANSLATE(B463,""zh_cn"",""vi"")"),"được chấp nhận")</f>
        <v>được chấp nhận</v>
      </c>
      <c r="G463" s="12"/>
      <c r="H463" s="6"/>
      <c r="I463" s="11" t="b">
        <f t="shared" si="2"/>
        <v>0</v>
      </c>
      <c r="J463" s="24"/>
      <c r="K463" s="11" t="b">
        <f t="shared" si="3"/>
        <v>0</v>
      </c>
    </row>
    <row r="464" ht="22.5" customHeight="1">
      <c r="A464" s="12">
        <f t="shared" si="4"/>
        <v>4062</v>
      </c>
      <c r="B464" s="6" t="s">
        <v>12200</v>
      </c>
      <c r="C464" s="7" t="str">
        <f t="shared" si="5"/>
        <v>🔊</v>
      </c>
      <c r="D464" s="8" t="s">
        <v>12201</v>
      </c>
      <c r="E464" s="6" t="s">
        <v>27</v>
      </c>
      <c r="F464" s="12" t="str">
        <f>IFERROR(__xludf.DUMMYFUNCTION("GOOGLETRANSLATE(B464,""zh_cn"",""vi"")"),"tác dụng")</f>
        <v>tác dụng</v>
      </c>
      <c r="G464" s="12"/>
      <c r="H464" s="6"/>
      <c r="I464" s="11" t="b">
        <f t="shared" si="2"/>
        <v>0</v>
      </c>
      <c r="J464" s="24"/>
      <c r="K464" s="11" t="b">
        <f t="shared" si="3"/>
        <v>0</v>
      </c>
    </row>
    <row r="465" ht="22.5" customHeight="1">
      <c r="A465" s="12">
        <f t="shared" si="4"/>
        <v>4063</v>
      </c>
      <c r="B465" s="6" t="s">
        <v>12202</v>
      </c>
      <c r="C465" s="7" t="str">
        <f t="shared" si="5"/>
        <v>🔊</v>
      </c>
      <c r="D465" s="8" t="s">
        <v>12203</v>
      </c>
      <c r="E465" s="6" t="s">
        <v>27</v>
      </c>
      <c r="F465" s="12" t="str">
        <f>IFERROR(__xludf.DUMMYFUNCTION("GOOGLETRANSLATE(B465,""zh_cn"",""vi"")"),"Quá trình")</f>
        <v>Quá trình</v>
      </c>
      <c r="G465" s="12"/>
      <c r="H465" s="6"/>
      <c r="I465" s="11" t="b">
        <f t="shared" si="2"/>
        <v>0</v>
      </c>
      <c r="J465" s="24"/>
      <c r="K465" s="11" t="b">
        <f t="shared" si="3"/>
        <v>0</v>
      </c>
    </row>
    <row r="466" ht="22.5" customHeight="1">
      <c r="A466" s="12">
        <f t="shared" si="4"/>
        <v>4064</v>
      </c>
      <c r="B466" s="6" t="s">
        <v>12204</v>
      </c>
      <c r="C466" s="7" t="str">
        <f t="shared" si="5"/>
        <v>🔊</v>
      </c>
      <c r="D466" s="8" t="s">
        <v>7861</v>
      </c>
      <c r="E466" s="6" t="s">
        <v>27</v>
      </c>
      <c r="F466" s="12" t="str">
        <f>IFERROR(__xludf.DUMMYFUNCTION("GOOGLETRANSLATE(B466,""zh_cn"",""vi"")"),"Phúc lợi công cộng")</f>
        <v>Phúc lợi công cộng</v>
      </c>
      <c r="G466" s="12"/>
      <c r="H466" s="6"/>
      <c r="I466" s="11" t="b">
        <f t="shared" si="2"/>
        <v>0</v>
      </c>
      <c r="J466" s="24"/>
      <c r="K466" s="11" t="b">
        <f t="shared" si="3"/>
        <v>0</v>
      </c>
    </row>
    <row r="467" ht="22.5" customHeight="1">
      <c r="A467" s="12">
        <f t="shared" si="4"/>
        <v>4065</v>
      </c>
      <c r="B467" s="6" t="s">
        <v>12205</v>
      </c>
      <c r="C467" s="7" t="str">
        <f t="shared" si="5"/>
        <v>🔊</v>
      </c>
      <c r="D467" s="8" t="s">
        <v>12206</v>
      </c>
      <c r="E467" s="6" t="s">
        <v>13</v>
      </c>
      <c r="F467" s="12" t="str">
        <f>IFERROR(__xludf.DUMMYFUNCTION("GOOGLETRANSLATE(B467,""zh_cn"",""vi"")"),"cung cấp")</f>
        <v>cung cấp</v>
      </c>
      <c r="G467" s="12"/>
      <c r="H467" s="6"/>
      <c r="I467" s="11" t="b">
        <f t="shared" si="2"/>
        <v>0</v>
      </c>
      <c r="J467" s="24"/>
      <c r="K467" s="11" t="b">
        <f t="shared" si="3"/>
        <v>0</v>
      </c>
    </row>
    <row r="468" ht="22.5" customHeight="1">
      <c r="A468" s="12">
        <f t="shared" si="4"/>
        <v>4066</v>
      </c>
      <c r="B468" s="6" t="s">
        <v>12207</v>
      </c>
      <c r="C468" s="7" t="str">
        <f t="shared" si="5"/>
        <v>🔊</v>
      </c>
      <c r="D468" s="8" t="s">
        <v>2196</v>
      </c>
      <c r="E468" s="6" t="s">
        <v>27</v>
      </c>
      <c r="F468" s="12" t="str">
        <f>IFERROR(__xludf.DUMMYFUNCTION("GOOGLETRANSLATE(B468,""zh_cn"",""vi"")"),"A.D.")</f>
        <v>A.D.</v>
      </c>
      <c r="G468" s="12"/>
      <c r="H468" s="6"/>
      <c r="I468" s="11" t="b">
        <f t="shared" si="2"/>
        <v>0</v>
      </c>
      <c r="J468" s="24"/>
      <c r="K468" s="11" t="b">
        <f t="shared" si="3"/>
        <v>0</v>
      </c>
    </row>
    <row r="469" ht="22.5" customHeight="1">
      <c r="A469" s="12">
        <f t="shared" si="4"/>
        <v>4067</v>
      </c>
      <c r="B469" s="6" t="s">
        <v>12208</v>
      </c>
      <c r="C469" s="7" t="str">
        <f t="shared" si="5"/>
        <v>🔊</v>
      </c>
      <c r="D469" s="8" t="s">
        <v>12209</v>
      </c>
      <c r="E469" s="6" t="s">
        <v>99</v>
      </c>
      <c r="F469" s="12" t="str">
        <f>IFERROR(__xludf.DUMMYFUNCTION("GOOGLETRANSLATE(B469,""zh_cn"",""vi"")"),"chỉ")</f>
        <v>chỉ</v>
      </c>
      <c r="G469" s="12"/>
      <c r="H469" s="6"/>
      <c r="I469" s="11" t="b">
        <f t="shared" si="2"/>
        <v>0</v>
      </c>
      <c r="J469" s="24"/>
      <c r="K469" s="11" t="b">
        <f t="shared" si="3"/>
        <v>0</v>
      </c>
    </row>
    <row r="470" ht="22.5" customHeight="1">
      <c r="A470" s="12">
        <f t="shared" si="4"/>
        <v>4068</v>
      </c>
      <c r="B470" s="6" t="s">
        <v>12210</v>
      </c>
      <c r="C470" s="7" t="str">
        <f t="shared" si="5"/>
        <v>🔊</v>
      </c>
      <c r="D470" s="8" t="s">
        <v>12211</v>
      </c>
      <c r="E470" s="6" t="s">
        <v>27</v>
      </c>
      <c r="F470" s="12" t="str">
        <f>IFERROR(__xludf.DUMMYFUNCTION("GOOGLETRANSLATE(B470,""zh_cn"",""vi"")"),"công cộng")</f>
        <v>công cộng</v>
      </c>
      <c r="G470" s="12"/>
      <c r="H470" s="6"/>
      <c r="I470" s="11" t="b">
        <f t="shared" si="2"/>
        <v>0</v>
      </c>
      <c r="J470" s="24"/>
      <c r="K470" s="11" t="b">
        <f t="shared" si="3"/>
        <v>0</v>
      </c>
    </row>
    <row r="471" ht="22.5" customHeight="1">
      <c r="A471" s="12">
        <f t="shared" si="4"/>
        <v>4069</v>
      </c>
      <c r="B471" s="6" t="s">
        <v>12212</v>
      </c>
      <c r="C471" s="7" t="str">
        <f t="shared" si="5"/>
        <v>🔊</v>
      </c>
      <c r="D471" s="8" t="s">
        <v>12213</v>
      </c>
      <c r="E471" s="6" t="s">
        <v>27</v>
      </c>
      <c r="F471" s="12" t="str">
        <f>IFERROR(__xludf.DUMMYFUNCTION("GOOGLETRANSLATE(B471,""zh_cn"",""vi"")"),"Công chúa")</f>
        <v>Công chúa</v>
      </c>
      <c r="G471" s="12"/>
      <c r="H471" s="6"/>
      <c r="I471" s="11" t="b">
        <f t="shared" si="2"/>
        <v>0</v>
      </c>
      <c r="J471" s="24"/>
      <c r="K471" s="11" t="b">
        <f t="shared" si="3"/>
        <v>0</v>
      </c>
    </row>
    <row r="472" ht="22.5" customHeight="1">
      <c r="A472" s="12">
        <f t="shared" si="4"/>
        <v>4070</v>
      </c>
      <c r="B472" s="6" t="s">
        <v>12214</v>
      </c>
      <c r="C472" s="7" t="str">
        <f t="shared" si="5"/>
        <v>🔊</v>
      </c>
      <c r="D472" s="8" t="s">
        <v>12215</v>
      </c>
      <c r="E472" s="6" t="s">
        <v>27</v>
      </c>
      <c r="F472" s="12" t="str">
        <f>IFERROR(__xludf.DUMMYFUNCTION("GOOGLETRANSLATE(B472,""zh_cn"",""vi"")"),"mương")</f>
        <v>mương</v>
      </c>
      <c r="G472" s="12"/>
      <c r="H472" s="6"/>
      <c r="I472" s="11" t="b">
        <f t="shared" si="2"/>
        <v>0</v>
      </c>
      <c r="J472" s="24"/>
      <c r="K472" s="11" t="b">
        <f t="shared" si="3"/>
        <v>0</v>
      </c>
    </row>
    <row r="473" ht="22.5" customHeight="1">
      <c r="A473" s="12">
        <f t="shared" si="4"/>
        <v>4071</v>
      </c>
      <c r="B473" s="6" t="s">
        <v>12216</v>
      </c>
      <c r="C473" s="7" t="str">
        <f t="shared" si="5"/>
        <v>🔊</v>
      </c>
      <c r="D473" s="8" t="s">
        <v>12217</v>
      </c>
      <c r="E473" s="6" t="s">
        <v>13</v>
      </c>
      <c r="F473" s="12" t="str">
        <f>IFERROR(__xludf.DUMMYFUNCTION("GOOGLETRANSLATE(B473,""zh_cn"",""vi"")"),"kết cấu")</f>
        <v>kết cấu</v>
      </c>
      <c r="G473" s="12"/>
      <c r="H473" s="6"/>
      <c r="I473" s="11" t="b">
        <f t="shared" si="2"/>
        <v>0</v>
      </c>
      <c r="J473" s="24"/>
      <c r="K473" s="11" t="b">
        <f t="shared" si="3"/>
        <v>0</v>
      </c>
    </row>
    <row r="474" ht="22.5" customHeight="1">
      <c r="A474" s="12">
        <f t="shared" si="4"/>
        <v>4072</v>
      </c>
      <c r="B474" s="6" t="s">
        <v>12218</v>
      </c>
      <c r="C474" s="7" t="str">
        <f t="shared" si="5"/>
        <v>🔊</v>
      </c>
      <c r="D474" s="8" t="s">
        <v>12219</v>
      </c>
      <c r="E474" s="6" t="s">
        <v>13</v>
      </c>
      <c r="F474" s="12" t="str">
        <f>IFERROR(__xludf.DUMMYFUNCTION("GOOGLETRANSLATE(B474,""zh_cn"",""vi"")"),"Gu")</f>
        <v>Gu</v>
      </c>
      <c r="G474" s="12"/>
      <c r="H474" s="6"/>
      <c r="I474" s="11" t="b">
        <f t="shared" si="2"/>
        <v>0</v>
      </c>
      <c r="J474" s="24"/>
      <c r="K474" s="11" t="b">
        <f t="shared" si="3"/>
        <v>0</v>
      </c>
    </row>
    <row r="475" ht="22.5" customHeight="1">
      <c r="A475" s="12">
        <f t="shared" si="4"/>
        <v>4073</v>
      </c>
      <c r="B475" s="6" t="s">
        <v>12220</v>
      </c>
      <c r="C475" s="7" t="str">
        <f t="shared" si="5"/>
        <v>🔊</v>
      </c>
      <c r="D475" s="8" t="s">
        <v>12221</v>
      </c>
      <c r="E475" s="6" t="s">
        <v>13</v>
      </c>
      <c r="F475" s="12" t="str">
        <f>IFERROR(__xludf.DUMMYFUNCTION("GOOGLETRANSLATE(B475,""zh_cn"",""vi"")"),"Xoay")</f>
        <v>Xoay</v>
      </c>
      <c r="G475" s="12"/>
      <c r="H475" s="6"/>
      <c r="I475" s="11" t="b">
        <f t="shared" si="2"/>
        <v>0</v>
      </c>
      <c r="J475" s="24"/>
      <c r="K475" s="11" t="b">
        <f t="shared" si="3"/>
        <v>0</v>
      </c>
    </row>
    <row r="476" ht="22.5" customHeight="1">
      <c r="A476" s="12">
        <f t="shared" si="4"/>
        <v>4074</v>
      </c>
      <c r="B476" s="6" t="s">
        <v>12222</v>
      </c>
      <c r="C476" s="7" t="str">
        <f t="shared" si="5"/>
        <v>🔊</v>
      </c>
      <c r="D476" s="8" t="s">
        <v>12223</v>
      </c>
      <c r="E476" s="6" t="s">
        <v>13</v>
      </c>
      <c r="F476" s="12" t="str">
        <f>IFERROR(__xludf.DUMMYFUNCTION("GOOGLETRANSLATE(B476,""zh_cn"",""vi"")"),"Xoay")</f>
        <v>Xoay</v>
      </c>
      <c r="G476" s="12"/>
      <c r="H476" s="6"/>
      <c r="I476" s="11" t="b">
        <f t="shared" si="2"/>
        <v>0</v>
      </c>
      <c r="J476" s="24"/>
      <c r="K476" s="11" t="b">
        <f t="shared" si="3"/>
        <v>0</v>
      </c>
    </row>
    <row r="477" ht="22.5" customHeight="1">
      <c r="A477" s="12">
        <f t="shared" si="4"/>
        <v>4075</v>
      </c>
      <c r="B477" s="6" t="s">
        <v>12224</v>
      </c>
      <c r="C477" s="7" t="str">
        <f t="shared" si="5"/>
        <v>🔊</v>
      </c>
      <c r="D477" s="8" t="s">
        <v>12225</v>
      </c>
      <c r="E477" s="6" t="s">
        <v>27</v>
      </c>
      <c r="F477" s="12" t="str">
        <f>IFERROR(__xludf.DUMMYFUNCTION("GOOGLETRANSLATE(B477,""zh_cn"",""vi"")"),"Có thể")</f>
        <v>Có thể</v>
      </c>
      <c r="G477" s="12"/>
      <c r="H477" s="6"/>
      <c r="I477" s="11" t="b">
        <f t="shared" si="2"/>
        <v>0</v>
      </c>
      <c r="J477" s="24"/>
      <c r="K477" s="11" t="b">
        <f t="shared" si="3"/>
        <v>0</v>
      </c>
    </row>
    <row r="478" ht="22.5" customHeight="1">
      <c r="A478" s="12">
        <f t="shared" si="4"/>
        <v>4076</v>
      </c>
      <c r="B478" s="6" t="s">
        <v>12226</v>
      </c>
      <c r="C478" s="7" t="str">
        <f t="shared" si="5"/>
        <v>🔊</v>
      </c>
      <c r="D478" s="8" t="s">
        <v>2208</v>
      </c>
      <c r="E478" s="6" t="s">
        <v>27</v>
      </c>
      <c r="F478" s="12" t="str">
        <f>IFERROR(__xludf.DUMMYFUNCTION("GOOGLETRANSLATE(B478,""zh_cn"",""vi"")"),"chính thức")</f>
        <v>chính thức</v>
      </c>
      <c r="G478" s="12"/>
      <c r="H478" s="6"/>
      <c r="I478" s="11" t="b">
        <f t="shared" si="2"/>
        <v>0</v>
      </c>
      <c r="J478" s="24"/>
      <c r="K478" s="11" t="b">
        <f t="shared" si="3"/>
        <v>0</v>
      </c>
    </row>
    <row r="479" ht="22.5" customHeight="1">
      <c r="A479" s="12">
        <f t="shared" si="4"/>
        <v>4077</v>
      </c>
      <c r="B479" s="6" t="s">
        <v>12227</v>
      </c>
      <c r="C479" s="7" t="str">
        <f t="shared" si="5"/>
        <v>🔊</v>
      </c>
      <c r="D479" s="8" t="s">
        <v>12228</v>
      </c>
      <c r="E479" s="6" t="s">
        <v>13</v>
      </c>
      <c r="F479" s="12" t="str">
        <f>IFERROR(__xludf.DUMMYFUNCTION("GOOGLETRANSLATE(B479,""zh_cn"",""vi"")"),"chăm sóc")</f>
        <v>chăm sóc</v>
      </c>
      <c r="G479" s="12"/>
      <c r="H479" s="6"/>
      <c r="I479" s="11" t="b">
        <f t="shared" si="2"/>
        <v>0</v>
      </c>
      <c r="J479" s="24"/>
      <c r="K479" s="11" t="b">
        <f t="shared" si="3"/>
        <v>0</v>
      </c>
    </row>
    <row r="480" ht="22.5" customHeight="1">
      <c r="A480" s="12">
        <f t="shared" si="4"/>
        <v>4078</v>
      </c>
      <c r="B480" s="6" t="s">
        <v>12229</v>
      </c>
      <c r="C480" s="7" t="str">
        <f t="shared" si="5"/>
        <v>🔊</v>
      </c>
      <c r="D480" s="8" t="s">
        <v>12230</v>
      </c>
      <c r="E480" s="6" t="s">
        <v>27</v>
      </c>
      <c r="F480" s="12" t="str">
        <f>IFERROR(__xludf.DUMMYFUNCTION("GOOGLETRANSLATE(B480,""zh_cn"",""vi"")"),"đường ống")</f>
        <v>đường ống</v>
      </c>
      <c r="G480" s="12"/>
      <c r="H480" s="6"/>
      <c r="I480" s="11" t="b">
        <f t="shared" si="2"/>
        <v>0</v>
      </c>
      <c r="J480" s="24"/>
      <c r="K480" s="11" t="b">
        <f t="shared" si="3"/>
        <v>0</v>
      </c>
    </row>
    <row r="481" ht="22.5" customHeight="1">
      <c r="A481" s="12">
        <f t="shared" si="4"/>
        <v>4079</v>
      </c>
      <c r="B481" s="6" t="s">
        <v>12231</v>
      </c>
      <c r="C481" s="7" t="str">
        <f t="shared" si="5"/>
        <v>🔊</v>
      </c>
      <c r="D481" s="8" t="s">
        <v>12232</v>
      </c>
      <c r="E481" s="6" t="s">
        <v>27</v>
      </c>
      <c r="F481" s="12" t="str">
        <f>IFERROR(__xludf.DUMMYFUNCTION("GOOGLETRANSLATE(B481,""zh_cn"",""vi"")"),"chính thức")</f>
        <v>chính thức</v>
      </c>
      <c r="G481" s="12"/>
      <c r="H481" s="6"/>
      <c r="I481" s="11" t="b">
        <f t="shared" si="2"/>
        <v>0</v>
      </c>
      <c r="J481" s="24"/>
      <c r="K481" s="11" t="b">
        <f t="shared" si="3"/>
        <v>0</v>
      </c>
    </row>
    <row r="482" ht="22.5" customHeight="1">
      <c r="A482" s="12">
        <f t="shared" si="4"/>
        <v>4080</v>
      </c>
      <c r="B482" s="6" t="s">
        <v>12233</v>
      </c>
      <c r="C482" s="7" t="str">
        <f t="shared" si="5"/>
        <v>🔊</v>
      </c>
      <c r="D482" s="8" t="s">
        <v>12234</v>
      </c>
      <c r="E482" s="6" t="s">
        <v>99</v>
      </c>
      <c r="F482" s="12" t="str">
        <f>IFERROR(__xludf.DUMMYFUNCTION("GOOGLETRANSLATE(B482,""zh_cn"",""vi"")"),"rộng")</f>
        <v>rộng</v>
      </c>
      <c r="G482" s="12"/>
      <c r="H482" s="6"/>
      <c r="I482" s="11" t="b">
        <f t="shared" si="2"/>
        <v>0</v>
      </c>
      <c r="J482" s="24"/>
      <c r="K482" s="11" t="b">
        <f t="shared" si="3"/>
        <v>0</v>
      </c>
    </row>
    <row r="483" ht="22.5" customHeight="1">
      <c r="A483" s="12">
        <f t="shared" si="4"/>
        <v>4081</v>
      </c>
      <c r="B483" s="6" t="s">
        <v>12235</v>
      </c>
      <c r="C483" s="7" t="str">
        <f t="shared" si="5"/>
        <v>🔊</v>
      </c>
      <c r="D483" s="8" t="s">
        <v>12236</v>
      </c>
      <c r="E483" s="6" t="s">
        <v>13</v>
      </c>
      <c r="F483" s="12" t="str">
        <f>IFERROR(__xludf.DUMMYFUNCTION("GOOGLETRANSLATE(B483,""zh_cn"",""vi"")"),"đi tham quan")</f>
        <v>đi tham quan</v>
      </c>
      <c r="G483" s="12"/>
      <c r="H483" s="6"/>
      <c r="I483" s="11" t="b">
        <f t="shared" si="2"/>
        <v>0</v>
      </c>
      <c r="J483" s="24"/>
      <c r="K483" s="11" t="b">
        <f t="shared" si="3"/>
        <v>0</v>
      </c>
    </row>
    <row r="484" ht="22.5" customHeight="1">
      <c r="A484" s="12">
        <f t="shared" si="4"/>
        <v>4082</v>
      </c>
      <c r="B484" s="6" t="s">
        <v>12237</v>
      </c>
      <c r="C484" s="7" t="str">
        <f t="shared" si="5"/>
        <v>🔊</v>
      </c>
      <c r="D484" s="8" t="s">
        <v>12238</v>
      </c>
      <c r="E484" s="6" t="s">
        <v>13</v>
      </c>
      <c r="F484" s="12" t="str">
        <f>IFERROR(__xludf.DUMMYFUNCTION("GOOGLETRANSLATE(B484,""zh_cn"",""vi"")"),"chăm sóc")</f>
        <v>chăm sóc</v>
      </c>
      <c r="G484" s="12"/>
      <c r="H484" s="6"/>
      <c r="I484" s="11" t="b">
        <f t="shared" si="2"/>
        <v>0</v>
      </c>
      <c r="J484" s="24"/>
      <c r="K484" s="11" t="b">
        <f t="shared" si="3"/>
        <v>0</v>
      </c>
    </row>
    <row r="485" ht="22.5" customHeight="1">
      <c r="A485" s="12">
        <f t="shared" si="4"/>
        <v>4083</v>
      </c>
      <c r="B485" s="6" t="s">
        <v>12239</v>
      </c>
      <c r="C485" s="7" t="str">
        <f t="shared" si="5"/>
        <v>🔊</v>
      </c>
      <c r="D485" s="8" t="s">
        <v>12240</v>
      </c>
      <c r="E485" s="6" t="s">
        <v>13</v>
      </c>
      <c r="F485" s="12" t="str">
        <f>IFERROR(__xludf.DUMMYFUNCTION("GOOGLETRANSLATE(B485,""zh_cn"",""vi"")"),"Có liên quan")</f>
        <v>Có liên quan</v>
      </c>
      <c r="G485" s="12"/>
      <c r="H485" s="6"/>
      <c r="I485" s="11" t="b">
        <f t="shared" si="2"/>
        <v>0</v>
      </c>
      <c r="J485" s="24"/>
      <c r="K485" s="11" t="b">
        <f t="shared" si="3"/>
        <v>0</v>
      </c>
    </row>
    <row r="486" ht="22.5" customHeight="1">
      <c r="A486" s="12">
        <f t="shared" si="4"/>
        <v>4084</v>
      </c>
      <c r="B486" s="6" t="s">
        <v>12241</v>
      </c>
      <c r="C486" s="7" t="str">
        <f t="shared" si="5"/>
        <v>🔊</v>
      </c>
      <c r="D486" s="8" t="s">
        <v>12242</v>
      </c>
      <c r="E486" s="6" t="s">
        <v>13</v>
      </c>
      <c r="F486" s="12" t="str">
        <f>IFERROR(__xludf.DUMMYFUNCTION("GOOGLETRANSLATE(B486,""zh_cn"",""vi"")"),"Xem")</f>
        <v>Xem</v>
      </c>
      <c r="G486" s="12"/>
      <c r="H486" s="6"/>
      <c r="I486" s="11" t="b">
        <f t="shared" si="2"/>
        <v>0</v>
      </c>
      <c r="J486" s="24"/>
      <c r="K486" s="11" t="b">
        <f t="shared" si="3"/>
        <v>0</v>
      </c>
    </row>
    <row r="487" ht="22.5" customHeight="1">
      <c r="A487" s="12">
        <f t="shared" si="4"/>
        <v>4085</v>
      </c>
      <c r="B487" s="6" t="s">
        <v>12243</v>
      </c>
      <c r="C487" s="7" t="str">
        <f t="shared" si="5"/>
        <v>🔊</v>
      </c>
      <c r="D487" s="8" t="s">
        <v>12244</v>
      </c>
      <c r="E487" s="6" t="s">
        <v>27</v>
      </c>
      <c r="F487" s="12" t="str">
        <f>IFERROR(__xludf.DUMMYFUNCTION("GOOGLETRANSLATE(B487,""zh_cn"",""vi"")"),"Các quan chức")</f>
        <v>Các quan chức</v>
      </c>
      <c r="G487" s="12"/>
      <c r="H487" s="6"/>
      <c r="I487" s="11" t="b">
        <f t="shared" si="2"/>
        <v>0</v>
      </c>
      <c r="J487" s="24"/>
      <c r="K487" s="11" t="b">
        <f t="shared" si="3"/>
        <v>0</v>
      </c>
    </row>
    <row r="488" ht="22.5" customHeight="1">
      <c r="A488" s="12">
        <f t="shared" si="4"/>
        <v>4086</v>
      </c>
      <c r="B488" s="6" t="s">
        <v>12245</v>
      </c>
      <c r="C488" s="7" t="str">
        <f t="shared" si="5"/>
        <v>🔊</v>
      </c>
      <c r="D488" s="8" t="s">
        <v>12246</v>
      </c>
      <c r="E488" s="6" t="s">
        <v>99</v>
      </c>
      <c r="F488" s="12" t="str">
        <f>IFERROR(__xludf.DUMMYFUNCTION("GOOGLETRANSLATE(B488,""zh_cn"",""vi"")"),"cổ điển")</f>
        <v>cổ điển</v>
      </c>
      <c r="G488" s="12"/>
      <c r="H488" s="6"/>
      <c r="I488" s="11" t="b">
        <f t="shared" si="2"/>
        <v>0</v>
      </c>
      <c r="J488" s="24"/>
      <c r="K488" s="11" t="b">
        <f t="shared" si="3"/>
        <v>0</v>
      </c>
    </row>
    <row r="489" ht="22.5" customHeight="1">
      <c r="A489" s="12">
        <f t="shared" si="4"/>
        <v>4087</v>
      </c>
      <c r="B489" s="6" t="s">
        <v>12247</v>
      </c>
      <c r="C489" s="7" t="str">
        <f t="shared" si="5"/>
        <v>🔊</v>
      </c>
      <c r="D489" s="8" t="s">
        <v>12248</v>
      </c>
      <c r="E489" s="6" t="s">
        <v>99</v>
      </c>
      <c r="F489" s="12" t="str">
        <f>IFERROR(__xludf.DUMMYFUNCTION("GOOGLETRANSLATE(B489,""zh_cn"",""vi"")"),"Cô đơn")</f>
        <v>Cô đơn</v>
      </c>
      <c r="G489" s="12"/>
      <c r="H489" s="6"/>
      <c r="I489" s="11" t="b">
        <f t="shared" si="2"/>
        <v>0</v>
      </c>
      <c r="J489" s="24"/>
      <c r="K489" s="11" t="b">
        <f t="shared" si="3"/>
        <v>0</v>
      </c>
    </row>
    <row r="490" ht="22.5" customHeight="1">
      <c r="A490" s="12">
        <f t="shared" si="4"/>
        <v>4088</v>
      </c>
      <c r="B490" s="6" t="s">
        <v>12249</v>
      </c>
      <c r="C490" s="7" t="str">
        <f t="shared" si="5"/>
        <v>🔊</v>
      </c>
      <c r="D490" s="8" t="s">
        <v>12250</v>
      </c>
      <c r="E490" s="6" t="s">
        <v>27</v>
      </c>
      <c r="F490" s="12" t="str">
        <f>IFERROR(__xludf.DUMMYFUNCTION("GOOGLETRANSLATE(B490,""zh_cn"",""vi"")"),"dì")</f>
        <v>dì</v>
      </c>
      <c r="G490" s="12"/>
      <c r="H490" s="6"/>
      <c r="I490" s="11" t="b">
        <f t="shared" si="2"/>
        <v>0</v>
      </c>
      <c r="J490" s="24"/>
      <c r="K490" s="11" t="b">
        <f t="shared" si="3"/>
        <v>0</v>
      </c>
    </row>
    <row r="491" ht="22.5" customHeight="1">
      <c r="A491" s="12">
        <f t="shared" si="4"/>
        <v>4089</v>
      </c>
      <c r="B491" s="6" t="s">
        <v>12251</v>
      </c>
      <c r="C491" s="7" t="str">
        <f t="shared" si="5"/>
        <v>🔊</v>
      </c>
      <c r="D491" s="8" t="s">
        <v>238</v>
      </c>
      <c r="E491" s="6" t="s">
        <v>13</v>
      </c>
      <c r="F491" s="12" t="str">
        <f>IFERROR(__xludf.DUMMYFUNCTION("GOOGLETRANSLATE(B491,""zh_cn"",""vi"")"),"quỳ xuống")</f>
        <v>quỳ xuống</v>
      </c>
      <c r="G491" s="12"/>
      <c r="H491" s="6"/>
      <c r="I491" s="11" t="b">
        <f t="shared" si="2"/>
        <v>0</v>
      </c>
      <c r="J491" s="24"/>
      <c r="K491" s="11" t="b">
        <f t="shared" si="3"/>
        <v>0</v>
      </c>
    </row>
    <row r="492" ht="22.5" customHeight="1">
      <c r="A492" s="12">
        <f t="shared" si="4"/>
        <v>4090</v>
      </c>
      <c r="B492" s="6" t="s">
        <v>12252</v>
      </c>
      <c r="C492" s="7" t="str">
        <f t="shared" si="5"/>
        <v>🔊</v>
      </c>
      <c r="D492" s="8" t="s">
        <v>12253</v>
      </c>
      <c r="E492" s="6" t="s">
        <v>1054</v>
      </c>
      <c r="F492" s="12" t="str">
        <f>IFERROR(__xludf.DUMMYFUNCTION("GOOGLETRANSLATE(B492,""zh_cn"",""vi"")"),"Trở lại")</f>
        <v>Trở lại</v>
      </c>
      <c r="G492" s="12"/>
      <c r="H492" s="6"/>
      <c r="I492" s="11" t="b">
        <f t="shared" si="2"/>
        <v>0</v>
      </c>
      <c r="J492" s="24"/>
      <c r="K492" s="11" t="b">
        <f t="shared" si="3"/>
        <v>0</v>
      </c>
    </row>
    <row r="493" ht="22.5" customHeight="1">
      <c r="A493" s="12">
        <f t="shared" si="4"/>
        <v>4091</v>
      </c>
      <c r="B493" s="6" t="s">
        <v>12254</v>
      </c>
      <c r="C493" s="7" t="str">
        <f t="shared" si="5"/>
        <v>🔊</v>
      </c>
      <c r="D493" s="8" t="s">
        <v>12255</v>
      </c>
      <c r="E493" s="6" t="s">
        <v>27</v>
      </c>
      <c r="F493" s="12" t="str">
        <f>IFERROR(__xludf.DUMMYFUNCTION("GOOGLETRANSLATE(B493,""zh_cn"",""vi"")"),"theo dõi")</f>
        <v>theo dõi</v>
      </c>
      <c r="G493" s="12"/>
      <c r="H493" s="6"/>
      <c r="I493" s="11" t="b">
        <f t="shared" si="2"/>
        <v>0</v>
      </c>
      <c r="J493" s="24"/>
      <c r="K493" s="11" t="b">
        <f t="shared" si="3"/>
        <v>0</v>
      </c>
    </row>
    <row r="494" ht="22.5" customHeight="1">
      <c r="A494" s="12">
        <f t="shared" si="4"/>
        <v>4092</v>
      </c>
      <c r="B494" s="6" t="s">
        <v>12256</v>
      </c>
      <c r="C494" s="7" t="str">
        <f t="shared" si="5"/>
        <v>🔊</v>
      </c>
      <c r="D494" s="8" t="s">
        <v>12257</v>
      </c>
      <c r="E494" s="6" t="s">
        <v>12258</v>
      </c>
      <c r="F494" s="12" t="str">
        <f>IFERROR(__xludf.DUMMYFUNCTION("GOOGLETRANSLATE(B494,""zh_cn"",""vi"")"),"thông số kỹ thuật")</f>
        <v>thông số kỹ thuật</v>
      </c>
      <c r="G494" s="12"/>
      <c r="H494" s="6"/>
      <c r="I494" s="11" t="b">
        <f t="shared" si="2"/>
        <v>0</v>
      </c>
      <c r="J494" s="24"/>
      <c r="K494" s="11" t="b">
        <f t="shared" si="3"/>
        <v>0</v>
      </c>
    </row>
    <row r="495" ht="22.5" customHeight="1">
      <c r="A495" s="12">
        <f t="shared" si="4"/>
        <v>4093</v>
      </c>
      <c r="B495" s="6" t="s">
        <v>12259</v>
      </c>
      <c r="C495" s="7" t="str">
        <f t="shared" si="5"/>
        <v>🔊</v>
      </c>
      <c r="D495" s="8" t="s">
        <v>12260</v>
      </c>
      <c r="E495" s="6" t="s">
        <v>57</v>
      </c>
      <c r="F495" s="12" t="str">
        <f>IFERROR(__xludf.DUMMYFUNCTION("GOOGLETRANSLATE(B495,""zh_cn"",""vi"")"),"lập kế hoạch")</f>
        <v>lập kế hoạch</v>
      </c>
      <c r="G495" s="12"/>
      <c r="H495" s="6"/>
      <c r="I495" s="11" t="b">
        <f t="shared" si="2"/>
        <v>0</v>
      </c>
      <c r="J495" s="24"/>
      <c r="K495" s="11" t="b">
        <f t="shared" si="3"/>
        <v>0</v>
      </c>
    </row>
    <row r="496" ht="22.5" customHeight="1">
      <c r="A496" s="12">
        <f t="shared" si="4"/>
        <v>4094</v>
      </c>
      <c r="B496" s="6" t="s">
        <v>12261</v>
      </c>
      <c r="C496" s="7" t="str">
        <f t="shared" si="5"/>
        <v>🔊</v>
      </c>
      <c r="D496" s="8" t="s">
        <v>12262</v>
      </c>
      <c r="E496" s="6" t="s">
        <v>13</v>
      </c>
      <c r="F496" s="12" t="str">
        <f>IFERROR(__xludf.DUMMYFUNCTION("GOOGLETRANSLATE(B496,""zh_cn"",""vi"")"),"trở lại")</f>
        <v>trở lại</v>
      </c>
      <c r="G496" s="12"/>
      <c r="H496" s="6"/>
      <c r="I496" s="11" t="b">
        <f t="shared" si="2"/>
        <v>0</v>
      </c>
      <c r="J496" s="24"/>
      <c r="K496" s="11" t="b">
        <f t="shared" si="3"/>
        <v>0</v>
      </c>
    </row>
    <row r="497" ht="22.5" customHeight="1">
      <c r="A497" s="12">
        <f t="shared" si="4"/>
        <v>4095</v>
      </c>
      <c r="B497" s="6" t="s">
        <v>12263</v>
      </c>
      <c r="C497" s="7" t="str">
        <f t="shared" si="5"/>
        <v>🔊</v>
      </c>
      <c r="D497" s="8" t="s">
        <v>12264</v>
      </c>
      <c r="E497" s="6" t="s">
        <v>3430</v>
      </c>
      <c r="F497" s="12" t="str">
        <f>IFERROR(__xludf.DUMMYFUNCTION("GOOGLETRANSLATE(B497,""zh_cn"",""vi"")"),"luật lệ")</f>
        <v>luật lệ</v>
      </c>
      <c r="G497" s="12"/>
      <c r="H497" s="6"/>
      <c r="I497" s="11" t="b">
        <f t="shared" si="2"/>
        <v>0</v>
      </c>
      <c r="J497" s="24"/>
      <c r="K497" s="11" t="b">
        <f t="shared" si="3"/>
        <v>0</v>
      </c>
    </row>
    <row r="498" ht="22.5" customHeight="1">
      <c r="A498" s="12">
        <f t="shared" si="4"/>
        <v>4096</v>
      </c>
      <c r="B498" s="6" t="s">
        <v>12265</v>
      </c>
      <c r="C498" s="7" t="str">
        <f t="shared" si="5"/>
        <v>🔊</v>
      </c>
      <c r="D498" s="8" t="s">
        <v>12266</v>
      </c>
      <c r="E498" s="6" t="s">
        <v>99</v>
      </c>
      <c r="F498" s="12" t="str">
        <f>IFERROR(__xludf.DUMMYFUNCTION("GOOGLETRANSLATE(B498,""zh_cn"",""vi"")"),"quý giá")</f>
        <v>quý giá</v>
      </c>
      <c r="G498" s="12"/>
      <c r="H498" s="6"/>
      <c r="I498" s="11" t="b">
        <f t="shared" si="2"/>
        <v>0</v>
      </c>
      <c r="J498" s="24"/>
      <c r="K498" s="11" t="b">
        <f t="shared" si="3"/>
        <v>0</v>
      </c>
    </row>
    <row r="499" ht="22.5" customHeight="1">
      <c r="A499" s="12">
        <f t="shared" si="4"/>
        <v>4097</v>
      </c>
      <c r="B499" s="6" t="s">
        <v>12267</v>
      </c>
      <c r="C499" s="7" t="str">
        <f t="shared" si="5"/>
        <v>🔊</v>
      </c>
      <c r="D499" s="8" t="s">
        <v>12268</v>
      </c>
      <c r="E499" s="6" t="s">
        <v>27</v>
      </c>
      <c r="F499" s="12" t="str">
        <f>IFERROR(__xludf.DUMMYFUNCTION("GOOGLETRANSLATE(B499,""zh_cn"",""vi"")"),"địa điểm cổ xưa")</f>
        <v>địa điểm cổ xưa</v>
      </c>
      <c r="G499" s="12"/>
      <c r="H499" s="6"/>
      <c r="I499" s="11" t="b">
        <f t="shared" si="2"/>
        <v>0</v>
      </c>
      <c r="J499" s="24"/>
      <c r="K499" s="11" t="b">
        <f t="shared" si="3"/>
        <v>0</v>
      </c>
    </row>
    <row r="500" ht="22.5" customHeight="1">
      <c r="A500" s="12">
        <f t="shared" si="4"/>
        <v>4098</v>
      </c>
      <c r="B500" s="6" t="s">
        <v>12269</v>
      </c>
      <c r="C500" s="7" t="str">
        <f t="shared" si="5"/>
        <v>🔊</v>
      </c>
      <c r="D500" s="8" t="s">
        <v>12270</v>
      </c>
      <c r="E500" s="6" t="s">
        <v>27</v>
      </c>
      <c r="F500" s="12" t="str">
        <f>IFERROR(__xludf.DUMMYFUNCTION("GOOGLETRANSLATE(B500,""zh_cn"",""vi"")"),"dán")</f>
        <v>dán</v>
      </c>
      <c r="G500" s="12"/>
      <c r="H500" s="6"/>
      <c r="I500" s="11" t="b">
        <f t="shared" si="2"/>
        <v>0</v>
      </c>
      <c r="J500" s="24"/>
      <c r="K500" s="11" t="b">
        <f t="shared" si="3"/>
        <v>0</v>
      </c>
    </row>
    <row r="501" ht="22.5" customHeight="1">
      <c r="A501" s="12">
        <f t="shared" si="4"/>
        <v>4099</v>
      </c>
      <c r="B501" s="6" t="s">
        <v>12271</v>
      </c>
      <c r="C501" s="7" t="str">
        <f t="shared" si="5"/>
        <v>🔊</v>
      </c>
      <c r="D501" s="8" t="s">
        <v>12272</v>
      </c>
      <c r="E501" s="6" t="s">
        <v>27</v>
      </c>
      <c r="F501" s="12" t="str">
        <f>IFERROR(__xludf.DUMMYFUNCTION("GOOGLETRANSLATE(B501,""zh_cn"",""vi"")"),"kho báu quốc gia")</f>
        <v>kho báu quốc gia</v>
      </c>
      <c r="G501" s="12"/>
      <c r="H501" s="6"/>
      <c r="I501" s="11" t="b">
        <f t="shared" si="2"/>
        <v>0</v>
      </c>
      <c r="J501" s="24"/>
      <c r="K501" s="11" t="b">
        <f t="shared" si="3"/>
        <v>0</v>
      </c>
    </row>
    <row r="502" ht="22.5" customHeight="1">
      <c r="A502" s="12">
        <f t="shared" si="4"/>
        <v>4100</v>
      </c>
      <c r="B502" s="6" t="s">
        <v>12273</v>
      </c>
      <c r="C502" s="7" t="str">
        <f t="shared" si="5"/>
        <v>🔊</v>
      </c>
      <c r="D502" s="8" t="s">
        <v>12274</v>
      </c>
      <c r="E502" s="6" t="s">
        <v>99</v>
      </c>
      <c r="F502" s="12" t="str">
        <f>IFERROR(__xludf.DUMMYFUNCTION("GOOGLETRANSLATE(B502,""zh_cn"",""vi"")"),"Nội địa")</f>
        <v>Nội địa</v>
      </c>
      <c r="G502" s="12"/>
      <c r="H502" s="6"/>
      <c r="I502" s="11" t="b">
        <f t="shared" si="2"/>
        <v>0</v>
      </c>
      <c r="J502" s="24"/>
      <c r="K502" s="11" t="b">
        <f t="shared" si="3"/>
        <v>0</v>
      </c>
    </row>
    <row r="503" ht="22.5" customHeight="1">
      <c r="A503" s="12">
        <f t="shared" si="4"/>
        <v>4101</v>
      </c>
      <c r="B503" s="6" t="s">
        <v>12275</v>
      </c>
      <c r="C503" s="1" t="s">
        <v>2</v>
      </c>
      <c r="D503" s="8" t="s">
        <v>7950</v>
      </c>
      <c r="E503" s="6" t="s">
        <v>13</v>
      </c>
      <c r="F503" s="12" t="str">
        <f>IFERROR(__xludf.DUMMYFUNCTION("GOOGLETRANSLATE(B503,""zh_cn"",""vi"")"),"chuyển đổi")</f>
        <v>chuyển đổi</v>
      </c>
      <c r="G503" s="12"/>
      <c r="H503" s="6"/>
      <c r="I503" s="11" t="b">
        <f t="shared" si="2"/>
        <v>0</v>
      </c>
      <c r="J503" s="24"/>
      <c r="K503" s="11" t="b">
        <f t="shared" si="3"/>
        <v>0</v>
      </c>
    </row>
    <row r="504" ht="22.5" customHeight="1">
      <c r="A504" s="12">
        <f t="shared" si="4"/>
        <v>4102</v>
      </c>
      <c r="B504" s="6" t="s">
        <v>12276</v>
      </c>
      <c r="C504" s="6"/>
      <c r="D504" s="8" t="s">
        <v>12277</v>
      </c>
      <c r="E504" s="6" t="s">
        <v>27</v>
      </c>
      <c r="F504" s="12" t="str">
        <f>IFERROR(__xludf.DUMMYFUNCTION("GOOGLETRANSLATE(B504,""zh_cn"",""vi"")"),"Quốc ca")</f>
        <v>Quốc ca</v>
      </c>
      <c r="G504" s="12"/>
      <c r="H504" s="6"/>
      <c r="I504" s="11" t="b">
        <f t="shared" si="2"/>
        <v>0</v>
      </c>
      <c r="J504" s="24"/>
      <c r="K504" s="11" t="b">
        <f t="shared" si="3"/>
        <v>0</v>
      </c>
    </row>
    <row r="505" ht="22.5" customHeight="1">
      <c r="A505" s="12">
        <f t="shared" si="4"/>
        <v>4103</v>
      </c>
      <c r="B505" s="6" t="s">
        <v>12278</v>
      </c>
      <c r="C505" s="7" t="str">
        <f t="shared" ref="C505:C804" si="6">HYPERLINK("https://translate.google.com/translate_tts?ie=UTF-8&amp;client=tw-ob&amp;tl=zh-CN&amp;q="&amp;ENCODEURL(B505),"🔊")</f>
        <v>🔊</v>
      </c>
      <c r="D505" s="8" t="s">
        <v>12279</v>
      </c>
      <c r="E505" s="6" t="s">
        <v>27</v>
      </c>
      <c r="F505" s="12" t="str">
        <f>IFERROR(__xludf.DUMMYFUNCTION("GOOGLETRANSLATE(B505,""zh_cn"",""vi"")"),"Sau đó")</f>
        <v>Sau đó</v>
      </c>
      <c r="G505" s="12"/>
      <c r="H505" s="6"/>
      <c r="I505" s="11" t="b">
        <f t="shared" si="2"/>
        <v>0</v>
      </c>
      <c r="J505" s="24"/>
      <c r="K505" s="11" t="b">
        <f t="shared" si="3"/>
        <v>0</v>
      </c>
    </row>
    <row r="506" ht="22.5" customHeight="1">
      <c r="A506" s="12">
        <f t="shared" si="4"/>
        <v>4104</v>
      </c>
      <c r="B506" s="6" t="s">
        <v>12280</v>
      </c>
      <c r="C506" s="7" t="str">
        <f t="shared" si="6"/>
        <v>🔊</v>
      </c>
      <c r="D506" s="8" t="s">
        <v>12281</v>
      </c>
      <c r="E506" s="6" t="s">
        <v>27</v>
      </c>
      <c r="F506" s="12" t="str">
        <f>IFERROR(__xludf.DUMMYFUNCTION("GOOGLETRANSLATE(B506,""zh_cn"",""vi"")"),"Quốc kỳ")</f>
        <v>Quốc kỳ</v>
      </c>
      <c r="G506" s="12"/>
      <c r="H506" s="6"/>
      <c r="I506" s="11" t="b">
        <f t="shared" si="2"/>
        <v>0</v>
      </c>
      <c r="J506" s="24"/>
      <c r="K506" s="11" t="b">
        <f t="shared" si="3"/>
        <v>0</v>
      </c>
    </row>
    <row r="507" ht="22.5" customHeight="1">
      <c r="A507" s="12">
        <f t="shared" si="4"/>
        <v>4105</v>
      </c>
      <c r="B507" s="6" t="s">
        <v>12282</v>
      </c>
      <c r="C507" s="7" t="str">
        <f t="shared" si="6"/>
        <v>🔊</v>
      </c>
      <c r="D507" s="8" t="s">
        <v>12283</v>
      </c>
      <c r="E507" s="6" t="s">
        <v>27</v>
      </c>
      <c r="F507" s="12" t="str">
        <f>IFERROR(__xludf.DUMMYFUNCTION("GOOGLETRANSLATE(B507,""zh_cn"",""vi"")"),"Điều kiện quốc gia")</f>
        <v>Điều kiện quốc gia</v>
      </c>
      <c r="G507" s="12"/>
      <c r="H507" s="6"/>
      <c r="I507" s="11" t="b">
        <f t="shared" si="2"/>
        <v>0</v>
      </c>
      <c r="J507" s="24"/>
      <c r="K507" s="11" t="b">
        <f t="shared" si="3"/>
        <v>0</v>
      </c>
    </row>
    <row r="508" ht="22.5" customHeight="1">
      <c r="A508" s="12">
        <f t="shared" si="4"/>
        <v>4106</v>
      </c>
      <c r="B508" s="6" t="s">
        <v>12284</v>
      </c>
      <c r="C508" s="7" t="str">
        <f t="shared" si="6"/>
        <v>🔊</v>
      </c>
      <c r="D508" s="8" t="s">
        <v>12285</v>
      </c>
      <c r="E508" s="6" t="s">
        <v>368</v>
      </c>
      <c r="F508" s="12" t="str">
        <f>IFERROR(__xludf.DUMMYFUNCTION("GOOGLETRANSLATE(B508,""zh_cn"",""vi"")"),"lỗi thời")</f>
        <v>lỗi thời</v>
      </c>
      <c r="G508" s="12"/>
      <c r="H508" s="6"/>
      <c r="I508" s="11" t="b">
        <f t="shared" si="2"/>
        <v>0</v>
      </c>
      <c r="J508" s="24"/>
      <c r="K508" s="11" t="b">
        <f t="shared" si="3"/>
        <v>0</v>
      </c>
    </row>
    <row r="509" ht="22.5" customHeight="1">
      <c r="A509" s="12">
        <f t="shared" si="4"/>
        <v>4107</v>
      </c>
      <c r="B509" s="6" t="s">
        <v>12286</v>
      </c>
      <c r="C509" s="7" t="str">
        <f t="shared" si="6"/>
        <v>🔊</v>
      </c>
      <c r="D509" s="8" t="s">
        <v>12287</v>
      </c>
      <c r="E509" s="6" t="s">
        <v>27</v>
      </c>
      <c r="F509" s="12" t="str">
        <f>IFERROR(__xludf.DUMMYFUNCTION("GOOGLETRANSLATE(B509,""zh_cn"",""vi"")"),"nhà vua")</f>
        <v>nhà vua</v>
      </c>
      <c r="G509" s="12"/>
      <c r="H509" s="6"/>
      <c r="I509" s="11" t="b">
        <f t="shared" si="2"/>
        <v>0</v>
      </c>
      <c r="J509" s="24"/>
      <c r="K509" s="11" t="b">
        <f t="shared" si="3"/>
        <v>0</v>
      </c>
    </row>
    <row r="510" ht="22.5" customHeight="1">
      <c r="A510" s="12">
        <f t="shared" si="4"/>
        <v>4108</v>
      </c>
      <c r="B510" s="6" t="s">
        <v>12288</v>
      </c>
      <c r="C510" s="7" t="str">
        <f t="shared" si="6"/>
        <v>🔊</v>
      </c>
      <c r="D510" s="8" t="s">
        <v>12289</v>
      </c>
      <c r="E510" s="6" t="s">
        <v>27</v>
      </c>
      <c r="F510" s="12" t="str">
        <f>IFERROR(__xludf.DUMMYFUNCTION("GOOGLETRANSLATE(B510,""zh_cn"",""vi"")"),"Cổ phần")</f>
        <v>Cổ phần</v>
      </c>
      <c r="G510" s="12"/>
      <c r="H510" s="6"/>
      <c r="I510" s="11" t="b">
        <f t="shared" si="2"/>
        <v>0</v>
      </c>
      <c r="J510" s="24"/>
      <c r="K510" s="11" t="b">
        <f t="shared" si="3"/>
        <v>0</v>
      </c>
    </row>
    <row r="511" ht="22.5" customHeight="1">
      <c r="A511" s="12">
        <f t="shared" si="4"/>
        <v>4109</v>
      </c>
      <c r="B511" s="6" t="s">
        <v>12290</v>
      </c>
      <c r="C511" s="7" t="str">
        <f t="shared" si="6"/>
        <v>🔊</v>
      </c>
      <c r="D511" s="8" t="s">
        <v>12291</v>
      </c>
      <c r="E511" s="6" t="s">
        <v>27</v>
      </c>
      <c r="F511" s="12" t="str">
        <f>IFERROR(__xludf.DUMMYFUNCTION("GOOGLETRANSLATE(B511,""zh_cn"",""vi"")"),"người xưa")</f>
        <v>người xưa</v>
      </c>
      <c r="G511" s="12"/>
      <c r="H511" s="6"/>
      <c r="I511" s="11" t="b">
        <f t="shared" si="2"/>
        <v>0</v>
      </c>
      <c r="J511" s="24"/>
      <c r="K511" s="11" t="b">
        <f t="shared" si="3"/>
        <v>0</v>
      </c>
    </row>
    <row r="512" ht="22.5" customHeight="1">
      <c r="A512" s="12">
        <f t="shared" si="4"/>
        <v>4110</v>
      </c>
      <c r="B512" s="6" t="s">
        <v>12292</v>
      </c>
      <c r="C512" s="7" t="str">
        <f t="shared" si="6"/>
        <v>🔊</v>
      </c>
      <c r="D512" s="8" t="s">
        <v>12293</v>
      </c>
      <c r="E512" s="6" t="s">
        <v>27</v>
      </c>
      <c r="F512" s="12" t="str">
        <f>IFERROR(__xludf.DUMMYFUNCTION("GOOGLETRANSLATE(B512,""zh_cn"",""vi"")"),"thị trường chứng khoán")</f>
        <v>thị trường chứng khoán</v>
      </c>
      <c r="G512" s="12"/>
      <c r="H512" s="6"/>
      <c r="I512" s="11" t="b">
        <f t="shared" si="2"/>
        <v>0</v>
      </c>
      <c r="J512" s="24"/>
      <c r="K512" s="11" t="b">
        <f t="shared" si="3"/>
        <v>0</v>
      </c>
    </row>
    <row r="513" ht="22.5" customHeight="1">
      <c r="A513" s="12">
        <f t="shared" si="4"/>
        <v>4111</v>
      </c>
      <c r="B513" s="6" t="s">
        <v>12294</v>
      </c>
      <c r="C513" s="7" t="str">
        <f t="shared" si="6"/>
        <v>🔊</v>
      </c>
      <c r="D513" s="8" t="s">
        <v>12295</v>
      </c>
      <c r="E513" s="6" t="s">
        <v>27</v>
      </c>
      <c r="F513" s="12" t="str">
        <f>IFERROR(__xludf.DUMMYFUNCTION("GOOGLETRANSLATE(B513,""zh_cn"",""vi"")"),"chất rắn")</f>
        <v>chất rắn</v>
      </c>
      <c r="G513" s="12"/>
      <c r="H513" s="6"/>
      <c r="I513" s="11" t="b">
        <f t="shared" si="2"/>
        <v>0</v>
      </c>
      <c r="J513" s="24"/>
      <c r="K513" s="11" t="b">
        <f t="shared" si="3"/>
        <v>0</v>
      </c>
    </row>
    <row r="514" ht="22.5" customHeight="1">
      <c r="A514" s="12">
        <f t="shared" si="4"/>
        <v>4112</v>
      </c>
      <c r="B514" s="6" t="s">
        <v>12296</v>
      </c>
      <c r="C514" s="7" t="str">
        <f t="shared" si="6"/>
        <v>🔊</v>
      </c>
      <c r="D514" s="8" t="s">
        <v>12297</v>
      </c>
      <c r="E514" s="6" t="s">
        <v>27</v>
      </c>
      <c r="F514" s="12" t="str">
        <f>IFERROR(__xludf.DUMMYFUNCTION("GOOGLETRANSLATE(B514,""zh_cn"",""vi"")"),"xương")</f>
        <v>xương</v>
      </c>
      <c r="G514" s="12"/>
      <c r="H514" s="6"/>
      <c r="I514" s="11" t="b">
        <f t="shared" si="2"/>
        <v>0</v>
      </c>
      <c r="J514" s="24"/>
      <c r="K514" s="11" t="b">
        <f t="shared" si="3"/>
        <v>0</v>
      </c>
    </row>
    <row r="515" ht="22.5" customHeight="1">
      <c r="A515" s="12">
        <f t="shared" si="4"/>
        <v>4113</v>
      </c>
      <c r="B515" s="6" t="s">
        <v>12298</v>
      </c>
      <c r="C515" s="7" t="str">
        <f t="shared" si="6"/>
        <v>🔊</v>
      </c>
      <c r="D515" s="8" t="s">
        <v>12299</v>
      </c>
      <c r="E515" s="6" t="s">
        <v>27</v>
      </c>
      <c r="F515" s="12" t="str">
        <f>IFERROR(__xludf.DUMMYFUNCTION("GOOGLETRANSLATE(B515,""zh_cn"",""vi"")"),"tư vấn")</f>
        <v>tư vấn</v>
      </c>
      <c r="G515" s="12"/>
      <c r="H515" s="6"/>
      <c r="I515" s="11" t="b">
        <f t="shared" si="2"/>
        <v>0</v>
      </c>
      <c r="J515" s="24"/>
      <c r="K515" s="11" t="b">
        <f t="shared" si="3"/>
        <v>0</v>
      </c>
    </row>
    <row r="516" ht="22.5" customHeight="1">
      <c r="A516" s="12">
        <f t="shared" si="4"/>
        <v>4114</v>
      </c>
      <c r="B516" s="6" t="s">
        <v>12300</v>
      </c>
      <c r="C516" s="7" t="str">
        <f t="shared" si="6"/>
        <v>🔊</v>
      </c>
      <c r="D516" s="8" t="s">
        <v>12301</v>
      </c>
      <c r="E516" s="6" t="s">
        <v>368</v>
      </c>
      <c r="F516" s="12" t="str">
        <f>IFERROR(__xludf.DUMMYFUNCTION("GOOGLETRANSLATE(B516,""zh_cn"",""vi"")"),"Sự khích lệ")</f>
        <v>Sự khích lệ</v>
      </c>
      <c r="G516" s="12"/>
      <c r="H516" s="6"/>
      <c r="I516" s="11" t="b">
        <f t="shared" si="2"/>
        <v>0</v>
      </c>
      <c r="J516" s="24"/>
      <c r="K516" s="11" t="b">
        <f t="shared" si="3"/>
        <v>0</v>
      </c>
    </row>
    <row r="517" ht="22.5" customHeight="1">
      <c r="A517" s="12">
        <f t="shared" si="4"/>
        <v>4115</v>
      </c>
      <c r="B517" s="6" t="s">
        <v>12302</v>
      </c>
      <c r="C517" s="7" t="str">
        <f t="shared" si="6"/>
        <v>🔊</v>
      </c>
      <c r="D517" s="8" t="s">
        <v>12303</v>
      </c>
      <c r="E517" s="6" t="s">
        <v>27</v>
      </c>
      <c r="F517" s="12" t="str">
        <f>IFERROR(__xludf.DUMMYFUNCTION("GOOGLETRANSLATE(B517,""zh_cn"",""vi"")"),"Lỗi")</f>
        <v>Lỗi</v>
      </c>
      <c r="G517" s="12"/>
      <c r="H517" s="6"/>
      <c r="I517" s="11" t="b">
        <f t="shared" si="2"/>
        <v>0</v>
      </c>
      <c r="J517" s="24"/>
      <c r="K517" s="11" t="b">
        <f t="shared" si="3"/>
        <v>0</v>
      </c>
    </row>
    <row r="518" ht="22.5" customHeight="1">
      <c r="A518" s="12">
        <f t="shared" si="4"/>
        <v>4116</v>
      </c>
      <c r="B518" s="6" t="s">
        <v>12304</v>
      </c>
      <c r="C518" s="7" t="str">
        <f t="shared" si="6"/>
        <v>🔊</v>
      </c>
      <c r="D518" s="8" t="s">
        <v>12305</v>
      </c>
      <c r="E518" s="6" t="s">
        <v>57</v>
      </c>
      <c r="F518" s="12" t="str">
        <f>IFERROR(__xludf.DUMMYFUNCTION("GOOGLETRANSLATE(B518,""zh_cn"",""vi"")"),"Có hại")</f>
        <v>Có hại</v>
      </c>
      <c r="G518" s="12"/>
      <c r="H518" s="6"/>
      <c r="I518" s="11" t="b">
        <f t="shared" si="2"/>
        <v>0</v>
      </c>
      <c r="J518" s="24"/>
      <c r="K518" s="11" t="b">
        <f t="shared" si="3"/>
        <v>0</v>
      </c>
    </row>
    <row r="519" ht="22.5" customHeight="1">
      <c r="A519" s="12">
        <f t="shared" si="4"/>
        <v>4117</v>
      </c>
      <c r="B519" s="6" t="s">
        <v>12306</v>
      </c>
      <c r="C519" s="7" t="str">
        <f t="shared" si="6"/>
        <v>🔊</v>
      </c>
      <c r="D519" s="8" t="s">
        <v>12307</v>
      </c>
      <c r="E519" s="14"/>
      <c r="F519" s="12" t="str">
        <f>IFERROR(__xludf.DUMMYFUNCTION("GOOGLETRANSLATE(B519,""zh_cn"",""vi"")"),"Trong nước và quốc tế")</f>
        <v>Trong nước và quốc tế</v>
      </c>
      <c r="G519" s="12"/>
      <c r="H519" s="6"/>
      <c r="I519" s="11" t="b">
        <f t="shared" si="2"/>
        <v>0</v>
      </c>
      <c r="J519" s="24"/>
      <c r="K519" s="11" t="b">
        <f t="shared" si="3"/>
        <v>0</v>
      </c>
    </row>
    <row r="520" ht="22.5" customHeight="1">
      <c r="A520" s="12">
        <f t="shared" si="4"/>
        <v>4118</v>
      </c>
      <c r="B520" s="6" t="s">
        <v>12308</v>
      </c>
      <c r="C520" s="7" t="str">
        <f t="shared" si="6"/>
        <v>🔊</v>
      </c>
      <c r="D520" s="8" t="s">
        <v>12309</v>
      </c>
      <c r="E520" s="6" t="s">
        <v>27</v>
      </c>
      <c r="F520" s="12" t="str">
        <f>IFERROR(__xludf.DUMMYFUNCTION("GOOGLETRANSLATE(B520,""zh_cn"",""vi"")"),"ven biển")</f>
        <v>ven biển</v>
      </c>
      <c r="G520" s="12"/>
      <c r="H520" s="6"/>
      <c r="I520" s="11" t="b">
        <f t="shared" si="2"/>
        <v>0</v>
      </c>
      <c r="J520" s="24"/>
      <c r="K520" s="11" t="b">
        <f t="shared" si="3"/>
        <v>0</v>
      </c>
    </row>
    <row r="521" ht="22.5" customHeight="1">
      <c r="A521" s="12">
        <f t="shared" si="4"/>
        <v>4119</v>
      </c>
      <c r="B521" s="6" t="s">
        <v>12310</v>
      </c>
      <c r="C521" s="7" t="str">
        <f t="shared" si="6"/>
        <v>🔊</v>
      </c>
      <c r="D521" s="8" t="s">
        <v>12311</v>
      </c>
      <c r="E521" s="6" t="s">
        <v>27</v>
      </c>
      <c r="F521" s="12" t="str">
        <f>IFERROR(__xludf.DUMMYFUNCTION("GOOGLETRANSLATE(B521,""zh_cn"",""vi"")"),"độ cao")</f>
        <v>độ cao</v>
      </c>
      <c r="G521" s="12"/>
      <c r="H521" s="6"/>
      <c r="I521" s="11" t="b">
        <f t="shared" si="2"/>
        <v>0</v>
      </c>
      <c r="J521" s="24"/>
      <c r="K521" s="11" t="b">
        <f t="shared" si="3"/>
        <v>0</v>
      </c>
    </row>
    <row r="522" ht="22.5" customHeight="1">
      <c r="A522" s="12">
        <f t="shared" si="4"/>
        <v>4120</v>
      </c>
      <c r="B522" s="6" t="s">
        <v>12312</v>
      </c>
      <c r="C522" s="7" t="str">
        <f t="shared" si="6"/>
        <v>🔊</v>
      </c>
      <c r="D522" s="8" t="s">
        <v>12313</v>
      </c>
      <c r="E522" s="6" t="s">
        <v>27</v>
      </c>
      <c r="F522" s="12" t="str">
        <f>IFERROR(__xludf.DUMMYFUNCTION("GOOGLETRANSLATE(B522,""zh_cn"",""vi"")"),"bề mặt biển")</f>
        <v>bề mặt biển</v>
      </c>
      <c r="G522" s="12"/>
      <c r="H522" s="6"/>
      <c r="I522" s="11" t="b">
        <f t="shared" si="2"/>
        <v>0</v>
      </c>
      <c r="J522" s="24"/>
      <c r="K522" s="11" t="b">
        <f t="shared" si="3"/>
        <v>0</v>
      </c>
    </row>
    <row r="523" ht="22.5" customHeight="1">
      <c r="A523" s="12">
        <f t="shared" si="4"/>
        <v>4121</v>
      </c>
      <c r="B523" s="6" t="s">
        <v>12314</v>
      </c>
      <c r="C523" s="7" t="str">
        <f t="shared" si="6"/>
        <v>🔊</v>
      </c>
      <c r="D523" s="8" t="s">
        <v>12315</v>
      </c>
      <c r="E523" s="6" t="s">
        <v>27</v>
      </c>
      <c r="F523" s="12" t="str">
        <f>IFERROR(__xludf.DUMMYFUNCTION("GOOGLETRANSLATE(B523,""zh_cn"",""vi"")"),"Khu vực biển")</f>
        <v>Khu vực biển</v>
      </c>
      <c r="G523" s="12"/>
      <c r="H523" s="6"/>
      <c r="I523" s="11" t="b">
        <f t="shared" si="2"/>
        <v>0</v>
      </c>
      <c r="J523" s="24"/>
      <c r="K523" s="11" t="b">
        <f t="shared" si="3"/>
        <v>0</v>
      </c>
    </row>
    <row r="524" ht="22.5" customHeight="1">
      <c r="A524" s="12">
        <f t="shared" si="4"/>
        <v>4122</v>
      </c>
      <c r="B524" s="6" t="s">
        <v>12316</v>
      </c>
      <c r="C524" s="7" t="str">
        <f t="shared" si="6"/>
        <v>🔊</v>
      </c>
      <c r="D524" s="8" t="s">
        <v>12317</v>
      </c>
      <c r="E524" s="6" t="s">
        <v>27</v>
      </c>
      <c r="F524" s="12" t="str">
        <f>IFERROR(__xludf.DUMMYFUNCTION("GOOGLETRANSLATE(B524,""zh_cn"",""vi"")"),"mùa đông lạnh giá")</f>
        <v>mùa đông lạnh giá</v>
      </c>
      <c r="G524" s="12"/>
      <c r="H524" s="6"/>
      <c r="I524" s="11" t="b">
        <f t="shared" si="2"/>
        <v>0</v>
      </c>
      <c r="J524" s="24"/>
      <c r="K524" s="11" t="b">
        <f t="shared" si="3"/>
        <v>0</v>
      </c>
    </row>
    <row r="525" ht="22.5" customHeight="1">
      <c r="A525" s="12">
        <f t="shared" si="4"/>
        <v>4123</v>
      </c>
      <c r="B525" s="6" t="s">
        <v>12318</v>
      </c>
      <c r="C525" s="7" t="str">
        <f t="shared" si="6"/>
        <v>🔊</v>
      </c>
      <c r="D525" s="8" t="s">
        <v>12319</v>
      </c>
      <c r="E525" s="6" t="s">
        <v>13</v>
      </c>
      <c r="F525" s="12" t="str">
        <f>IFERROR(__xludf.DUMMYFUNCTION("GOOGLETRANSLATE(B525,""zh_cn"",""vi"")"),"hàng không")</f>
        <v>hàng không</v>
      </c>
      <c r="G525" s="12"/>
      <c r="H525" s="6"/>
      <c r="I525" s="11" t="b">
        <f t="shared" si="2"/>
        <v>0</v>
      </c>
      <c r="J525" s="24"/>
      <c r="K525" s="11" t="b">
        <f t="shared" si="3"/>
        <v>0</v>
      </c>
    </row>
    <row r="526" ht="22.5" customHeight="1">
      <c r="A526" s="12">
        <f t="shared" si="4"/>
        <v>4124</v>
      </c>
      <c r="B526" s="6" t="s">
        <v>12320</v>
      </c>
      <c r="C526" s="7" t="str">
        <f t="shared" si="6"/>
        <v>🔊</v>
      </c>
      <c r="D526" s="8" t="s">
        <v>12321</v>
      </c>
      <c r="E526" s="6" t="s">
        <v>99</v>
      </c>
      <c r="F526" s="12" t="str">
        <f>IFERROR(__xludf.DUMMYFUNCTION("GOOGLETRANSLATE(B526,""zh_cn"",""vi"")"),"hiếm")</f>
        <v>hiếm</v>
      </c>
      <c r="G526" s="12"/>
      <c r="H526" s="6"/>
      <c r="I526" s="11" t="b">
        <f t="shared" si="2"/>
        <v>0</v>
      </c>
      <c r="J526" s="24"/>
      <c r="K526" s="11" t="b">
        <f t="shared" si="3"/>
        <v>0</v>
      </c>
    </row>
    <row r="527" ht="22.5" customHeight="1">
      <c r="A527" s="12">
        <f t="shared" si="4"/>
        <v>4125</v>
      </c>
      <c r="B527" s="6" t="s">
        <v>12322</v>
      </c>
      <c r="C527" s="7" t="str">
        <f t="shared" si="6"/>
        <v>🔊</v>
      </c>
      <c r="D527" s="8" t="s">
        <v>12323</v>
      </c>
      <c r="E527" s="6" t="s">
        <v>27</v>
      </c>
      <c r="F527" s="12" t="str">
        <f>IFERROR(__xludf.DUMMYFUNCTION("GOOGLETRANSLATE(B527,""zh_cn"",""vi"")"),"nghĩa")</f>
        <v>nghĩa</v>
      </c>
      <c r="G527" s="12"/>
      <c r="H527" s="6"/>
      <c r="I527" s="11" t="b">
        <f t="shared" si="2"/>
        <v>0</v>
      </c>
      <c r="J527" s="24"/>
      <c r="K527" s="11" t="b">
        <f t="shared" si="3"/>
        <v>0</v>
      </c>
    </row>
    <row r="528" ht="22.5" customHeight="1">
      <c r="A528" s="12">
        <f t="shared" si="4"/>
        <v>4126</v>
      </c>
      <c r="B528" s="6" t="s">
        <v>12324</v>
      </c>
      <c r="C528" s="7" t="str">
        <f t="shared" si="6"/>
        <v>🔊</v>
      </c>
      <c r="D528" s="8" t="s">
        <v>12325</v>
      </c>
      <c r="E528" s="6" t="s">
        <v>27</v>
      </c>
      <c r="F528" s="12" t="str">
        <f>IFERROR(__xludf.DUMMYFUNCTION("GOOGLETRANSLATE(B528,""zh_cn"",""vi"")"),"hạn hán")</f>
        <v>hạn hán</v>
      </c>
      <c r="G528" s="12"/>
      <c r="H528" s="6"/>
      <c r="I528" s="11" t="b">
        <f t="shared" si="2"/>
        <v>0</v>
      </c>
      <c r="J528" s="24"/>
      <c r="K528" s="11" t="b">
        <f t="shared" si="3"/>
        <v>0</v>
      </c>
    </row>
    <row r="529" ht="22.5" customHeight="1">
      <c r="A529" s="12">
        <f t="shared" si="4"/>
        <v>4127</v>
      </c>
      <c r="B529" s="6" t="s">
        <v>12326</v>
      </c>
      <c r="C529" s="7" t="str">
        <f t="shared" si="6"/>
        <v>🔊</v>
      </c>
      <c r="D529" s="8" t="s">
        <v>12327</v>
      </c>
      <c r="E529" s="14"/>
      <c r="F529" s="12" t="str">
        <f>IFERROR(__xludf.DUMMYFUNCTION("GOOGLETRANSLATE(B529,""zh_cn"",""vi"")"),"Tuyệt đối")</f>
        <v>Tuyệt đối</v>
      </c>
      <c r="G529" s="12"/>
      <c r="H529" s="6"/>
      <c r="I529" s="11" t="b">
        <f t="shared" si="2"/>
        <v>0</v>
      </c>
      <c r="J529" s="24"/>
      <c r="K529" s="11" t="b">
        <f t="shared" si="3"/>
        <v>0</v>
      </c>
    </row>
    <row r="530" ht="22.5" customHeight="1">
      <c r="A530" s="12">
        <f t="shared" si="4"/>
        <v>4128</v>
      </c>
      <c r="B530" s="6" t="s">
        <v>12328</v>
      </c>
      <c r="C530" s="7" t="str">
        <f t="shared" si="6"/>
        <v>🔊</v>
      </c>
      <c r="D530" s="8" t="s">
        <v>12329</v>
      </c>
      <c r="E530" s="14"/>
      <c r="F530" s="12" t="str">
        <f>IFERROR(__xludf.DUMMYFUNCTION("GOOGLETRANSLATE(B530,""zh_cn"",""vi"")"),"KHÔNG")</f>
        <v>KHÔNG</v>
      </c>
      <c r="G530" s="12"/>
      <c r="H530" s="6"/>
      <c r="I530" s="11" t="b">
        <f t="shared" si="2"/>
        <v>0</v>
      </c>
      <c r="J530" s="24"/>
      <c r="K530" s="11" t="b">
        <f t="shared" si="3"/>
        <v>0</v>
      </c>
    </row>
    <row r="531" ht="22.5" customHeight="1">
      <c r="A531" s="12">
        <f t="shared" si="4"/>
        <v>4129</v>
      </c>
      <c r="B531" s="6" t="s">
        <v>12330</v>
      </c>
      <c r="C531" s="7" t="str">
        <f t="shared" si="6"/>
        <v>🔊</v>
      </c>
      <c r="D531" s="8" t="s">
        <v>12331</v>
      </c>
      <c r="E531" s="6" t="s">
        <v>61</v>
      </c>
      <c r="F531" s="12" t="str">
        <f>IFERROR(__xludf.DUMMYFUNCTION("GOOGLETRANSLATE(B531,""zh_cn"",""vi"")"),"Được rồi?")</f>
        <v>Được rồi?</v>
      </c>
      <c r="G531" s="12"/>
      <c r="H531" s="6"/>
      <c r="I531" s="11" t="b">
        <f t="shared" si="2"/>
        <v>0</v>
      </c>
      <c r="J531" s="24"/>
      <c r="K531" s="11" t="b">
        <f t="shared" si="3"/>
        <v>0</v>
      </c>
    </row>
    <row r="532" ht="22.5" customHeight="1">
      <c r="A532" s="12">
        <f t="shared" si="4"/>
        <v>4130</v>
      </c>
      <c r="B532" s="6" t="s">
        <v>12332</v>
      </c>
      <c r="C532" s="7" t="str">
        <f t="shared" si="6"/>
        <v>🔊</v>
      </c>
      <c r="D532" s="8" t="s">
        <v>12333</v>
      </c>
      <c r="E532" s="6" t="s">
        <v>27</v>
      </c>
      <c r="F532" s="12" t="str">
        <f>IFERROR(__xludf.DUMMYFUNCTION("GOOGLETRANSLATE(B532,""zh_cn"",""vi"")"),"Thiện chí")</f>
        <v>Thiện chí</v>
      </c>
      <c r="G532" s="12"/>
      <c r="H532" s="6"/>
      <c r="I532" s="11" t="b">
        <f t="shared" si="2"/>
        <v>0</v>
      </c>
      <c r="J532" s="24"/>
      <c r="K532" s="11" t="b">
        <f t="shared" si="3"/>
        <v>0</v>
      </c>
    </row>
    <row r="533" ht="22.5" customHeight="1">
      <c r="A533" s="12">
        <f t="shared" si="4"/>
        <v>4131</v>
      </c>
      <c r="B533" s="6" t="s">
        <v>12334</v>
      </c>
      <c r="C533" s="7" t="str">
        <f t="shared" si="6"/>
        <v>🔊</v>
      </c>
      <c r="D533" s="8" t="s">
        <v>12335</v>
      </c>
      <c r="E533" s="6" t="s">
        <v>99</v>
      </c>
      <c r="F533" s="12" t="str">
        <f>IFERROR(__xludf.DUMMYFUNCTION("GOOGLETRANSLATE(B533,""zh_cn"",""vi"")"),"hiếu khách")</f>
        <v>hiếu khách</v>
      </c>
      <c r="G533" s="12"/>
      <c r="H533" s="6"/>
      <c r="I533" s="11" t="b">
        <f t="shared" si="2"/>
        <v>0</v>
      </c>
      <c r="J533" s="24"/>
      <c r="K533" s="11" t="b">
        <f t="shared" si="3"/>
        <v>0</v>
      </c>
    </row>
    <row r="534" ht="22.5" customHeight="1">
      <c r="A534" s="12">
        <f t="shared" si="4"/>
        <v>4132</v>
      </c>
      <c r="B534" s="6" t="s">
        <v>12336</v>
      </c>
      <c r="C534" s="7" t="str">
        <f t="shared" si="6"/>
        <v>🔊</v>
      </c>
      <c r="D534" s="8" t="s">
        <v>12337</v>
      </c>
      <c r="E534" s="6" t="s">
        <v>47</v>
      </c>
      <c r="F534" s="12" t="str">
        <f>IFERROR(__xludf.DUMMYFUNCTION("GOOGLETRANSLATE(B534,""zh_cn"",""vi"")"),"milimét")</f>
        <v>milimét</v>
      </c>
      <c r="G534" s="12"/>
      <c r="H534" s="6"/>
      <c r="I534" s="11" t="b">
        <f t="shared" si="2"/>
        <v>0</v>
      </c>
      <c r="J534" s="24"/>
      <c r="K534" s="11" t="b">
        <f t="shared" si="3"/>
        <v>0</v>
      </c>
    </row>
    <row r="535" ht="22.5" customHeight="1">
      <c r="A535" s="12">
        <f t="shared" si="4"/>
        <v>4133</v>
      </c>
      <c r="B535" s="6" t="s">
        <v>12338</v>
      </c>
      <c r="C535" s="7" t="str">
        <f t="shared" si="6"/>
        <v>🔊</v>
      </c>
      <c r="D535" s="8" t="s">
        <v>12339</v>
      </c>
      <c r="E535" s="6" t="s">
        <v>99</v>
      </c>
      <c r="F535" s="12" t="str">
        <f>IFERROR(__xludf.DUMMYFUNCTION("GOOGLETRANSLATE(B535,""zh_cn"",""vi"")"),"với rất nhiều khó khăn")</f>
        <v>với rất nhiều khó khăn</v>
      </c>
      <c r="G535" s="12"/>
      <c r="H535" s="6"/>
      <c r="I535" s="11" t="b">
        <f t="shared" si="2"/>
        <v>0</v>
      </c>
      <c r="J535" s="24"/>
      <c r="K535" s="11" t="b">
        <f t="shared" si="3"/>
        <v>0</v>
      </c>
    </row>
    <row r="536" ht="22.5" customHeight="1">
      <c r="A536" s="12">
        <f t="shared" si="4"/>
        <v>4134</v>
      </c>
      <c r="B536" s="6" t="s">
        <v>12340</v>
      </c>
      <c r="C536" s="7" t="str">
        <f t="shared" si="6"/>
        <v>🔊</v>
      </c>
      <c r="D536" s="8" t="s">
        <v>12341</v>
      </c>
      <c r="E536" s="6" t="s">
        <v>47</v>
      </c>
      <c r="F536" s="12" t="str">
        <f>IFERROR(__xludf.DUMMYFUNCTION("GOOGLETRANSLATE(B536,""zh_cn"",""vi"")"),"mililit")</f>
        <v>mililit</v>
      </c>
      <c r="G536" s="12"/>
      <c r="H536" s="6"/>
      <c r="I536" s="11" t="b">
        <f t="shared" si="2"/>
        <v>0</v>
      </c>
      <c r="J536" s="24"/>
      <c r="K536" s="11" t="b">
        <f t="shared" si="3"/>
        <v>0</v>
      </c>
    </row>
    <row r="537" ht="22.5" customHeight="1">
      <c r="A537" s="12">
        <f t="shared" si="4"/>
        <v>4135</v>
      </c>
      <c r="B537" s="6" t="s">
        <v>12342</v>
      </c>
      <c r="C537" s="7" t="str">
        <f t="shared" si="6"/>
        <v>🔊</v>
      </c>
      <c r="D537" s="8" t="s">
        <v>12343</v>
      </c>
      <c r="E537" s="6" t="s">
        <v>13</v>
      </c>
      <c r="F537" s="12" t="str">
        <f>IFERROR(__xludf.DUMMYFUNCTION("GOOGLETRANSLATE(B537,""zh_cn"",""vi"")"),"Ham học hỏi")</f>
        <v>Ham học hỏi</v>
      </c>
      <c r="G537" s="12"/>
      <c r="H537" s="6"/>
      <c r="I537" s="11" t="b">
        <f t="shared" si="2"/>
        <v>0</v>
      </c>
      <c r="J537" s="24"/>
      <c r="K537" s="11" t="b">
        <f t="shared" si="3"/>
        <v>0</v>
      </c>
    </row>
    <row r="538" ht="22.5" customHeight="1">
      <c r="A538" s="12">
        <f t="shared" si="4"/>
        <v>4136</v>
      </c>
      <c r="B538" s="6" t="s">
        <v>12344</v>
      </c>
      <c r="C538" s="7" t="str">
        <f t="shared" si="6"/>
        <v>🔊</v>
      </c>
      <c r="D538" s="8" t="s">
        <v>12345</v>
      </c>
      <c r="E538" s="6" t="s">
        <v>13</v>
      </c>
      <c r="F538" s="12" t="str">
        <f>IFERROR(__xludf.DUMMYFUNCTION("GOOGLETRANSLATE(B538,""zh_cn"",""vi"")"),"Lời kêu gọi hành động")</f>
        <v>Lời kêu gọi hành động</v>
      </c>
      <c r="G538" s="12"/>
      <c r="H538" s="6"/>
      <c r="I538" s="11" t="b">
        <f t="shared" si="2"/>
        <v>0</v>
      </c>
      <c r="J538" s="24"/>
      <c r="K538" s="11" t="b">
        <f t="shared" si="3"/>
        <v>0</v>
      </c>
    </row>
    <row r="539" ht="22.5" customHeight="1">
      <c r="A539" s="12">
        <f t="shared" si="4"/>
        <v>4137</v>
      </c>
      <c r="B539" s="6" t="s">
        <v>12346</v>
      </c>
      <c r="C539" s="7" t="str">
        <f t="shared" si="6"/>
        <v>🔊</v>
      </c>
      <c r="D539" s="8" t="s">
        <v>12347</v>
      </c>
      <c r="E539" s="6" t="s">
        <v>13</v>
      </c>
      <c r="F539" s="12" t="str">
        <f>IFERROR(__xludf.DUMMYFUNCTION("GOOGLETRANSLATE(B539,""zh_cn"",""vi"")"),"hợp nhất")</f>
        <v>hợp nhất</v>
      </c>
      <c r="G539" s="12"/>
      <c r="H539" s="6"/>
      <c r="I539" s="11" t="b">
        <f t="shared" si="2"/>
        <v>0</v>
      </c>
      <c r="J539" s="24"/>
      <c r="K539" s="11" t="b">
        <f t="shared" si="3"/>
        <v>0</v>
      </c>
    </row>
    <row r="540" ht="22.5" customHeight="1">
      <c r="A540" s="12">
        <f t="shared" si="4"/>
        <v>4138</v>
      </c>
      <c r="B540" s="6" t="s">
        <v>12348</v>
      </c>
      <c r="C540" s="7" t="str">
        <f t="shared" si="6"/>
        <v>🔊</v>
      </c>
      <c r="D540" s="8" t="s">
        <v>12349</v>
      </c>
      <c r="E540" s="6" t="s">
        <v>13</v>
      </c>
      <c r="F540" s="12" t="str">
        <f>IFERROR(__xludf.DUMMYFUNCTION("GOOGLETRANSLATE(B540,""zh_cn"",""vi"")"),"tổng hợp")</f>
        <v>tổng hợp</v>
      </c>
      <c r="G540" s="12"/>
      <c r="H540" s="6"/>
      <c r="I540" s="11" t="b">
        <f t="shared" si="2"/>
        <v>0</v>
      </c>
      <c r="J540" s="24"/>
      <c r="K540" s="11" t="b">
        <f t="shared" si="3"/>
        <v>0</v>
      </c>
    </row>
    <row r="541" ht="22.5" customHeight="1">
      <c r="A541" s="12">
        <f t="shared" si="4"/>
        <v>4139</v>
      </c>
      <c r="B541" s="6" t="s">
        <v>12350</v>
      </c>
      <c r="C541" s="7" t="str">
        <f t="shared" si="6"/>
        <v>🔊</v>
      </c>
      <c r="D541" s="8" t="s">
        <v>8034</v>
      </c>
      <c r="E541" s="6" t="s">
        <v>747</v>
      </c>
      <c r="F541" s="12" t="str">
        <f>IFERROR(__xludf.DUMMYFUNCTION("GOOGLETRANSLATE(B541,""zh_cn"",""vi"")"),"Chào")</f>
        <v>Chào</v>
      </c>
      <c r="G541" s="12"/>
      <c r="H541" s="6"/>
      <c r="I541" s="11" t="b">
        <f t="shared" si="2"/>
        <v>0</v>
      </c>
      <c r="J541" s="24"/>
      <c r="K541" s="11" t="b">
        <f t="shared" si="3"/>
        <v>0</v>
      </c>
    </row>
    <row r="542" ht="22.5" customHeight="1">
      <c r="A542" s="12">
        <f t="shared" si="4"/>
        <v>4140</v>
      </c>
      <c r="B542" s="6" t="s">
        <v>12351</v>
      </c>
      <c r="C542" s="7" t="str">
        <f t="shared" si="6"/>
        <v>🔊</v>
      </c>
      <c r="D542" s="8" t="s">
        <v>12352</v>
      </c>
      <c r="E542" s="6" t="s">
        <v>99</v>
      </c>
      <c r="F542" s="12" t="str">
        <f>IFERROR(__xludf.DUMMYFUNCTION("GOOGLETRANSLATE(B542,""zh_cn"",""vi"")"),"tối tăm")</f>
        <v>tối tăm</v>
      </c>
      <c r="G542" s="12"/>
      <c r="H542" s="6"/>
      <c r="I542" s="11" t="b">
        <f t="shared" si="2"/>
        <v>0</v>
      </c>
      <c r="J542" s="24"/>
      <c r="K542" s="11" t="b">
        <f t="shared" si="3"/>
        <v>0</v>
      </c>
    </row>
    <row r="543" ht="22.5" customHeight="1">
      <c r="A543" s="12">
        <f t="shared" si="4"/>
        <v>4141</v>
      </c>
      <c r="B543" s="6" t="s">
        <v>12353</v>
      </c>
      <c r="C543" s="7" t="str">
        <f t="shared" si="6"/>
        <v>🔊</v>
      </c>
      <c r="D543" s="8" t="s">
        <v>12354</v>
      </c>
      <c r="E543" s="6" t="s">
        <v>13</v>
      </c>
      <c r="F543" s="12" t="str">
        <f>IFERROR(__xludf.DUMMYFUNCTION("GOOGLETRANSLATE(B543,""zh_cn"",""vi"")"),"sự thù hận")</f>
        <v>sự thù hận</v>
      </c>
      <c r="G543" s="12"/>
      <c r="H543" s="6"/>
      <c r="I543" s="11" t="b">
        <f t="shared" si="2"/>
        <v>0</v>
      </c>
      <c r="J543" s="24"/>
      <c r="K543" s="11" t="b">
        <f t="shared" si="3"/>
        <v>0</v>
      </c>
    </row>
    <row r="544" ht="22.5" customHeight="1">
      <c r="A544" s="12">
        <f t="shared" si="4"/>
        <v>4142</v>
      </c>
      <c r="B544" s="6" t="s">
        <v>12355</v>
      </c>
      <c r="C544" s="7" t="str">
        <f t="shared" si="6"/>
        <v>🔊</v>
      </c>
      <c r="D544" s="8" t="s">
        <v>287</v>
      </c>
      <c r="E544" s="6" t="s">
        <v>7582</v>
      </c>
      <c r="F544" s="12" t="str">
        <f>IFERROR(__xludf.DUMMYFUNCTION("GOOGLETRANSLATE(B544,""zh_cn"",""vi"")"),"tàn nhẫn")</f>
        <v>tàn nhẫn</v>
      </c>
      <c r="G544" s="12"/>
      <c r="H544" s="6"/>
      <c r="I544" s="11" t="b">
        <f t="shared" si="2"/>
        <v>0</v>
      </c>
      <c r="J544" s="24"/>
      <c r="K544" s="11" t="b">
        <f t="shared" si="3"/>
        <v>0</v>
      </c>
    </row>
    <row r="545" ht="22.5" customHeight="1">
      <c r="A545" s="12">
        <f t="shared" si="4"/>
        <v>4143</v>
      </c>
      <c r="B545" s="6" t="s">
        <v>12356</v>
      </c>
      <c r="C545" s="7" t="str">
        <f t="shared" si="6"/>
        <v>🔊</v>
      </c>
      <c r="D545" s="8" t="s">
        <v>12357</v>
      </c>
      <c r="E545" s="6" t="s">
        <v>4943</v>
      </c>
      <c r="F545" s="12" t="str">
        <f>IFERROR(__xludf.DUMMYFUNCTION("GOOGLETRANSLATE(B545,""zh_cn"",""vi"")"),"nằm ngang")</f>
        <v>nằm ngang</v>
      </c>
      <c r="G545" s="12"/>
      <c r="H545" s="6"/>
      <c r="I545" s="11" t="b">
        <f t="shared" si="2"/>
        <v>0</v>
      </c>
      <c r="J545" s="24"/>
      <c r="K545" s="11" t="b">
        <f t="shared" si="3"/>
        <v>0</v>
      </c>
    </row>
    <row r="546" ht="22.5" customHeight="1">
      <c r="A546" s="12">
        <f t="shared" si="4"/>
        <v>4144</v>
      </c>
      <c r="B546" s="6" t="s">
        <v>12358</v>
      </c>
      <c r="C546" s="7" t="str">
        <f t="shared" si="6"/>
        <v>🔊</v>
      </c>
      <c r="D546" s="8" t="s">
        <v>12359</v>
      </c>
      <c r="E546" s="6" t="s">
        <v>13</v>
      </c>
      <c r="F546" s="12" t="str">
        <f>IFERROR(__xludf.DUMMYFUNCTION("GOOGLETRANSLATE(B546,""zh_cn"",""vi"")"),"đo lường")</f>
        <v>đo lường</v>
      </c>
      <c r="G546" s="12"/>
      <c r="H546" s="6"/>
      <c r="I546" s="11" t="b">
        <f t="shared" si="2"/>
        <v>0</v>
      </c>
      <c r="J546" s="24"/>
      <c r="K546" s="11" t="b">
        <f t="shared" si="3"/>
        <v>0</v>
      </c>
    </row>
    <row r="547" ht="22.5" customHeight="1">
      <c r="A547" s="12">
        <f t="shared" si="4"/>
        <v>4145</v>
      </c>
      <c r="B547" s="6" t="s">
        <v>12360</v>
      </c>
      <c r="C547" s="7" t="str">
        <f t="shared" si="6"/>
        <v>🔊</v>
      </c>
      <c r="D547" s="8" t="s">
        <v>12361</v>
      </c>
      <c r="E547" s="6" t="s">
        <v>27</v>
      </c>
      <c r="F547" s="12" t="str">
        <f>IFERROR(__xludf.DUMMYFUNCTION("GOOGLETRANSLATE(B547,""zh_cn"",""vi"")"),"dấu vết")</f>
        <v>dấu vết</v>
      </c>
      <c r="G547" s="12"/>
      <c r="H547" s="6"/>
      <c r="I547" s="11" t="b">
        <f t="shared" si="2"/>
        <v>0</v>
      </c>
      <c r="J547" s="24"/>
      <c r="K547" s="11" t="b">
        <f t="shared" si="3"/>
        <v>0</v>
      </c>
    </row>
    <row r="548" ht="22.5" customHeight="1">
      <c r="A548" s="12">
        <f t="shared" si="4"/>
        <v>4146</v>
      </c>
      <c r="B548" s="6" t="s">
        <v>12362</v>
      </c>
      <c r="C548" s="7" t="str">
        <f t="shared" si="6"/>
        <v>🔊</v>
      </c>
      <c r="D548" s="8" t="s">
        <v>12363</v>
      </c>
      <c r="E548" s="6" t="s">
        <v>27</v>
      </c>
      <c r="F548" s="12" t="str">
        <f>IFERROR(__xludf.DUMMYFUNCTION("GOOGLETRANSLATE(B548,""zh_cn"",""vi"")"),"Hòa bình")</f>
        <v>Hòa bình</v>
      </c>
      <c r="G548" s="12"/>
      <c r="H548" s="6"/>
      <c r="I548" s="11" t="b">
        <f t="shared" si="2"/>
        <v>0</v>
      </c>
      <c r="J548" s="24"/>
      <c r="K548" s="11" t="b">
        <f t="shared" si="3"/>
        <v>0</v>
      </c>
    </row>
    <row r="549" ht="22.5" customHeight="1">
      <c r="A549" s="12">
        <f t="shared" si="4"/>
        <v>4147</v>
      </c>
      <c r="B549" s="6" t="s">
        <v>12364</v>
      </c>
      <c r="C549" s="7" t="str">
        <f t="shared" si="6"/>
        <v>🔊</v>
      </c>
      <c r="D549" s="8" t="s">
        <v>12365</v>
      </c>
      <c r="E549" s="6" t="s">
        <v>99</v>
      </c>
      <c r="F549" s="12" t="str">
        <f>IFERROR(__xludf.DUMMYFUNCTION("GOOGLETRANSLATE(B549,""zh_cn"",""vi"")"),"hài hòa")</f>
        <v>hài hòa</v>
      </c>
      <c r="G549" s="12"/>
      <c r="H549" s="6"/>
      <c r="I549" s="11" t="b">
        <f t="shared" si="2"/>
        <v>0</v>
      </c>
      <c r="J549" s="24"/>
      <c r="K549" s="11" t="b">
        <f t="shared" si="3"/>
        <v>0</v>
      </c>
    </row>
    <row r="550" ht="22.5" customHeight="1">
      <c r="A550" s="12">
        <f t="shared" si="4"/>
        <v>4148</v>
      </c>
      <c r="B550" s="6" t="s">
        <v>12366</v>
      </c>
      <c r="C550" s="7" t="str">
        <f t="shared" si="6"/>
        <v>🔊</v>
      </c>
      <c r="D550" s="8" t="s">
        <v>12367</v>
      </c>
      <c r="E550" s="6" t="s">
        <v>27</v>
      </c>
      <c r="F550" s="12" t="str">
        <f>IFERROR(__xludf.DUMMYFUNCTION("GOOGLETRANSLATE(B550,""zh_cn"",""vi"")"),"cốt lõi")</f>
        <v>cốt lõi</v>
      </c>
      <c r="G550" s="12"/>
      <c r="H550" s="6"/>
      <c r="I550" s="11" t="b">
        <f t="shared" si="2"/>
        <v>0</v>
      </c>
      <c r="J550" s="24"/>
      <c r="K550" s="11" t="b">
        <f t="shared" si="3"/>
        <v>0</v>
      </c>
    </row>
    <row r="551" ht="22.5" customHeight="1">
      <c r="A551" s="12">
        <f t="shared" si="4"/>
        <v>4149</v>
      </c>
      <c r="B551" s="6" t="s">
        <v>12368</v>
      </c>
      <c r="C551" s="7" t="str">
        <f t="shared" si="6"/>
        <v>🔊</v>
      </c>
      <c r="D551" s="8" t="s">
        <v>12369</v>
      </c>
      <c r="E551" s="6" t="s">
        <v>99</v>
      </c>
      <c r="F551" s="12" t="str">
        <f>IFERROR(__xludf.DUMMYFUNCTION("GOOGLETRANSLATE(B551,""zh_cn"",""vi"")"),"lớn")</f>
        <v>lớn</v>
      </c>
      <c r="G551" s="12"/>
      <c r="H551" s="6"/>
      <c r="I551" s="11" t="b">
        <f t="shared" si="2"/>
        <v>0</v>
      </c>
      <c r="J551" s="24"/>
      <c r="K551" s="11" t="b">
        <f t="shared" si="3"/>
        <v>0</v>
      </c>
    </row>
    <row r="552" ht="22.5" customHeight="1">
      <c r="A552" s="12">
        <f t="shared" si="4"/>
        <v>4150</v>
      </c>
      <c r="B552" s="6" t="s">
        <v>12370</v>
      </c>
      <c r="C552" s="7" t="str">
        <f t="shared" si="6"/>
        <v>🔊</v>
      </c>
      <c r="D552" s="8" t="s">
        <v>12371</v>
      </c>
      <c r="E552" s="6" t="s">
        <v>27</v>
      </c>
      <c r="F552" s="12" t="str">
        <f>IFERROR(__xludf.DUMMYFUNCTION("GOOGLETRANSLATE(B552,""zh_cn"",""vi"")"),"lụt")</f>
        <v>lụt</v>
      </c>
      <c r="G552" s="12"/>
      <c r="H552" s="6"/>
      <c r="I552" s="11" t="b">
        <f t="shared" si="2"/>
        <v>0</v>
      </c>
      <c r="J552" s="24"/>
      <c r="K552" s="11" t="b">
        <f t="shared" si="3"/>
        <v>0</v>
      </c>
    </row>
    <row r="553" ht="22.5" customHeight="1">
      <c r="A553" s="12">
        <f t="shared" si="4"/>
        <v>4151</v>
      </c>
      <c r="B553" s="6" t="s">
        <v>12372</v>
      </c>
      <c r="C553" s="7" t="str">
        <f t="shared" si="6"/>
        <v>🔊</v>
      </c>
      <c r="D553" s="8" t="s">
        <v>12373</v>
      </c>
      <c r="E553" s="6" t="s">
        <v>27</v>
      </c>
      <c r="F553" s="12" t="str">
        <f>IFERROR(__xludf.DUMMYFUNCTION("GOOGLETRANSLATE(B553,""zh_cn"",""vi"")"),"hậu duệ")</f>
        <v>hậu duệ</v>
      </c>
      <c r="G553" s="12"/>
      <c r="H553" s="6"/>
      <c r="I553" s="11" t="b">
        <f t="shared" si="2"/>
        <v>0</v>
      </c>
      <c r="J553" s="24"/>
      <c r="K553" s="11" t="b">
        <f t="shared" si="3"/>
        <v>0</v>
      </c>
    </row>
    <row r="554" ht="22.5" customHeight="1">
      <c r="A554" s="12">
        <f t="shared" si="4"/>
        <v>4152</v>
      </c>
      <c r="B554" s="6" t="s">
        <v>12374</v>
      </c>
      <c r="C554" s="7" t="str">
        <f t="shared" si="6"/>
        <v>🔊</v>
      </c>
      <c r="D554" s="8" t="s">
        <v>12375</v>
      </c>
      <c r="E554" s="6" t="s">
        <v>27</v>
      </c>
      <c r="F554" s="12" t="str">
        <f>IFERROR(__xludf.DUMMYFUNCTION("GOOGLETRANSLATE(B554,""zh_cn"",""vi"")"),"Sau đó")</f>
        <v>Sau đó</v>
      </c>
      <c r="G554" s="12"/>
      <c r="H554" s="6"/>
      <c r="I554" s="11" t="b">
        <f t="shared" si="2"/>
        <v>0</v>
      </c>
      <c r="J554" s="24"/>
      <c r="K554" s="11" t="b">
        <f t="shared" si="3"/>
        <v>0</v>
      </c>
    </row>
    <row r="555" ht="22.5" customHeight="1">
      <c r="A555" s="12">
        <f t="shared" si="4"/>
        <v>4153</v>
      </c>
      <c r="B555" s="6" t="s">
        <v>12376</v>
      </c>
      <c r="C555" s="7" t="str">
        <f t="shared" si="6"/>
        <v>🔊</v>
      </c>
      <c r="D555" s="8" t="s">
        <v>12377</v>
      </c>
      <c r="E555" s="6" t="s">
        <v>27</v>
      </c>
      <c r="F555" s="12" t="str">
        <f>IFERROR(__xludf.DUMMYFUNCTION("GOOGLETRANSLATE(B555,""zh_cn"",""vi"")"),"hậu duệ")</f>
        <v>hậu duệ</v>
      </c>
      <c r="G555" s="12"/>
      <c r="H555" s="6"/>
      <c r="I555" s="11" t="b">
        <f t="shared" si="2"/>
        <v>0</v>
      </c>
      <c r="J555" s="24"/>
      <c r="K555" s="11" t="b">
        <f t="shared" si="3"/>
        <v>0</v>
      </c>
    </row>
    <row r="556" ht="22.5" customHeight="1">
      <c r="A556" s="12">
        <f t="shared" si="4"/>
        <v>4154</v>
      </c>
      <c r="B556" s="6" t="s">
        <v>12378</v>
      </c>
      <c r="C556" s="7" t="str">
        <f t="shared" si="6"/>
        <v>🔊</v>
      </c>
      <c r="D556" s="8" t="s">
        <v>12379</v>
      </c>
      <c r="E556" s="6" t="s">
        <v>13</v>
      </c>
      <c r="F556" s="12" t="str">
        <f>IFERROR(__xludf.DUMMYFUNCTION("GOOGLETRANSLATE(B556,""zh_cn"",""vi"")"),"Mặt sau")</f>
        <v>Mặt sau</v>
      </c>
      <c r="G556" s="12"/>
      <c r="H556" s="6"/>
      <c r="I556" s="11" t="b">
        <f t="shared" si="2"/>
        <v>0</v>
      </c>
      <c r="J556" s="24"/>
      <c r="K556" s="11" t="b">
        <f t="shared" si="3"/>
        <v>0</v>
      </c>
    </row>
    <row r="557" ht="22.5" customHeight="1">
      <c r="A557" s="12">
        <f t="shared" si="4"/>
        <v>4155</v>
      </c>
      <c r="B557" s="6" t="s">
        <v>12380</v>
      </c>
      <c r="C557" s="7" t="str">
        <f t="shared" si="6"/>
        <v>🔊</v>
      </c>
      <c r="D557" s="8" t="s">
        <v>12381</v>
      </c>
      <c r="E557" s="6" t="s">
        <v>27</v>
      </c>
      <c r="F557" s="12" t="str">
        <f>IFERROR(__xludf.DUMMYFUNCTION("GOOGLETRANSLATE(B557,""zh_cn"",""vi"")"),"cái sau")</f>
        <v>cái sau</v>
      </c>
      <c r="G557" s="12"/>
      <c r="H557" s="6"/>
      <c r="I557" s="11" t="b">
        <f t="shared" si="2"/>
        <v>0</v>
      </c>
      <c r="J557" s="24"/>
      <c r="K557" s="11" t="b">
        <f t="shared" si="3"/>
        <v>0</v>
      </c>
    </row>
    <row r="558" ht="22.5" customHeight="1">
      <c r="A558" s="12">
        <f t="shared" si="4"/>
        <v>4156</v>
      </c>
      <c r="B558" s="6" t="s">
        <v>12382</v>
      </c>
      <c r="C558" s="7" t="str">
        <f t="shared" si="6"/>
        <v>🔊</v>
      </c>
      <c r="D558" s="8" t="s">
        <v>8064</v>
      </c>
      <c r="E558" s="6" t="s">
        <v>27</v>
      </c>
      <c r="F558" s="12" t="str">
        <f>IFERROR(__xludf.DUMMYFUNCTION("GOOGLETRANSLATE(B558,""zh_cn"",""vi"")"),"chậu")</f>
        <v>chậu</v>
      </c>
      <c r="G558" s="12"/>
      <c r="H558" s="6"/>
      <c r="I558" s="11" t="b">
        <f t="shared" si="2"/>
        <v>0</v>
      </c>
      <c r="J558" s="24"/>
      <c r="K558" s="11" t="b">
        <f t="shared" si="3"/>
        <v>0</v>
      </c>
    </row>
    <row r="559" ht="22.5" customHeight="1">
      <c r="A559" s="12">
        <f t="shared" si="4"/>
        <v>4157</v>
      </c>
      <c r="B559" s="6" t="s">
        <v>12383</v>
      </c>
      <c r="C559" s="7" t="str">
        <f t="shared" si="6"/>
        <v>🔊</v>
      </c>
      <c r="D559" s="8" t="s">
        <v>12384</v>
      </c>
      <c r="E559" s="6" t="s">
        <v>47</v>
      </c>
      <c r="F559" s="12" t="str">
        <f>IFERROR(__xludf.DUMMYFUNCTION("GOOGLETRANSLATE(B559,""zh_cn"",""vi"")"),"hộ gia đình ")</f>
        <v>hộ gia đình </v>
      </c>
      <c r="G559" s="12"/>
      <c r="H559" s="6"/>
      <c r="I559" s="11" t="b">
        <f t="shared" si="2"/>
        <v>0</v>
      </c>
      <c r="J559" s="24"/>
      <c r="K559" s="11" t="b">
        <f t="shared" si="3"/>
        <v>0</v>
      </c>
    </row>
    <row r="560" ht="22.5" customHeight="1">
      <c r="A560" s="12">
        <f t="shared" si="4"/>
        <v>4158</v>
      </c>
      <c r="B560" s="6" t="s">
        <v>8069</v>
      </c>
      <c r="C560" s="7" t="str">
        <f t="shared" si="6"/>
        <v>🔊</v>
      </c>
      <c r="D560" s="8" t="s">
        <v>1222</v>
      </c>
      <c r="E560" s="6" t="s">
        <v>13</v>
      </c>
      <c r="F560" s="12" t="str">
        <f>IFERROR(__xludf.DUMMYFUNCTION("GOOGLETRANSLATE(B560,""zh_cn"",""vi"")"),"Kế hoạch")</f>
        <v>Kế hoạch</v>
      </c>
      <c r="G560" s="12"/>
      <c r="H560" s="6"/>
      <c r="I560" s="11" t="b">
        <f t="shared" si="2"/>
        <v>0</v>
      </c>
      <c r="J560" s="24"/>
      <c r="K560" s="11" t="b">
        <f t="shared" si="3"/>
        <v>0</v>
      </c>
    </row>
    <row r="561" ht="22.5" customHeight="1">
      <c r="A561" s="12">
        <f t="shared" si="4"/>
        <v>4159</v>
      </c>
      <c r="B561" s="6" t="s">
        <v>12385</v>
      </c>
      <c r="C561" s="7" t="str">
        <f t="shared" si="6"/>
        <v>🔊</v>
      </c>
      <c r="D561" s="8" t="s">
        <v>12386</v>
      </c>
      <c r="E561" s="6" t="s">
        <v>13</v>
      </c>
      <c r="F561" s="12" t="str">
        <f>IFERROR(__xludf.DUMMYFUNCTION("GOOGLETRANSLATE(B561,""zh_cn"",""vi"")"),"trượt băng")</f>
        <v>trượt băng</v>
      </c>
      <c r="G561" s="12"/>
      <c r="H561" s="6"/>
      <c r="I561" s="11" t="b">
        <f t="shared" si="2"/>
        <v>0</v>
      </c>
      <c r="J561" s="24"/>
      <c r="K561" s="11" t="b">
        <f t="shared" si="3"/>
        <v>0</v>
      </c>
    </row>
    <row r="562" ht="22.5" customHeight="1">
      <c r="A562" s="12">
        <f t="shared" si="4"/>
        <v>4160</v>
      </c>
      <c r="B562" s="6" t="s">
        <v>12387</v>
      </c>
      <c r="C562" s="7" t="str">
        <f t="shared" si="6"/>
        <v>🔊</v>
      </c>
      <c r="D562" s="8" t="s">
        <v>12388</v>
      </c>
      <c r="E562" s="6" t="s">
        <v>27</v>
      </c>
      <c r="F562" s="12" t="str">
        <f>IFERROR(__xludf.DUMMYFUNCTION("GOOGLETRANSLATE(B562,""zh_cn"",""vi"")"),"hoa")</f>
        <v>hoa</v>
      </c>
      <c r="G562" s="12"/>
      <c r="H562" s="6"/>
      <c r="I562" s="11" t="b">
        <f t="shared" si="2"/>
        <v>0</v>
      </c>
      <c r="J562" s="24"/>
      <c r="K562" s="11" t="b">
        <f t="shared" si="3"/>
        <v>0</v>
      </c>
    </row>
    <row r="563" ht="22.5" customHeight="1">
      <c r="A563" s="12">
        <f t="shared" si="4"/>
        <v>4161</v>
      </c>
      <c r="B563" s="6" t="s">
        <v>12389</v>
      </c>
      <c r="C563" s="7" t="str">
        <f t="shared" si="6"/>
        <v>🔊</v>
      </c>
      <c r="D563" s="8" t="s">
        <v>12390</v>
      </c>
      <c r="E563" s="6" t="s">
        <v>13</v>
      </c>
      <c r="F563" s="12" t="str">
        <f>IFERROR(__xludf.DUMMYFUNCTION("GOOGLETRANSLATE(B563,""zh_cn"",""vi"")"),"Phân công")</f>
        <v>Phân công</v>
      </c>
      <c r="G563" s="12"/>
      <c r="H563" s="6"/>
      <c r="I563" s="11" t="b">
        <f t="shared" si="2"/>
        <v>0</v>
      </c>
      <c r="J563" s="24"/>
      <c r="K563" s="11" t="b">
        <f t="shared" si="3"/>
        <v>0</v>
      </c>
    </row>
    <row r="564" ht="22.5" customHeight="1">
      <c r="A564" s="12">
        <f t="shared" si="4"/>
        <v>4162</v>
      </c>
      <c r="B564" s="6" t="s">
        <v>12391</v>
      </c>
      <c r="C564" s="7" t="str">
        <f t="shared" si="6"/>
        <v>🔊</v>
      </c>
      <c r="D564" s="8" t="s">
        <v>12392</v>
      </c>
      <c r="E564" s="6" t="s">
        <v>57</v>
      </c>
      <c r="F564" s="12" t="str">
        <f>IFERROR(__xludf.DUMMYFUNCTION("GOOGLETRANSLATE(B564,""zh_cn"",""vi"")"),"Hoài")</f>
        <v>Hoài</v>
      </c>
      <c r="G564" s="12"/>
      <c r="H564" s="6"/>
      <c r="I564" s="11" t="b">
        <f t="shared" si="2"/>
        <v>0</v>
      </c>
      <c r="J564" s="24"/>
      <c r="K564" s="11" t="b">
        <f t="shared" si="3"/>
        <v>0</v>
      </c>
    </row>
    <row r="565" ht="22.5" customHeight="1">
      <c r="A565" s="12">
        <f t="shared" si="4"/>
        <v>4163</v>
      </c>
      <c r="B565" s="6" t="s">
        <v>12393</v>
      </c>
      <c r="C565" s="7" t="str">
        <f t="shared" si="6"/>
        <v>🔊</v>
      </c>
      <c r="D565" s="8" t="s">
        <v>12394</v>
      </c>
      <c r="E565" s="6" t="s">
        <v>13</v>
      </c>
      <c r="F565" s="12" t="str">
        <f>IFERROR(__xludf.DUMMYFUNCTION("GOOGLETRANSLATE(B565,""zh_cn"",""vi"")"),"Nỗi nhớ")</f>
        <v>Nỗi nhớ</v>
      </c>
      <c r="G565" s="12"/>
      <c r="H565" s="6"/>
      <c r="I565" s="11" t="b">
        <f t="shared" si="2"/>
        <v>0</v>
      </c>
      <c r="J565" s="24"/>
      <c r="K565" s="11" t="b">
        <f t="shared" si="3"/>
        <v>0</v>
      </c>
    </row>
    <row r="566" ht="22.5" customHeight="1">
      <c r="A566" s="12">
        <f t="shared" si="4"/>
        <v>4164</v>
      </c>
      <c r="B566" s="6" t="s">
        <v>12395</v>
      </c>
      <c r="C566" s="7" t="str">
        <f t="shared" si="6"/>
        <v>🔊</v>
      </c>
      <c r="D566" s="8" t="s">
        <v>12396</v>
      </c>
      <c r="E566" s="6" t="s">
        <v>13</v>
      </c>
      <c r="F566" s="12" t="str">
        <f>IFERROR(__xludf.DUMMYFUNCTION("GOOGLETRANSLATE(B566,""zh_cn"",""vi"")"),"Có thai")</f>
        <v>Có thai</v>
      </c>
      <c r="G566" s="12"/>
      <c r="H566" s="6"/>
      <c r="I566" s="11" t="b">
        <f t="shared" si="2"/>
        <v>0</v>
      </c>
      <c r="J566" s="24"/>
      <c r="K566" s="11" t="b">
        <f t="shared" si="3"/>
        <v>0</v>
      </c>
    </row>
    <row r="567" ht="22.5" customHeight="1">
      <c r="A567" s="12">
        <f t="shared" si="4"/>
        <v>4165</v>
      </c>
      <c r="B567" s="6" t="s">
        <v>12397</v>
      </c>
      <c r="C567" s="7" t="str">
        <f t="shared" si="6"/>
        <v>🔊</v>
      </c>
      <c r="D567" s="8" t="s">
        <v>2281</v>
      </c>
      <c r="E567" s="6" t="s">
        <v>12398</v>
      </c>
      <c r="F567" s="12" t="str">
        <f>IFERROR(__xludf.DUMMYFUNCTION("GOOGLETRANSLATE(B567,""zh_cn"",""vi"")"),"nhẫn")</f>
        <v>nhẫn</v>
      </c>
      <c r="G567" s="12"/>
      <c r="H567" s="6"/>
      <c r="I567" s="11" t="b">
        <f t="shared" si="2"/>
        <v>0</v>
      </c>
      <c r="J567" s="24"/>
      <c r="K567" s="11" t="b">
        <f t="shared" si="3"/>
        <v>0</v>
      </c>
    </row>
    <row r="568" ht="22.5" customHeight="1">
      <c r="A568" s="12">
        <f t="shared" si="4"/>
        <v>4166</v>
      </c>
      <c r="B568" s="6" t="s">
        <v>12399</v>
      </c>
      <c r="C568" s="7" t="str">
        <f t="shared" si="6"/>
        <v>🔊</v>
      </c>
      <c r="D568" s="8" t="s">
        <v>2285</v>
      </c>
      <c r="E568" s="6" t="s">
        <v>13</v>
      </c>
      <c r="F568" s="12" t="str">
        <f>IFERROR(__xludf.DUMMYFUNCTION("GOOGLETRANSLATE(B568,""zh_cn"",""vi"")"),"Sự đau khổ")</f>
        <v>Sự đau khổ</v>
      </c>
      <c r="G568" s="12"/>
      <c r="H568" s="6"/>
      <c r="I568" s="11" t="b">
        <f t="shared" si="2"/>
        <v>0</v>
      </c>
      <c r="J568" s="24"/>
      <c r="K568" s="11" t="b">
        <f t="shared" si="3"/>
        <v>0</v>
      </c>
    </row>
    <row r="569" ht="22.5" customHeight="1">
      <c r="A569" s="12">
        <f t="shared" si="4"/>
        <v>4167</v>
      </c>
      <c r="B569" s="6" t="s">
        <v>12400</v>
      </c>
      <c r="C569" s="7" t="str">
        <f t="shared" si="6"/>
        <v>🔊</v>
      </c>
      <c r="D569" s="8" t="s">
        <v>12401</v>
      </c>
      <c r="E569" s="6" t="s">
        <v>27</v>
      </c>
      <c r="F569" s="12" t="str">
        <f>IFERROR(__xludf.DUMMYFUNCTION("GOOGLETRANSLATE(B569,""zh_cn"",""vi"")"),"màu vàng")</f>
        <v>màu vàng</v>
      </c>
      <c r="G569" s="12"/>
      <c r="H569" s="6"/>
      <c r="I569" s="11" t="b">
        <f t="shared" si="2"/>
        <v>0</v>
      </c>
      <c r="J569" s="24"/>
      <c r="K569" s="11" t="b">
        <f t="shared" si="3"/>
        <v>0</v>
      </c>
    </row>
    <row r="570" ht="22.5" customHeight="1">
      <c r="A570" s="12">
        <f t="shared" si="4"/>
        <v>4168</v>
      </c>
      <c r="B570" s="6" t="s">
        <v>12402</v>
      </c>
      <c r="C570" s="7" t="str">
        <f t="shared" si="6"/>
        <v>🔊</v>
      </c>
      <c r="D570" s="8" t="s">
        <v>12403</v>
      </c>
      <c r="E570" s="6" t="s">
        <v>27</v>
      </c>
      <c r="F570" s="12" t="str">
        <f>IFERROR(__xludf.DUMMYFUNCTION("GOOGLETRANSLATE(B570,""zh_cn"",""vi"")"),"hoàng đế")</f>
        <v>hoàng đế</v>
      </c>
      <c r="G570" s="12"/>
      <c r="H570" s="6"/>
      <c r="I570" s="11" t="b">
        <f t="shared" si="2"/>
        <v>0</v>
      </c>
      <c r="J570" s="24"/>
      <c r="K570" s="11" t="b">
        <f t="shared" si="3"/>
        <v>0</v>
      </c>
    </row>
    <row r="571" ht="22.5" customHeight="1">
      <c r="A571" s="12">
        <f t="shared" si="4"/>
        <v>4169</v>
      </c>
      <c r="B571" s="6" t="s">
        <v>12404</v>
      </c>
      <c r="C571" s="7" t="str">
        <f t="shared" si="6"/>
        <v>🔊</v>
      </c>
      <c r="D571" s="8" t="s">
        <v>12405</v>
      </c>
      <c r="E571" s="6" t="s">
        <v>99</v>
      </c>
      <c r="F571" s="12" t="str">
        <f>IFERROR(__xludf.DUMMYFUNCTION("GOOGLETRANSLATE(B571,""zh_cn"",""vi"")"),"vui sướng")</f>
        <v>vui sướng</v>
      </c>
      <c r="G571" s="12"/>
      <c r="H571" s="6"/>
      <c r="I571" s="11" t="b">
        <f t="shared" si="2"/>
        <v>0</v>
      </c>
      <c r="J571" s="24"/>
      <c r="K571" s="11" t="b">
        <f t="shared" si="3"/>
        <v>0</v>
      </c>
    </row>
    <row r="572" ht="22.5" customHeight="1">
      <c r="A572" s="12">
        <f t="shared" si="4"/>
        <v>4170</v>
      </c>
      <c r="B572" s="6" t="s">
        <v>12406</v>
      </c>
      <c r="C572" s="7" t="str">
        <f t="shared" si="6"/>
        <v>🔊</v>
      </c>
      <c r="D572" s="8" t="s">
        <v>12407</v>
      </c>
      <c r="E572" s="6" t="s">
        <v>232</v>
      </c>
      <c r="F572" s="12" t="str">
        <f>IFERROR(__xludf.DUMMYFUNCTION("GOOGLETRANSLATE(B572,""zh_cn"",""vi"")"),"tưởng tượng")</f>
        <v>tưởng tượng</v>
      </c>
      <c r="G572" s="12"/>
      <c r="H572" s="6"/>
      <c r="I572" s="11" t="b">
        <f t="shared" si="2"/>
        <v>0</v>
      </c>
      <c r="J572" s="24"/>
      <c r="K572" s="11" t="b">
        <f t="shared" si="3"/>
        <v>0</v>
      </c>
    </row>
    <row r="573" ht="22.5" customHeight="1">
      <c r="A573" s="12">
        <f t="shared" si="4"/>
        <v>4171</v>
      </c>
      <c r="B573" s="6" t="s">
        <v>12408</v>
      </c>
      <c r="C573" s="7" t="str">
        <f t="shared" si="6"/>
        <v>🔊</v>
      </c>
      <c r="D573" s="8" t="s">
        <v>12409</v>
      </c>
      <c r="E573" s="6" t="s">
        <v>13</v>
      </c>
      <c r="F573" s="12" t="str">
        <f>IFERROR(__xludf.DUMMYFUNCTION("GOOGLETRANSLATE(B573,""zh_cn"",""vi"")"),"sự giảm bớt")</f>
        <v>sự giảm bớt</v>
      </c>
      <c r="G573" s="12"/>
      <c r="H573" s="6"/>
      <c r="I573" s="11" t="b">
        <f t="shared" si="2"/>
        <v>0</v>
      </c>
      <c r="J573" s="24"/>
      <c r="K573" s="11" t="b">
        <f t="shared" si="3"/>
        <v>0</v>
      </c>
    </row>
    <row r="574" ht="22.5" customHeight="1">
      <c r="A574" s="12">
        <f t="shared" si="4"/>
        <v>4172</v>
      </c>
      <c r="B574" s="6" t="s">
        <v>12410</v>
      </c>
      <c r="C574" s="7" t="str">
        <f t="shared" si="6"/>
        <v>🔊</v>
      </c>
      <c r="D574" s="8" t="s">
        <v>12411</v>
      </c>
      <c r="E574" s="6" t="s">
        <v>27</v>
      </c>
      <c r="F574" s="12" t="str">
        <f>IFERROR(__xludf.DUMMYFUNCTION("GOOGLETRANSLATE(B574,""zh_cn"",""vi"")"),"kiên nhẫn")</f>
        <v>kiên nhẫn</v>
      </c>
      <c r="G574" s="12"/>
      <c r="H574" s="6"/>
      <c r="I574" s="11" t="b">
        <f t="shared" si="2"/>
        <v>0</v>
      </c>
      <c r="J574" s="24"/>
      <c r="K574" s="11" t="b">
        <f t="shared" si="3"/>
        <v>0</v>
      </c>
    </row>
    <row r="575" ht="22.5" customHeight="1">
      <c r="A575" s="12">
        <f t="shared" si="4"/>
        <v>4173</v>
      </c>
      <c r="B575" s="6" t="s">
        <v>12412</v>
      </c>
      <c r="C575" s="7" t="str">
        <f t="shared" si="6"/>
        <v>🔊</v>
      </c>
      <c r="D575" s="8" t="s">
        <v>12413</v>
      </c>
      <c r="E575" s="6" t="s">
        <v>27</v>
      </c>
      <c r="F575" s="12" t="str">
        <f>IFERROR(__xludf.DUMMYFUNCTION("GOOGLETRANSLATE(B575,""zh_cn"",""vi"")"),"đậu phộng")</f>
        <v>đậu phộng</v>
      </c>
      <c r="G575" s="12"/>
      <c r="H575" s="6"/>
      <c r="I575" s="11" t="b">
        <f t="shared" si="2"/>
        <v>0</v>
      </c>
      <c r="J575" s="24"/>
      <c r="K575" s="11" t="b">
        <f t="shared" si="3"/>
        <v>0</v>
      </c>
    </row>
    <row r="576" ht="22.5" customHeight="1">
      <c r="A576" s="12">
        <f t="shared" si="4"/>
        <v>4174</v>
      </c>
      <c r="B576" s="6" t="s">
        <v>12414</v>
      </c>
      <c r="C576" s="7" t="str">
        <f t="shared" si="6"/>
        <v>🔊</v>
      </c>
      <c r="D576" s="8" t="s">
        <v>12415</v>
      </c>
      <c r="E576" s="6" t="s">
        <v>27</v>
      </c>
      <c r="F576" s="12" t="str">
        <f>IFERROR(__xludf.DUMMYFUNCTION("GOOGLETRANSLATE(B576,""zh_cn"",""vi"")"),"hóa thạch")</f>
        <v>hóa thạch</v>
      </c>
      <c r="G576" s="12"/>
      <c r="H576" s="6"/>
      <c r="I576" s="11" t="b">
        <f t="shared" si="2"/>
        <v>0</v>
      </c>
      <c r="J576" s="24"/>
      <c r="K576" s="11" t="b">
        <f t="shared" si="3"/>
        <v>0</v>
      </c>
    </row>
    <row r="577" ht="22.5" customHeight="1">
      <c r="A577" s="12">
        <f t="shared" si="4"/>
        <v>4175</v>
      </c>
      <c r="B577" s="6" t="s">
        <v>12416</v>
      </c>
      <c r="C577" s="7" t="str">
        <f t="shared" si="6"/>
        <v>🔊</v>
      </c>
      <c r="D577" s="8" t="s">
        <v>12417</v>
      </c>
      <c r="E577" s="6" t="s">
        <v>27</v>
      </c>
      <c r="F577" s="12" t="str">
        <f>IFERROR(__xludf.DUMMYFUNCTION("GOOGLETRANSLATE(B577,""zh_cn"",""vi"")"),"micro")</f>
        <v>micro</v>
      </c>
      <c r="G577" s="12"/>
      <c r="H577" s="6"/>
      <c r="I577" s="11" t="b">
        <f t="shared" si="2"/>
        <v>0</v>
      </c>
      <c r="J577" s="24"/>
      <c r="K577" s="11" t="b">
        <f t="shared" si="3"/>
        <v>0</v>
      </c>
    </row>
    <row r="578" ht="22.5" customHeight="1">
      <c r="A578" s="12">
        <f t="shared" si="4"/>
        <v>4176</v>
      </c>
      <c r="B578" s="6" t="s">
        <v>12418</v>
      </c>
      <c r="C578" s="7" t="str">
        <f t="shared" si="6"/>
        <v>🔊</v>
      </c>
      <c r="D578" s="8" t="s">
        <v>12419</v>
      </c>
      <c r="E578" s="6" t="s">
        <v>13</v>
      </c>
      <c r="F578" s="12" t="str">
        <f>IFERROR(__xludf.DUMMYFUNCTION("GOOGLETRANSLATE(B578,""zh_cn"",""vi"")"),"cầu trượt")</f>
        <v>cầu trượt</v>
      </c>
      <c r="G578" s="12"/>
      <c r="H578" s="6"/>
      <c r="I578" s="11" t="b">
        <f t="shared" si="2"/>
        <v>0</v>
      </c>
      <c r="J578" s="24"/>
      <c r="K578" s="11" t="b">
        <f t="shared" si="3"/>
        <v>0</v>
      </c>
    </row>
    <row r="579" ht="22.5" customHeight="1">
      <c r="A579" s="12">
        <f t="shared" si="4"/>
        <v>4177</v>
      </c>
      <c r="B579" s="6" t="s">
        <v>12420</v>
      </c>
      <c r="C579" s="7" t="str">
        <f t="shared" si="6"/>
        <v>🔊</v>
      </c>
      <c r="D579" s="8" t="s">
        <v>12421</v>
      </c>
      <c r="E579" s="6" t="s">
        <v>13</v>
      </c>
      <c r="F579" s="12" t="str">
        <f>IFERROR(__xludf.DUMMYFUNCTION("GOOGLETRANSLATE(B579,""zh_cn"",""vi"")"),"trượt tuyết")</f>
        <v>trượt tuyết</v>
      </c>
      <c r="G579" s="12"/>
      <c r="H579" s="6"/>
      <c r="I579" s="11" t="b">
        <f t="shared" si="2"/>
        <v>0</v>
      </c>
      <c r="J579" s="24"/>
      <c r="K579" s="11" t="b">
        <f t="shared" si="3"/>
        <v>0</v>
      </c>
    </row>
    <row r="580" ht="22.5" customHeight="1">
      <c r="A580" s="12">
        <f t="shared" si="4"/>
        <v>4178</v>
      </c>
      <c r="B580" s="6" t="s">
        <v>12422</v>
      </c>
      <c r="C580" s="7" t="str">
        <f t="shared" si="6"/>
        <v>🔊</v>
      </c>
      <c r="D580" s="8" t="s">
        <v>12423</v>
      </c>
      <c r="E580" s="6" t="s">
        <v>13</v>
      </c>
      <c r="F580" s="12" t="str">
        <f>IFERROR(__xludf.DUMMYFUNCTION("GOOGLETRANSLATE(B580,""zh_cn"",""vi"")"),"trang điểm")</f>
        <v>trang điểm</v>
      </c>
      <c r="G580" s="12"/>
      <c r="H580" s="6"/>
      <c r="I580" s="11" t="b">
        <f t="shared" si="2"/>
        <v>0</v>
      </c>
      <c r="J580" s="24"/>
      <c r="K580" s="11" t="b">
        <f t="shared" si="3"/>
        <v>0</v>
      </c>
    </row>
    <row r="581" ht="22.5" customHeight="1">
      <c r="A581" s="12">
        <f t="shared" si="4"/>
        <v>4179</v>
      </c>
      <c r="B581" s="6" t="s">
        <v>12424</v>
      </c>
      <c r="C581" s="7" t="str">
        <f t="shared" si="6"/>
        <v>🔊</v>
      </c>
      <c r="D581" s="8" t="s">
        <v>297</v>
      </c>
      <c r="E581" s="6" t="s">
        <v>13</v>
      </c>
      <c r="F581" s="12" t="str">
        <f>IFERROR(__xludf.DUMMYFUNCTION("GOOGLETRANSLATE(B581,""zh_cn"",""vi"")"),"trao đổi")</f>
        <v>trao đổi</v>
      </c>
      <c r="G581" s="12"/>
      <c r="H581" s="6"/>
      <c r="I581" s="11" t="b">
        <f t="shared" si="2"/>
        <v>0</v>
      </c>
      <c r="J581" s="24"/>
      <c r="K581" s="11" t="b">
        <f t="shared" si="3"/>
        <v>0</v>
      </c>
    </row>
    <row r="582" ht="22.5" customHeight="1">
      <c r="A582" s="12">
        <f t="shared" si="4"/>
        <v>4180</v>
      </c>
      <c r="B582" s="6" t="s">
        <v>12425</v>
      </c>
      <c r="C582" s="7" t="str">
        <f t="shared" si="6"/>
        <v>🔊</v>
      </c>
      <c r="D582" s="8" t="s">
        <v>12426</v>
      </c>
      <c r="E582" s="6" t="s">
        <v>13</v>
      </c>
      <c r="F582" s="12" t="str">
        <f>IFERROR(__xludf.DUMMYFUNCTION("GOOGLETRANSLATE(B582,""zh_cn"",""vi"")"),"Trở lại")</f>
        <v>Trở lại</v>
      </c>
      <c r="G582" s="12"/>
      <c r="H582" s="6"/>
      <c r="I582" s="11" t="b">
        <f t="shared" si="2"/>
        <v>0</v>
      </c>
      <c r="J582" s="24"/>
      <c r="K582" s="11" t="b">
        <f t="shared" si="3"/>
        <v>0</v>
      </c>
    </row>
    <row r="583" ht="22.5" customHeight="1">
      <c r="A583" s="12">
        <f t="shared" si="4"/>
        <v>4181</v>
      </c>
      <c r="B583" s="6" t="s">
        <v>12427</v>
      </c>
      <c r="C583" s="7" t="str">
        <f t="shared" si="6"/>
        <v>🔊</v>
      </c>
      <c r="D583" s="8" t="s">
        <v>12428</v>
      </c>
      <c r="E583" s="6" t="s">
        <v>13</v>
      </c>
      <c r="F583" s="12" t="str">
        <f>IFERROR(__xludf.DUMMYFUNCTION("GOOGLETRANSLATE(B583,""zh_cn"",""vi"")"),"báo cáo")</f>
        <v>báo cáo</v>
      </c>
      <c r="G583" s="12"/>
      <c r="H583" s="6"/>
      <c r="I583" s="11" t="b">
        <f t="shared" si="2"/>
        <v>0</v>
      </c>
      <c r="J583" s="24"/>
      <c r="K583" s="11" t="b">
        <f t="shared" si="3"/>
        <v>0</v>
      </c>
    </row>
    <row r="584" ht="22.5" customHeight="1">
      <c r="A584" s="12">
        <f t="shared" si="4"/>
        <v>4182</v>
      </c>
      <c r="B584" s="6" t="s">
        <v>12429</v>
      </c>
      <c r="C584" s="7" t="str">
        <f t="shared" si="6"/>
        <v>🔊</v>
      </c>
      <c r="D584" s="8" t="s">
        <v>12430</v>
      </c>
      <c r="E584" s="6" t="s">
        <v>27</v>
      </c>
      <c r="F584" s="12" t="str">
        <f>IFERROR(__xludf.DUMMYFUNCTION("GOOGLETRANSLATE(B584,""zh_cn"",""vi"")"),"bụi")</f>
        <v>bụi</v>
      </c>
      <c r="G584" s="12"/>
      <c r="H584" s="6"/>
      <c r="I584" s="11" t="b">
        <f t="shared" si="2"/>
        <v>0</v>
      </c>
      <c r="J584" s="24"/>
      <c r="K584" s="11" t="b">
        <f t="shared" si="3"/>
        <v>0</v>
      </c>
    </row>
    <row r="585" ht="22.5" customHeight="1">
      <c r="A585" s="12">
        <f t="shared" si="4"/>
        <v>4183</v>
      </c>
      <c r="B585" s="6" t="s">
        <v>12431</v>
      </c>
      <c r="C585" s="7" t="str">
        <f t="shared" si="6"/>
        <v>🔊</v>
      </c>
      <c r="D585" s="8" t="s">
        <v>12432</v>
      </c>
      <c r="E585" s="6" t="s">
        <v>13</v>
      </c>
      <c r="F585" s="12" t="str">
        <f>IFERROR(__xludf.DUMMYFUNCTION("GOOGLETRANSLATE(B585,""zh_cn"",""vi"")"),"ôn tập")</f>
        <v>ôn tập</v>
      </c>
      <c r="G585" s="12"/>
      <c r="H585" s="6"/>
      <c r="I585" s="11" t="b">
        <f t="shared" si="2"/>
        <v>0</v>
      </c>
      <c r="J585" s="24"/>
      <c r="K585" s="11" t="b">
        <f t="shared" si="3"/>
        <v>0</v>
      </c>
    </row>
    <row r="586" ht="22.5" customHeight="1">
      <c r="A586" s="12">
        <f t="shared" si="4"/>
        <v>4184</v>
      </c>
      <c r="B586" s="6" t="s">
        <v>12433</v>
      </c>
      <c r="C586" s="7" t="str">
        <f t="shared" si="6"/>
        <v>🔊</v>
      </c>
      <c r="D586" s="8" t="s">
        <v>12434</v>
      </c>
      <c r="E586" s="6" t="s">
        <v>13</v>
      </c>
      <c r="F586" s="12" t="str">
        <f>IFERROR(__xludf.DUMMYFUNCTION("GOOGLETRANSLATE(B586,""zh_cn"",""vi"")"),"bức vẽ")</f>
        <v>bức vẽ</v>
      </c>
      <c r="G586" s="12"/>
      <c r="H586" s="6"/>
      <c r="I586" s="11" t="b">
        <f t="shared" si="2"/>
        <v>0</v>
      </c>
      <c r="J586" s="24"/>
      <c r="K586" s="11" t="b">
        <f t="shared" si="3"/>
        <v>0</v>
      </c>
    </row>
    <row r="587" ht="22.5" customHeight="1">
      <c r="A587" s="12">
        <f t="shared" si="4"/>
        <v>4185</v>
      </c>
      <c r="B587" s="6" t="s">
        <v>12435</v>
      </c>
      <c r="C587" s="7" t="str">
        <f t="shared" si="6"/>
        <v>🔊</v>
      </c>
      <c r="D587" s="8" t="s">
        <v>12436</v>
      </c>
      <c r="E587" s="6" t="s">
        <v>13</v>
      </c>
      <c r="F587" s="12" t="str">
        <f>IFERROR(__xludf.DUMMYFUNCTION("GOOGLETRANSLATE(B587,""zh_cn"",""vi"")"),"gặp")</f>
        <v>gặp</v>
      </c>
      <c r="G587" s="12"/>
      <c r="H587" s="6"/>
      <c r="I587" s="11" t="b">
        <f t="shared" si="2"/>
        <v>0</v>
      </c>
      <c r="J587" s="24"/>
      <c r="K587" s="11" t="b">
        <f t="shared" si="3"/>
        <v>0</v>
      </c>
    </row>
    <row r="588" ht="22.5" customHeight="1">
      <c r="A588" s="12">
        <f t="shared" si="4"/>
        <v>4186</v>
      </c>
      <c r="B588" s="6" t="s">
        <v>12437</v>
      </c>
      <c r="C588" s="7" t="str">
        <f t="shared" si="6"/>
        <v>🔊</v>
      </c>
      <c r="D588" s="8" t="s">
        <v>12438</v>
      </c>
      <c r="E588" s="6" t="s">
        <v>232</v>
      </c>
      <c r="F588" s="12" t="str">
        <f>IFERROR(__xludf.DUMMYFUNCTION("GOOGLETRANSLATE(B588,""zh_cn"",""vi"")"),"chuyển tiền")</f>
        <v>chuyển tiền</v>
      </c>
      <c r="G588" s="12"/>
      <c r="H588" s="6"/>
      <c r="I588" s="11" t="b">
        <f t="shared" si="2"/>
        <v>0</v>
      </c>
      <c r="J588" s="24"/>
      <c r="K588" s="11" t="b">
        <f t="shared" si="3"/>
        <v>0</v>
      </c>
    </row>
    <row r="589" ht="22.5" customHeight="1">
      <c r="A589" s="12">
        <f t="shared" si="4"/>
        <v>4187</v>
      </c>
      <c r="B589" s="6" t="s">
        <v>12439</v>
      </c>
      <c r="C589" s="7" t="str">
        <f t="shared" si="6"/>
        <v>🔊</v>
      </c>
      <c r="D589" s="8" t="s">
        <v>12440</v>
      </c>
      <c r="E589" s="6" t="s">
        <v>3433</v>
      </c>
      <c r="F589" s="12" t="str">
        <f>IFERROR(__xludf.DUMMYFUNCTION("GOOGLETRANSLATE(B589,""zh_cn"",""vi"")"),"Nhìn lại")</f>
        <v>Nhìn lại</v>
      </c>
      <c r="G589" s="12"/>
      <c r="H589" s="6"/>
      <c r="I589" s="11" t="b">
        <f t="shared" si="2"/>
        <v>0</v>
      </c>
      <c r="J589" s="24"/>
      <c r="K589" s="11" t="b">
        <f t="shared" si="3"/>
        <v>0</v>
      </c>
    </row>
    <row r="590" ht="22.5" customHeight="1">
      <c r="A590" s="12">
        <f t="shared" si="4"/>
        <v>4188</v>
      </c>
      <c r="B590" s="6" t="s">
        <v>12441</v>
      </c>
      <c r="C590" s="7" t="str">
        <f t="shared" si="6"/>
        <v>🔊</v>
      </c>
      <c r="D590" s="8" t="s">
        <v>12442</v>
      </c>
      <c r="E590" s="6" t="s">
        <v>99</v>
      </c>
      <c r="F590" s="12" t="str">
        <f>IFERROR(__xludf.DUMMYFUNCTION("GOOGLETRANSLATE(B590,""zh_cn"",""vi"")"),"nản chí")</f>
        <v>nản chí</v>
      </c>
      <c r="G590" s="12"/>
      <c r="H590" s="6"/>
      <c r="I590" s="11" t="b">
        <f t="shared" si="2"/>
        <v>0</v>
      </c>
      <c r="J590" s="24"/>
      <c r="K590" s="11" t="b">
        <f t="shared" si="3"/>
        <v>0</v>
      </c>
    </row>
    <row r="591" ht="22.5" customHeight="1">
      <c r="A591" s="12">
        <f t="shared" si="4"/>
        <v>4189</v>
      </c>
      <c r="B591" s="6" t="s">
        <v>12443</v>
      </c>
      <c r="C591" s="7" t="str">
        <f t="shared" si="6"/>
        <v>🔊</v>
      </c>
      <c r="D591" s="8" t="s">
        <v>12444</v>
      </c>
      <c r="E591" s="6" t="s">
        <v>13</v>
      </c>
      <c r="F591" s="12" t="str">
        <f>IFERROR(__xludf.DUMMYFUNCTION("GOOGLETRANSLATE(B591,""zh_cn"",""vi"")"),"sao nhãng")</f>
        <v>sao nhãng</v>
      </c>
      <c r="G591" s="12"/>
      <c r="H591" s="6"/>
      <c r="I591" s="11" t="b">
        <f t="shared" si="2"/>
        <v>0</v>
      </c>
      <c r="J591" s="24"/>
      <c r="K591" s="11" t="b">
        <f t="shared" si="3"/>
        <v>0</v>
      </c>
    </row>
    <row r="592" ht="22.5" customHeight="1">
      <c r="A592" s="12">
        <f t="shared" si="4"/>
        <v>4190</v>
      </c>
      <c r="B592" s="6" t="s">
        <v>12445</v>
      </c>
      <c r="C592" s="7" t="str">
        <f t="shared" si="6"/>
        <v>🔊</v>
      </c>
      <c r="D592" s="8" t="s">
        <v>12446</v>
      </c>
      <c r="E592" s="6" t="s">
        <v>433</v>
      </c>
      <c r="F592" s="12" t="str">
        <f>IFERROR(__xludf.DUMMYFUNCTION("GOOGLETRANSLATE(B592,""zh_cn"",""vi"")"),"trộn")</f>
        <v>trộn</v>
      </c>
      <c r="G592" s="12"/>
      <c r="H592" s="6"/>
      <c r="I592" s="11" t="b">
        <f t="shared" si="2"/>
        <v>0</v>
      </c>
      <c r="J592" s="24"/>
      <c r="K592" s="11" t="b">
        <f t="shared" si="3"/>
        <v>0</v>
      </c>
    </row>
    <row r="593" ht="22.5" customHeight="1">
      <c r="A593" s="12">
        <f t="shared" si="4"/>
        <v>4191</v>
      </c>
      <c r="B593" s="6" t="s">
        <v>12447</v>
      </c>
      <c r="C593" s="7" t="str">
        <f t="shared" si="6"/>
        <v>🔊</v>
      </c>
      <c r="D593" s="8" t="s">
        <v>12448</v>
      </c>
      <c r="E593" s="6" t="s">
        <v>13</v>
      </c>
      <c r="F593" s="12" t="str">
        <f>IFERROR(__xludf.DUMMYFUNCTION("GOOGLETRANSLATE(B593,""zh_cn"",""vi"")"),"trộn")</f>
        <v>trộn</v>
      </c>
      <c r="G593" s="12"/>
      <c r="H593" s="6"/>
      <c r="I593" s="11" t="b">
        <f t="shared" si="2"/>
        <v>0</v>
      </c>
      <c r="J593" s="24"/>
      <c r="K593" s="11" t="b">
        <f t="shared" si="3"/>
        <v>0</v>
      </c>
    </row>
    <row r="594" ht="22.5" customHeight="1">
      <c r="A594" s="12">
        <f t="shared" si="4"/>
        <v>4192</v>
      </c>
      <c r="B594" s="6" t="s">
        <v>12449</v>
      </c>
      <c r="C594" s="7" t="str">
        <f t="shared" si="6"/>
        <v>🔊</v>
      </c>
      <c r="D594" s="8" t="s">
        <v>12450</v>
      </c>
      <c r="E594" s="6" t="s">
        <v>99</v>
      </c>
      <c r="F594" s="12" t="str">
        <f>IFERROR(__xludf.DUMMYFUNCTION("GOOGLETRANSLATE(B594,""zh_cn"",""vi"")"),"lú lẫn")</f>
        <v>lú lẫn</v>
      </c>
      <c r="G594" s="12"/>
      <c r="H594" s="6"/>
      <c r="I594" s="11" t="b">
        <f t="shared" si="2"/>
        <v>0</v>
      </c>
      <c r="J594" s="24"/>
      <c r="K594" s="11" t="b">
        <f t="shared" si="3"/>
        <v>0</v>
      </c>
    </row>
    <row r="595" ht="22.5" customHeight="1">
      <c r="A595" s="12">
        <f t="shared" si="4"/>
        <v>4193</v>
      </c>
      <c r="B595" s="6" t="s">
        <v>12451</v>
      </c>
      <c r="C595" s="7" t="str">
        <f t="shared" si="6"/>
        <v>🔊</v>
      </c>
      <c r="D595" s="8" t="s">
        <v>12452</v>
      </c>
      <c r="E595" s="6" t="s">
        <v>27</v>
      </c>
      <c r="F595" s="12" t="str">
        <f>IFERROR(__xludf.DUMMYFUNCTION("GOOGLETRANSLATE(B595,""zh_cn"",""vi"")"),"kết hôn")</f>
        <v>kết hôn</v>
      </c>
      <c r="G595" s="12"/>
      <c r="H595" s="6"/>
      <c r="I595" s="11" t="b">
        <f t="shared" si="2"/>
        <v>0</v>
      </c>
      <c r="J595" s="24"/>
      <c r="K595" s="11" t="b">
        <f t="shared" si="3"/>
        <v>0</v>
      </c>
    </row>
    <row r="596" ht="22.5" customHeight="1">
      <c r="A596" s="12">
        <f t="shared" si="4"/>
        <v>4194</v>
      </c>
      <c r="B596" s="6" t="s">
        <v>12453</v>
      </c>
      <c r="C596" s="7" t="str">
        <f t="shared" si="6"/>
        <v>🔊</v>
      </c>
      <c r="D596" s="8" t="s">
        <v>12454</v>
      </c>
      <c r="E596" s="6" t="s">
        <v>27</v>
      </c>
      <c r="F596" s="12" t="str">
        <f>IFERROR(__xludf.DUMMYFUNCTION("GOOGLETRANSLATE(B596,""zh_cn"",""vi"")"),"tiền tệ")</f>
        <v>tiền tệ</v>
      </c>
      <c r="G596" s="12"/>
      <c r="H596" s="6"/>
      <c r="I596" s="11" t="b">
        <f t="shared" si="2"/>
        <v>0</v>
      </c>
      <c r="J596" s="24"/>
      <c r="K596" s="11" t="b">
        <f t="shared" si="3"/>
        <v>0</v>
      </c>
    </row>
    <row r="597" ht="22.5" customHeight="1">
      <c r="A597" s="12">
        <f t="shared" si="4"/>
        <v>4195</v>
      </c>
      <c r="B597" s="6" t="s">
        <v>12455</v>
      </c>
      <c r="C597" s="7" t="str">
        <f t="shared" si="6"/>
        <v>🔊</v>
      </c>
      <c r="D597" s="8" t="s">
        <v>12456</v>
      </c>
      <c r="E597" s="6" t="s">
        <v>27</v>
      </c>
      <c r="F597" s="12" t="str">
        <f>IFERROR(__xludf.DUMMYFUNCTION("GOOGLETRANSLATE(B597,""zh_cn"",""vi"")"),"các trận đấu")</f>
        <v>các trận đấu</v>
      </c>
      <c r="G597" s="12"/>
      <c r="H597" s="6"/>
      <c r="I597" s="11" t="b">
        <f t="shared" si="2"/>
        <v>0</v>
      </c>
      <c r="J597" s="24"/>
      <c r="K597" s="11" t="b">
        <f t="shared" si="3"/>
        <v>0</v>
      </c>
    </row>
    <row r="598" ht="22.5" customHeight="1">
      <c r="A598" s="12">
        <f t="shared" si="4"/>
        <v>4196</v>
      </c>
      <c r="B598" s="6" t="s">
        <v>12457</v>
      </c>
      <c r="C598" s="7" t="str">
        <f t="shared" si="6"/>
        <v>🔊</v>
      </c>
      <c r="D598" s="8" t="s">
        <v>12458</v>
      </c>
      <c r="E598" s="6" t="s">
        <v>27</v>
      </c>
      <c r="F598" s="12" t="str">
        <f>IFERROR(__xludf.DUMMYFUNCTION("GOOGLETRANSLATE(B598,""zh_cn"",""vi"")"),"xe tải")</f>
        <v>xe tải</v>
      </c>
      <c r="G598" s="12"/>
      <c r="H598" s="6"/>
      <c r="I598" s="11" t="b">
        <f t="shared" si="2"/>
        <v>0</v>
      </c>
      <c r="J598" s="24"/>
      <c r="K598" s="11" t="b">
        <f t="shared" si="3"/>
        <v>0</v>
      </c>
    </row>
    <row r="599" ht="22.5" customHeight="1">
      <c r="A599" s="12">
        <f t="shared" si="4"/>
        <v>4197</v>
      </c>
      <c r="B599" s="6" t="s">
        <v>12459</v>
      </c>
      <c r="C599" s="7" t="str">
        <f t="shared" si="6"/>
        <v>🔊</v>
      </c>
      <c r="D599" s="8" t="s">
        <v>12460</v>
      </c>
      <c r="E599" s="6" t="s">
        <v>27</v>
      </c>
      <c r="F599" s="12" t="str">
        <f>IFERROR(__xludf.DUMMYFUNCTION("GOOGLETRANSLATE(B599,""zh_cn"",""vi"")"),"sức sống")</f>
        <v>sức sống</v>
      </c>
      <c r="G599" s="12"/>
      <c r="H599" s="6"/>
      <c r="I599" s="11" t="b">
        <f t="shared" si="2"/>
        <v>0</v>
      </c>
      <c r="J599" s="24"/>
      <c r="K599" s="11" t="b">
        <f t="shared" si="3"/>
        <v>0</v>
      </c>
    </row>
    <row r="600" ht="22.5" customHeight="1">
      <c r="A600" s="12">
        <f t="shared" si="4"/>
        <v>4198</v>
      </c>
      <c r="B600" s="6" t="s">
        <v>12461</v>
      </c>
      <c r="C600" s="7" t="str">
        <f t="shared" si="6"/>
        <v>🔊</v>
      </c>
      <c r="D600" s="8" t="s">
        <v>12462</v>
      </c>
      <c r="E600" s="6" t="s">
        <v>416</v>
      </c>
      <c r="F600" s="12" t="str">
        <f>IFERROR(__xludf.DUMMYFUNCTION("GOOGLETRANSLATE(B600,""zh_cn"",""vi"")"),"tích cực")</f>
        <v>tích cực</v>
      </c>
      <c r="G600" s="12"/>
      <c r="H600" s="6"/>
      <c r="I600" s="11" t="b">
        <f t="shared" si="2"/>
        <v>0</v>
      </c>
      <c r="J600" s="24"/>
      <c r="K600" s="11" t="b">
        <f t="shared" si="3"/>
        <v>0</v>
      </c>
    </row>
    <row r="601" ht="22.5" customHeight="1">
      <c r="A601" s="12">
        <f t="shared" si="4"/>
        <v>4199</v>
      </c>
      <c r="B601" s="6" t="s">
        <v>12463</v>
      </c>
      <c r="C601" s="7" t="str">
        <f t="shared" si="6"/>
        <v>🔊</v>
      </c>
      <c r="D601" s="8" t="s">
        <v>12464</v>
      </c>
      <c r="E601" s="6" t="s">
        <v>27</v>
      </c>
      <c r="F601" s="12" t="str">
        <f>IFERROR(__xludf.DUMMYFUNCTION("GOOGLETRANSLATE(B601,""zh_cn"",""vi"")"),"ngọn lửa")</f>
        <v>ngọn lửa</v>
      </c>
      <c r="G601" s="12"/>
      <c r="H601" s="6"/>
      <c r="I601" s="11" t="b">
        <f t="shared" si="2"/>
        <v>0</v>
      </c>
      <c r="J601" s="24"/>
      <c r="K601" s="11" t="b">
        <f t="shared" si="3"/>
        <v>0</v>
      </c>
    </row>
    <row r="602" ht="22.5" customHeight="1">
      <c r="A602" s="12">
        <f t="shared" si="4"/>
        <v>4200</v>
      </c>
      <c r="B602" s="6" t="s">
        <v>12465</v>
      </c>
      <c r="C602" s="7" t="str">
        <f t="shared" si="6"/>
        <v>🔊</v>
      </c>
      <c r="D602" s="8" t="s">
        <v>12466</v>
      </c>
      <c r="E602" s="6" t="s">
        <v>13</v>
      </c>
      <c r="F602" s="12" t="str">
        <f>IFERROR(__xludf.DUMMYFUNCTION("GOOGLETRANSLATE(B602,""zh_cn"",""vi"")"),"Tương trợ lẫn nhau")</f>
        <v>Tương trợ lẫn nhau</v>
      </c>
      <c r="G602" s="12"/>
      <c r="H602" s="6"/>
      <c r="I602" s="11" t="b">
        <f t="shared" si="2"/>
        <v>0</v>
      </c>
      <c r="J602" s="24"/>
      <c r="K602" s="11" t="b">
        <f t="shared" si="3"/>
        <v>0</v>
      </c>
    </row>
    <row r="603" ht="22.5" customHeight="1">
      <c r="A603" s="12">
        <f t="shared" si="4"/>
        <v>4201</v>
      </c>
      <c r="B603" s="6" t="s">
        <v>12467</v>
      </c>
      <c r="C603" s="7" t="str">
        <f t="shared" si="6"/>
        <v>🔊</v>
      </c>
      <c r="D603" s="8" t="s">
        <v>12468</v>
      </c>
      <c r="E603" s="6" t="s">
        <v>27</v>
      </c>
      <c r="F603" s="12" t="str">
        <f>IFERROR(__xludf.DUMMYFUNCTION("GOOGLETRANSLATE(B603,""zh_cn"",""vi"")"),"râu ")</f>
        <v>râu </v>
      </c>
      <c r="G603" s="12"/>
      <c r="H603" s="6"/>
      <c r="I603" s="11" t="b">
        <f t="shared" si="2"/>
        <v>0</v>
      </c>
      <c r="J603" s="24"/>
      <c r="K603" s="11" t="b">
        <f t="shared" si="3"/>
        <v>0</v>
      </c>
    </row>
    <row r="604" ht="22.5" customHeight="1">
      <c r="A604" s="12">
        <f t="shared" si="4"/>
        <v>4202</v>
      </c>
      <c r="B604" s="6" t="s">
        <v>12469</v>
      </c>
      <c r="C604" s="7" t="str">
        <f t="shared" si="6"/>
        <v>🔊</v>
      </c>
      <c r="D604" s="8" t="s">
        <v>8170</v>
      </c>
      <c r="E604" s="6" t="s">
        <v>13</v>
      </c>
      <c r="F604" s="12" t="str">
        <f>IFERROR(__xludf.DUMMYFUNCTION("GOOGLETRANSLATE(B604,""zh_cn"",""vi"")"),"kết hôn")</f>
        <v>kết hôn</v>
      </c>
      <c r="G604" s="12"/>
      <c r="H604" s="6"/>
      <c r="I604" s="11" t="b">
        <f t="shared" si="2"/>
        <v>0</v>
      </c>
      <c r="J604" s="24"/>
      <c r="K604" s="11" t="b">
        <f t="shared" si="3"/>
        <v>0</v>
      </c>
    </row>
    <row r="605" ht="22.5" customHeight="1">
      <c r="A605" s="12">
        <f t="shared" si="4"/>
        <v>4203</v>
      </c>
      <c r="B605" s="6" t="s">
        <v>12470</v>
      </c>
      <c r="C605" s="7" t="str">
        <f t="shared" si="6"/>
        <v>🔊</v>
      </c>
      <c r="D605" s="8" t="s">
        <v>308</v>
      </c>
      <c r="E605" s="6" t="s">
        <v>13</v>
      </c>
      <c r="F605" s="12" t="str">
        <f>IFERROR(__xludf.DUMMYFUNCTION("GOOGLETRANSLATE(B605,""zh_cn"",""vi"")"),"thư mục")</f>
        <v>thư mục</v>
      </c>
      <c r="G605" s="12"/>
      <c r="H605" s="6"/>
      <c r="I605" s="11" t="b">
        <f t="shared" si="2"/>
        <v>0</v>
      </c>
      <c r="J605" s="24"/>
      <c r="K605" s="11" t="b">
        <f t="shared" si="3"/>
        <v>0</v>
      </c>
    </row>
    <row r="606" ht="22.5" customHeight="1">
      <c r="A606" s="12">
        <f t="shared" si="4"/>
        <v>4204</v>
      </c>
      <c r="B606" s="6" t="s">
        <v>12471</v>
      </c>
      <c r="C606" s="7" t="str">
        <f t="shared" si="6"/>
        <v>🔊</v>
      </c>
      <c r="D606" s="8" t="s">
        <v>12472</v>
      </c>
      <c r="E606" s="6" t="s">
        <v>433</v>
      </c>
      <c r="F606" s="12" t="str">
        <f>IFERROR(__xludf.DUMMYFUNCTION("GOOGLETRANSLATE(B606,""zh_cn"",""vi"")"),"gấp đôi")</f>
        <v>gấp đôi</v>
      </c>
      <c r="G606" s="12"/>
      <c r="H606" s="6"/>
      <c r="I606" s="11" t="b">
        <f t="shared" si="2"/>
        <v>0</v>
      </c>
      <c r="J606" s="24"/>
      <c r="K606" s="11" t="b">
        <f t="shared" si="3"/>
        <v>0</v>
      </c>
    </row>
    <row r="607" ht="22.5" customHeight="1">
      <c r="A607" s="12">
        <f t="shared" si="4"/>
        <v>4205</v>
      </c>
      <c r="B607" s="6" t="s">
        <v>12473</v>
      </c>
      <c r="C607" s="7" t="str">
        <f t="shared" si="6"/>
        <v>🔊</v>
      </c>
      <c r="D607" s="8" t="s">
        <v>12474</v>
      </c>
      <c r="E607" s="6" t="s">
        <v>27</v>
      </c>
      <c r="F607" s="12" t="str">
        <f>IFERROR(__xludf.DUMMYFUNCTION("GOOGLETRANSLATE(B607,""zh_cn"",""vi"")"),"Phong cách gia đình")</f>
        <v>Phong cách gia đình</v>
      </c>
      <c r="G607" s="12"/>
      <c r="H607" s="6"/>
      <c r="I607" s="11" t="b">
        <f t="shared" si="2"/>
        <v>0</v>
      </c>
      <c r="J607" s="24"/>
      <c r="K607" s="11" t="b">
        <f t="shared" si="3"/>
        <v>0</v>
      </c>
    </row>
    <row r="608" ht="22.5" customHeight="1">
      <c r="A608" s="12">
        <f t="shared" si="4"/>
        <v>4206</v>
      </c>
      <c r="B608" s="6" t="s">
        <v>12475</v>
      </c>
      <c r="C608" s="7" t="str">
        <f t="shared" si="6"/>
        <v>🔊</v>
      </c>
      <c r="D608" s="8" t="s">
        <v>12476</v>
      </c>
      <c r="E608" s="6" t="s">
        <v>27</v>
      </c>
      <c r="F608" s="12" t="str">
        <f>IFERROR(__xludf.DUMMYFUNCTION("GOOGLETRANSLATE(B608,""zh_cn"",""vi"")"),"mỗi và mọi gia đình")</f>
        <v>mỗi và mọi gia đình</v>
      </c>
      <c r="G608" s="12"/>
      <c r="H608" s="6"/>
      <c r="I608" s="11" t="b">
        <f t="shared" si="2"/>
        <v>0</v>
      </c>
      <c r="J608" s="24"/>
      <c r="K608" s="11" t="b">
        <f t="shared" si="3"/>
        <v>0</v>
      </c>
    </row>
    <row r="609" ht="22.5" customHeight="1">
      <c r="A609" s="12">
        <f t="shared" si="4"/>
        <v>4207</v>
      </c>
      <c r="B609" s="6" t="s">
        <v>12477</v>
      </c>
      <c r="C609" s="7" t="str">
        <f t="shared" si="6"/>
        <v>🔊</v>
      </c>
      <c r="D609" s="8" t="s">
        <v>4386</v>
      </c>
      <c r="E609" s="6" t="s">
        <v>13</v>
      </c>
      <c r="F609" s="12" t="str">
        <f>IFERROR(__xludf.DUMMYFUNCTION("GOOGLETRANSLATE(B609,""zh_cn"",""vi"")"),"làm trầm trọng thêm")</f>
        <v>làm trầm trọng thêm</v>
      </c>
      <c r="G609" s="12"/>
      <c r="H609" s="6"/>
      <c r="I609" s="11" t="b">
        <f t="shared" si="2"/>
        <v>0</v>
      </c>
      <c r="J609" s="24"/>
      <c r="K609" s="11" t="b">
        <f t="shared" si="3"/>
        <v>0</v>
      </c>
    </row>
    <row r="610" ht="22.5" customHeight="1">
      <c r="A610" s="12">
        <f t="shared" si="4"/>
        <v>4208</v>
      </c>
      <c r="B610" s="6" t="s">
        <v>12478</v>
      </c>
      <c r="C610" s="7" t="str">
        <f t="shared" si="6"/>
        <v>🔊</v>
      </c>
      <c r="D610" s="8" t="s">
        <v>12479</v>
      </c>
      <c r="E610" s="6" t="s">
        <v>27</v>
      </c>
      <c r="F610" s="12" t="str">
        <f>IFERROR(__xludf.DUMMYFUNCTION("GOOGLETRANSLATE(B610,""zh_cn"",""vi"")"),"Trang chủ")</f>
        <v>Trang chủ</v>
      </c>
      <c r="G610" s="12"/>
      <c r="H610" s="6"/>
      <c r="I610" s="11" t="b">
        <f t="shared" si="2"/>
        <v>0</v>
      </c>
      <c r="J610" s="24"/>
      <c r="K610" s="11" t="b">
        <f t="shared" si="3"/>
        <v>0</v>
      </c>
    </row>
    <row r="611" ht="22.5" customHeight="1">
      <c r="A611" s="12">
        <f t="shared" si="4"/>
        <v>4209</v>
      </c>
      <c r="B611" s="6" t="s">
        <v>12480</v>
      </c>
      <c r="C611" s="7" t="str">
        <f t="shared" si="6"/>
        <v>🔊</v>
      </c>
      <c r="D611" s="8" t="s">
        <v>313</v>
      </c>
      <c r="E611" s="6" t="s">
        <v>27</v>
      </c>
      <c r="F611" s="12" t="str">
        <f>IFERROR(__xludf.DUMMYFUNCTION("GOOGLETRANSLATE(B611,""zh_cn"",""vi"")"),"gươm")</f>
        <v>gươm</v>
      </c>
      <c r="G611" s="12"/>
      <c r="H611" s="6"/>
      <c r="I611" s="11" t="b">
        <f t="shared" si="2"/>
        <v>0</v>
      </c>
      <c r="J611" s="24"/>
      <c r="K611" s="11" t="b">
        <f t="shared" si="3"/>
        <v>0</v>
      </c>
    </row>
    <row r="612" ht="22.5" customHeight="1">
      <c r="A612" s="12">
        <f t="shared" si="4"/>
        <v>4210</v>
      </c>
      <c r="B612" s="6" t="s">
        <v>12481</v>
      </c>
      <c r="C612" s="7" t="str">
        <f t="shared" si="6"/>
        <v>🔊</v>
      </c>
      <c r="D612" s="8" t="s">
        <v>313</v>
      </c>
      <c r="E612" s="6" t="s">
        <v>27</v>
      </c>
      <c r="F612" s="12" t="str">
        <f>IFERROR(__xludf.DUMMYFUNCTION("GOOGLETRANSLATE(B612,""zh_cn"",""vi"")"),"mũi tên")</f>
        <v>mũi tên</v>
      </c>
      <c r="G612" s="12"/>
      <c r="H612" s="6"/>
      <c r="I612" s="11" t="b">
        <f t="shared" si="2"/>
        <v>0</v>
      </c>
      <c r="J612" s="24"/>
      <c r="K612" s="11" t="b">
        <f t="shared" si="3"/>
        <v>0</v>
      </c>
    </row>
    <row r="613" ht="22.5" customHeight="1">
      <c r="A613" s="12">
        <f t="shared" si="4"/>
        <v>4211</v>
      </c>
      <c r="B613" s="6" t="s">
        <v>12482</v>
      </c>
      <c r="C613" s="7" t="str">
        <f t="shared" si="6"/>
        <v>🔊</v>
      </c>
      <c r="D613" s="8" t="s">
        <v>1242</v>
      </c>
      <c r="E613" s="6" t="s">
        <v>1164</v>
      </c>
      <c r="F613" s="12" t="str">
        <f>IFERROR(__xludf.DUMMYFUNCTION("GOOGLETRANSLATE(B613,""zh_cn"",""vi"")"),"mẹo")</f>
        <v>mẹo</v>
      </c>
      <c r="G613" s="12"/>
      <c r="H613" s="6"/>
      <c r="I613" s="11" t="b">
        <f t="shared" si="2"/>
        <v>0</v>
      </c>
      <c r="J613" s="24"/>
      <c r="K613" s="11" t="b">
        <f t="shared" si="3"/>
        <v>0</v>
      </c>
    </row>
    <row r="614" ht="22.5" customHeight="1">
      <c r="A614" s="12">
        <f t="shared" si="4"/>
        <v>4212</v>
      </c>
      <c r="B614" s="6" t="s">
        <v>12483</v>
      </c>
      <c r="C614" s="7" t="str">
        <f t="shared" si="6"/>
        <v>🔊</v>
      </c>
      <c r="D614" s="8" t="s">
        <v>12484</v>
      </c>
      <c r="E614" s="6" t="s">
        <v>27</v>
      </c>
      <c r="F614" s="12" t="str">
        <f>IFERROR(__xludf.DUMMYFUNCTION("GOOGLETRANSLATE(B614,""zh_cn"",""vi"")"),"Vai")</f>
        <v>Vai</v>
      </c>
      <c r="G614" s="12"/>
      <c r="H614" s="6"/>
      <c r="I614" s="11" t="b">
        <f t="shared" si="2"/>
        <v>0</v>
      </c>
      <c r="J614" s="24"/>
      <c r="K614" s="11" t="b">
        <f t="shared" si="3"/>
        <v>0</v>
      </c>
    </row>
    <row r="615" ht="22.5" customHeight="1">
      <c r="A615" s="12">
        <f t="shared" si="4"/>
        <v>4213</v>
      </c>
      <c r="B615" s="6" t="s">
        <v>12485</v>
      </c>
      <c r="C615" s="7" t="str">
        <f t="shared" si="6"/>
        <v>🔊</v>
      </c>
      <c r="D615" s="8" t="s">
        <v>12486</v>
      </c>
      <c r="E615" s="6" t="s">
        <v>13</v>
      </c>
      <c r="F615" s="12" t="str">
        <f>IFERROR(__xludf.DUMMYFUNCTION("GOOGLETRANSLATE(B615,""zh_cn"",""vi"")"),"Phát hiện")</f>
        <v>Phát hiện</v>
      </c>
      <c r="G615" s="12"/>
      <c r="H615" s="6"/>
      <c r="I615" s="11" t="b">
        <f t="shared" si="2"/>
        <v>0</v>
      </c>
      <c r="J615" s="24"/>
      <c r="K615" s="11" t="b">
        <f t="shared" si="3"/>
        <v>0</v>
      </c>
    </row>
    <row r="616" ht="22.5" customHeight="1">
      <c r="A616" s="12">
        <f t="shared" si="4"/>
        <v>4214</v>
      </c>
      <c r="B616" s="6" t="s">
        <v>12487</v>
      </c>
      <c r="C616" s="7" t="str">
        <f t="shared" si="6"/>
        <v>🔊</v>
      </c>
      <c r="D616" s="8" t="s">
        <v>12488</v>
      </c>
      <c r="E616" s="6" t="s">
        <v>13</v>
      </c>
      <c r="F616" s="12" t="str">
        <f>IFERROR(__xludf.DUMMYFUNCTION("GOOGLETRANSLATE(B616,""zh_cn"",""vi"")"),"màn hình")</f>
        <v>màn hình</v>
      </c>
      <c r="G616" s="12"/>
      <c r="H616" s="6"/>
      <c r="I616" s="11" t="b">
        <f t="shared" si="2"/>
        <v>0</v>
      </c>
      <c r="J616" s="24"/>
      <c r="K616" s="11" t="b">
        <f t="shared" si="3"/>
        <v>0</v>
      </c>
    </row>
    <row r="617" ht="22.5" customHeight="1">
      <c r="A617" s="12">
        <f t="shared" si="4"/>
        <v>4215</v>
      </c>
      <c r="B617" s="6" t="s">
        <v>12489</v>
      </c>
      <c r="C617" s="7" t="str">
        <f t="shared" si="6"/>
        <v>🔊</v>
      </c>
      <c r="D617" s="8" t="s">
        <v>12490</v>
      </c>
      <c r="E617" s="6" t="s">
        <v>232</v>
      </c>
      <c r="F617" s="12" t="str">
        <f>IFERROR(__xludf.DUMMYFUNCTION("GOOGLETRANSLATE(B617,""zh_cn"",""vi"")"),"Nhận dạng")</f>
        <v>Nhận dạng</v>
      </c>
      <c r="G617" s="12"/>
      <c r="H617" s="6"/>
      <c r="I617" s="11" t="b">
        <f t="shared" si="2"/>
        <v>0</v>
      </c>
      <c r="J617" s="24"/>
      <c r="K617" s="11" t="b">
        <f t="shared" si="3"/>
        <v>0</v>
      </c>
    </row>
    <row r="618" ht="22.5" customHeight="1">
      <c r="A618" s="12">
        <f t="shared" si="4"/>
        <v>4216</v>
      </c>
      <c r="B618" s="6" t="s">
        <v>12491</v>
      </c>
      <c r="C618" s="7" t="str">
        <f t="shared" si="6"/>
        <v>🔊</v>
      </c>
      <c r="D618" s="8" t="s">
        <v>12492</v>
      </c>
      <c r="E618" s="6" t="s">
        <v>416</v>
      </c>
      <c r="F618" s="12" t="str">
        <f>IFERROR(__xludf.DUMMYFUNCTION("GOOGLETRANSLATE(B618,""zh_cn"",""vi"")"),"vững chãi")</f>
        <v>vững chãi</v>
      </c>
      <c r="G618" s="12"/>
      <c r="H618" s="6"/>
      <c r="I618" s="11" t="b">
        <f t="shared" si="2"/>
        <v>0</v>
      </c>
      <c r="J618" s="24"/>
      <c r="K618" s="11" t="b">
        <f t="shared" si="3"/>
        <v>0</v>
      </c>
    </row>
    <row r="619" ht="22.5" customHeight="1">
      <c r="A619" s="12">
        <f t="shared" si="4"/>
        <v>4217</v>
      </c>
      <c r="B619" s="6" t="s">
        <v>12493</v>
      </c>
      <c r="C619" s="7" t="str">
        <f t="shared" si="6"/>
        <v>🔊</v>
      </c>
      <c r="D619" s="8" t="s">
        <v>12494</v>
      </c>
      <c r="E619" s="6" t="s">
        <v>13</v>
      </c>
      <c r="F619" s="12" t="str">
        <f>IFERROR(__xludf.DUMMYFUNCTION("GOOGLETRANSLATE(B619,""zh_cn"",""vi"")"),"Giám sát")</f>
        <v>Giám sát</v>
      </c>
      <c r="G619" s="12"/>
      <c r="H619" s="6"/>
      <c r="I619" s="11" t="b">
        <f t="shared" si="2"/>
        <v>0</v>
      </c>
      <c r="J619" s="24"/>
      <c r="K619" s="11" t="b">
        <f t="shared" si="3"/>
        <v>0</v>
      </c>
    </row>
    <row r="620" ht="22.5" customHeight="1">
      <c r="A620" s="12">
        <f t="shared" si="4"/>
        <v>4218</v>
      </c>
      <c r="B620" s="6" t="s">
        <v>12495</v>
      </c>
      <c r="C620" s="7" t="str">
        <f t="shared" si="6"/>
        <v>🔊</v>
      </c>
      <c r="D620" s="8" t="s">
        <v>4395</v>
      </c>
      <c r="E620" s="6" t="s">
        <v>57</v>
      </c>
      <c r="F620" s="12" t="str">
        <f>IFERROR(__xludf.DUMMYFUNCTION("GOOGLETRANSLATE(B620,""zh_cn"",""vi"")"),"Nước xốt")</f>
        <v>Nước xốt</v>
      </c>
      <c r="G620" s="12"/>
      <c r="H620" s="6"/>
      <c r="I620" s="11" t="b">
        <f t="shared" si="2"/>
        <v>0</v>
      </c>
      <c r="J620" s="24"/>
      <c r="K620" s="11" t="b">
        <f t="shared" si="3"/>
        <v>0</v>
      </c>
    </row>
    <row r="621" ht="22.5" customHeight="1">
      <c r="A621" s="12">
        <f t="shared" si="4"/>
        <v>4219</v>
      </c>
      <c r="B621" s="6" t="s">
        <v>12496</v>
      </c>
      <c r="C621" s="7" t="str">
        <f t="shared" si="6"/>
        <v>🔊</v>
      </c>
      <c r="D621" s="8" t="s">
        <v>12497</v>
      </c>
      <c r="E621" s="6" t="s">
        <v>57</v>
      </c>
      <c r="F621" s="12" t="str">
        <f>IFERROR(__xludf.DUMMYFUNCTION("GOOGLETRANSLATE(B621,""zh_cn"",""vi"")"),"khoảng thời gian")</f>
        <v>khoảng thời gian</v>
      </c>
      <c r="G621" s="12"/>
      <c r="H621" s="6"/>
      <c r="I621" s="11" t="b">
        <f t="shared" si="2"/>
        <v>0</v>
      </c>
      <c r="J621" s="24"/>
      <c r="K621" s="11" t="b">
        <f t="shared" si="3"/>
        <v>0</v>
      </c>
    </row>
    <row r="622" ht="22.5" customHeight="1">
      <c r="A622" s="12">
        <f t="shared" si="4"/>
        <v>4220</v>
      </c>
      <c r="B622" s="6" t="s">
        <v>12498</v>
      </c>
      <c r="C622" s="7" t="str">
        <f t="shared" si="6"/>
        <v>🔊</v>
      </c>
      <c r="D622" s="8" t="s">
        <v>12499</v>
      </c>
      <c r="E622" s="6" t="s">
        <v>13</v>
      </c>
      <c r="F622" s="12" t="str">
        <f>IFERROR(__xludf.DUMMYFUNCTION("GOOGLETRANSLATE(B622,""zh_cn"",""vi"")"),"giải thích")</f>
        <v>giải thích</v>
      </c>
      <c r="G622" s="12"/>
      <c r="H622" s="6"/>
      <c r="I622" s="11" t="b">
        <f t="shared" si="2"/>
        <v>0</v>
      </c>
      <c r="J622" s="24"/>
      <c r="K622" s="11" t="b">
        <f t="shared" si="3"/>
        <v>0</v>
      </c>
    </row>
    <row r="623" ht="22.5" customHeight="1">
      <c r="A623" s="12">
        <f t="shared" si="4"/>
        <v>4221</v>
      </c>
      <c r="B623" s="6" t="s">
        <v>12500</v>
      </c>
      <c r="C623" s="7" t="str">
        <f t="shared" si="6"/>
        <v>🔊</v>
      </c>
      <c r="D623" s="8" t="s">
        <v>12501</v>
      </c>
      <c r="E623" s="6" t="s">
        <v>27</v>
      </c>
      <c r="F623" s="12" t="str">
        <f>IFERROR(__xludf.DUMMYFUNCTION("GOOGLETRANSLATE(B623,""zh_cn"",""vi"")"),"Tổng quan")</f>
        <v>Tổng quan</v>
      </c>
      <c r="G623" s="12"/>
      <c r="H623" s="6"/>
      <c r="I623" s="11" t="b">
        <f t="shared" si="2"/>
        <v>0</v>
      </c>
      <c r="J623" s="24"/>
      <c r="K623" s="11" t="b">
        <f t="shared" si="3"/>
        <v>0</v>
      </c>
    </row>
    <row r="624" ht="22.5" customHeight="1">
      <c r="A624" s="12">
        <f t="shared" si="4"/>
        <v>4222</v>
      </c>
      <c r="B624" s="6" t="s">
        <v>12502</v>
      </c>
      <c r="C624" s="7" t="str">
        <f t="shared" si="6"/>
        <v>🔊</v>
      </c>
      <c r="D624" s="8" t="s">
        <v>12503</v>
      </c>
      <c r="E624" s="6" t="s">
        <v>27</v>
      </c>
      <c r="F624" s="12" t="str">
        <f>IFERROR(__xludf.DUMMYFUNCTION("GOOGLETRANSLATE(B624,""zh_cn"",""vi"")"),"Huy chương")</f>
        <v>Huy chương</v>
      </c>
      <c r="G624" s="12"/>
      <c r="H624" s="6"/>
      <c r="I624" s="11" t="b">
        <f t="shared" si="2"/>
        <v>0</v>
      </c>
      <c r="J624" s="24"/>
      <c r="K624" s="11" t="b">
        <f t="shared" si="3"/>
        <v>0</v>
      </c>
    </row>
    <row r="625" ht="22.5" customHeight="1">
      <c r="A625" s="12">
        <f t="shared" si="4"/>
        <v>4223</v>
      </c>
      <c r="B625" s="6" t="s">
        <v>12504</v>
      </c>
      <c r="C625" s="7" t="str">
        <f t="shared" si="6"/>
        <v>🔊</v>
      </c>
      <c r="D625" s="8" t="s">
        <v>12505</v>
      </c>
      <c r="E625" s="6" t="s">
        <v>27</v>
      </c>
      <c r="F625" s="12" t="str">
        <f>IFERROR(__xludf.DUMMYFUNCTION("GOOGLETRANSLATE(B625,""zh_cn"",""vi"")"),"phần thưởng")</f>
        <v>phần thưởng</v>
      </c>
      <c r="G625" s="12"/>
      <c r="H625" s="6"/>
      <c r="I625" s="11" t="b">
        <f t="shared" si="2"/>
        <v>0</v>
      </c>
      <c r="J625" s="24"/>
      <c r="K625" s="11" t="b">
        <f t="shared" si="3"/>
        <v>0</v>
      </c>
    </row>
    <row r="626" ht="22.5" customHeight="1">
      <c r="A626" s="12">
        <f t="shared" si="4"/>
        <v>4224</v>
      </c>
      <c r="B626" s="6" t="s">
        <v>12506</v>
      </c>
      <c r="C626" s="7" t="str">
        <f t="shared" si="6"/>
        <v>🔊</v>
      </c>
      <c r="D626" s="8" t="s">
        <v>12507</v>
      </c>
      <c r="E626" s="6" t="s">
        <v>99</v>
      </c>
      <c r="F626" s="12" t="str">
        <f>IFERROR(__xludf.DUMMYFUNCTION("GOOGLETRANSLATE(B626,""zh_cn"",""vi"")"),"chắc chắn")</f>
        <v>chắc chắn</v>
      </c>
      <c r="G626" s="12"/>
      <c r="H626" s="6"/>
      <c r="I626" s="11" t="b">
        <f t="shared" si="2"/>
        <v>0</v>
      </c>
      <c r="J626" s="24"/>
      <c r="K626" s="11" t="b">
        <f t="shared" si="3"/>
        <v>0</v>
      </c>
    </row>
    <row r="627" ht="22.5" customHeight="1">
      <c r="A627" s="12">
        <f t="shared" si="4"/>
        <v>4225</v>
      </c>
      <c r="B627" s="6" t="s">
        <v>12508</v>
      </c>
      <c r="C627" s="7" t="str">
        <f t="shared" si="6"/>
        <v>🔊</v>
      </c>
      <c r="D627" s="8" t="s">
        <v>12509</v>
      </c>
      <c r="E627" s="6" t="s">
        <v>27</v>
      </c>
      <c r="F627" s="12" t="str">
        <f>IFERROR(__xludf.DUMMYFUNCTION("GOOGLETRANSLATE(B627,""zh_cn"",""vi"")"),"nước tương")</f>
        <v>nước tương</v>
      </c>
      <c r="G627" s="12"/>
      <c r="H627" s="6"/>
      <c r="I627" s="11" t="b">
        <f t="shared" si="2"/>
        <v>0</v>
      </c>
      <c r="J627" s="24"/>
      <c r="K627" s="11" t="b">
        <f t="shared" si="3"/>
        <v>0</v>
      </c>
    </row>
    <row r="628" ht="22.5" customHeight="1">
      <c r="A628" s="12">
        <f t="shared" si="4"/>
        <v>4226</v>
      </c>
      <c r="B628" s="6" t="s">
        <v>12510</v>
      </c>
      <c r="C628" s="7" t="str">
        <f t="shared" si="6"/>
        <v>🔊</v>
      </c>
      <c r="D628" s="8" t="s">
        <v>12511</v>
      </c>
      <c r="E628" s="6" t="s">
        <v>13</v>
      </c>
      <c r="F628" s="12" t="str">
        <f>IFERROR(__xludf.DUMMYFUNCTION("GOOGLETRANSLATE(B628,""zh_cn"",""vi"")"),"đơn giản hóa")</f>
        <v>đơn giản hóa</v>
      </c>
      <c r="G628" s="12"/>
      <c r="H628" s="6"/>
      <c r="I628" s="11" t="b">
        <f t="shared" si="2"/>
        <v>0</v>
      </c>
      <c r="J628" s="24"/>
      <c r="K628" s="11" t="b">
        <f t="shared" si="3"/>
        <v>0</v>
      </c>
    </row>
    <row r="629" ht="22.5" customHeight="1">
      <c r="A629" s="12">
        <f t="shared" si="4"/>
        <v>4227</v>
      </c>
      <c r="B629" s="6" t="s">
        <v>12512</v>
      </c>
      <c r="C629" s="7" t="str">
        <f t="shared" si="6"/>
        <v>🔊</v>
      </c>
      <c r="D629" s="8" t="s">
        <v>12513</v>
      </c>
      <c r="E629" s="6" t="s">
        <v>99</v>
      </c>
      <c r="F629" s="12" t="str">
        <f>IFERROR(__xludf.DUMMYFUNCTION("GOOGLETRANSLATE(B629,""zh_cn"",""vi"")"),"gián tiếp")</f>
        <v>gián tiếp</v>
      </c>
      <c r="G629" s="12"/>
      <c r="H629" s="6"/>
      <c r="I629" s="11" t="b">
        <f t="shared" si="2"/>
        <v>0</v>
      </c>
      <c r="J629" s="24"/>
      <c r="K629" s="11" t="b">
        <f t="shared" si="3"/>
        <v>0</v>
      </c>
    </row>
    <row r="630" ht="22.5" customHeight="1">
      <c r="A630" s="12">
        <f t="shared" si="4"/>
        <v>4228</v>
      </c>
      <c r="B630" s="6" t="s">
        <v>12514</v>
      </c>
      <c r="C630" s="7" t="str">
        <f t="shared" si="6"/>
        <v>🔊</v>
      </c>
      <c r="D630" s="8" t="s">
        <v>12515</v>
      </c>
      <c r="E630" s="6" t="s">
        <v>232</v>
      </c>
      <c r="F630" s="12" t="str">
        <f>IFERROR(__xludf.DUMMYFUNCTION("GOOGLETRANSLATE(B630,""zh_cn"",""vi"")"),"Giới thiệu")</f>
        <v>Giới thiệu</v>
      </c>
      <c r="G630" s="12"/>
      <c r="H630" s="6"/>
      <c r="I630" s="11" t="b">
        <f t="shared" si="2"/>
        <v>0</v>
      </c>
      <c r="J630" s="24"/>
      <c r="K630" s="11" t="b">
        <f t="shared" si="3"/>
        <v>0</v>
      </c>
    </row>
    <row r="631" ht="22.5" customHeight="1">
      <c r="A631" s="12">
        <f t="shared" si="4"/>
        <v>4229</v>
      </c>
      <c r="B631" s="6" t="s">
        <v>12516</v>
      </c>
      <c r="C631" s="7" t="str">
        <f t="shared" si="6"/>
        <v>🔊</v>
      </c>
      <c r="D631" s="8" t="s">
        <v>12517</v>
      </c>
      <c r="E631" s="6" t="s">
        <v>99</v>
      </c>
      <c r="F631" s="12" t="str">
        <f>IFERROR(__xludf.DUMMYFUNCTION("GOOGLETRANSLATE(B631,""zh_cn"",""vi"")"),"Kiên quyết")</f>
        <v>Kiên quyết</v>
      </c>
      <c r="G631" s="12"/>
      <c r="H631" s="6"/>
      <c r="I631" s="11" t="b">
        <f t="shared" si="2"/>
        <v>0</v>
      </c>
      <c r="J631" s="24"/>
      <c r="K631" s="11" t="b">
        <f t="shared" si="3"/>
        <v>0</v>
      </c>
    </row>
    <row r="632" ht="22.5" customHeight="1">
      <c r="A632" s="12">
        <f t="shared" si="4"/>
        <v>4230</v>
      </c>
      <c r="B632" s="6" t="s">
        <v>12518</v>
      </c>
      <c r="C632" s="7" t="str">
        <f t="shared" si="6"/>
        <v>🔊</v>
      </c>
      <c r="D632" s="8" t="s">
        <v>12519</v>
      </c>
      <c r="E632" s="6" t="s">
        <v>99</v>
      </c>
      <c r="F632" s="12" t="str">
        <f>IFERROR(__xludf.DUMMYFUNCTION("GOOGLETRANSLATE(B632,""zh_cn"",""vi"")"),"khó ")</f>
        <v>khó </v>
      </c>
      <c r="G632" s="12"/>
      <c r="H632" s="6"/>
      <c r="I632" s="11" t="b">
        <f t="shared" si="2"/>
        <v>0</v>
      </c>
      <c r="J632" s="24"/>
      <c r="K632" s="11" t="b">
        <f t="shared" si="3"/>
        <v>0</v>
      </c>
    </row>
    <row r="633" ht="22.5" customHeight="1">
      <c r="A633" s="12">
        <f t="shared" si="4"/>
        <v>4231</v>
      </c>
      <c r="B633" s="6" t="s">
        <v>12520</v>
      </c>
      <c r="C633" s="7" t="str">
        <f t="shared" si="6"/>
        <v>🔊</v>
      </c>
      <c r="D633" s="8" t="s">
        <v>12521</v>
      </c>
      <c r="E633" s="6" t="s">
        <v>416</v>
      </c>
      <c r="F633" s="12" t="str">
        <f>IFERROR(__xludf.DUMMYFUNCTION("GOOGLETRANSLATE(B633,""zh_cn"",""vi"")"),"âm thanh")</f>
        <v>âm thanh</v>
      </c>
      <c r="G633" s="12"/>
      <c r="H633" s="6"/>
      <c r="I633" s="11" t="b">
        <f t="shared" si="2"/>
        <v>0</v>
      </c>
      <c r="J633" s="24"/>
      <c r="K633" s="11" t="b">
        <f t="shared" si="3"/>
        <v>0</v>
      </c>
    </row>
    <row r="634" ht="22.5" customHeight="1">
      <c r="A634" s="12">
        <f t="shared" si="4"/>
        <v>4232</v>
      </c>
      <c r="B634" s="6" t="s">
        <v>12522</v>
      </c>
      <c r="C634" s="7" t="str">
        <f t="shared" si="6"/>
        <v>🔊</v>
      </c>
      <c r="D634" s="8" t="s">
        <v>12523</v>
      </c>
      <c r="E634" s="6" t="s">
        <v>13</v>
      </c>
      <c r="F634" s="12" t="str">
        <f>IFERROR(__xludf.DUMMYFUNCTION("GOOGLETRANSLATE(B634,""zh_cn"",""vi"")"),"làm suy yếu")</f>
        <v>làm suy yếu</v>
      </c>
      <c r="G634" s="12"/>
      <c r="H634" s="6"/>
      <c r="I634" s="11" t="b">
        <f t="shared" si="2"/>
        <v>0</v>
      </c>
      <c r="J634" s="24"/>
      <c r="K634" s="11" t="b">
        <f t="shared" si="3"/>
        <v>0</v>
      </c>
    </row>
    <row r="635" ht="22.5" customHeight="1">
      <c r="A635" s="12">
        <f t="shared" si="4"/>
        <v>4233</v>
      </c>
      <c r="B635" s="6" t="s">
        <v>12524</v>
      </c>
      <c r="C635" s="7" t="str">
        <f t="shared" si="6"/>
        <v>🔊</v>
      </c>
      <c r="D635" s="8" t="s">
        <v>12525</v>
      </c>
      <c r="E635" s="6" t="s">
        <v>99</v>
      </c>
      <c r="F635" s="12" t="str">
        <f>IFERROR(__xludf.DUMMYFUNCTION("GOOGLETRANSLATE(B635,""zh_cn"",""vi"")"),"khó khăn")</f>
        <v>khó khăn</v>
      </c>
      <c r="G635" s="12"/>
      <c r="H635" s="6"/>
      <c r="I635" s="11" t="b">
        <f t="shared" si="2"/>
        <v>0</v>
      </c>
      <c r="J635" s="24"/>
      <c r="K635" s="11" t="b">
        <f t="shared" si="3"/>
        <v>0</v>
      </c>
    </row>
    <row r="636" ht="22.5" customHeight="1">
      <c r="A636" s="12">
        <f t="shared" si="4"/>
        <v>4234</v>
      </c>
      <c r="B636" s="6" t="s">
        <v>12526</v>
      </c>
      <c r="C636" s="7" t="str">
        <f t="shared" si="6"/>
        <v>🔊</v>
      </c>
      <c r="D636" s="8" t="s">
        <v>12527</v>
      </c>
      <c r="E636" s="6" t="s">
        <v>13</v>
      </c>
      <c r="F636" s="12" t="str">
        <f>IFERROR(__xludf.DUMMYFUNCTION("GOOGLETRANSLATE(B636,""zh_cn"",""vi"")"),"giảm áp suất")</f>
        <v>giảm áp suất</v>
      </c>
      <c r="G636" s="12"/>
      <c r="H636" s="6"/>
      <c r="I636" s="11" t="b">
        <f t="shared" si="2"/>
        <v>0</v>
      </c>
      <c r="J636" s="24"/>
      <c r="K636" s="11" t="b">
        <f t="shared" si="3"/>
        <v>0</v>
      </c>
    </row>
    <row r="637" ht="22.5" customHeight="1">
      <c r="A637" s="12">
        <f t="shared" si="4"/>
        <v>4235</v>
      </c>
      <c r="B637" s="6" t="s">
        <v>12528</v>
      </c>
      <c r="C637" s="7" t="str">
        <f t="shared" si="6"/>
        <v>🔊</v>
      </c>
      <c r="D637" s="8" t="s">
        <v>12529</v>
      </c>
      <c r="E637" s="6" t="s">
        <v>13</v>
      </c>
      <c r="F637" s="12" t="str">
        <f>IFERROR(__xludf.DUMMYFUNCTION("GOOGLETRANSLATE(B637,""zh_cn"",""vi"")"),"Bài kiểm tra")</f>
        <v>Bài kiểm tra</v>
      </c>
      <c r="G637" s="12"/>
      <c r="H637" s="6"/>
      <c r="I637" s="11" t="b">
        <f t="shared" si="2"/>
        <v>0</v>
      </c>
      <c r="J637" s="24"/>
      <c r="K637" s="11" t="b">
        <f t="shared" si="3"/>
        <v>0</v>
      </c>
    </row>
    <row r="638" ht="22.5" customHeight="1">
      <c r="A638" s="12">
        <f t="shared" si="4"/>
        <v>4236</v>
      </c>
      <c r="B638" s="6" t="s">
        <v>12530</v>
      </c>
      <c r="C638" s="7" t="str">
        <f t="shared" si="6"/>
        <v>🔊</v>
      </c>
      <c r="D638" s="8" t="s">
        <v>12531</v>
      </c>
      <c r="E638" s="6" t="s">
        <v>99</v>
      </c>
      <c r="F638" s="12" t="str">
        <f>IFERROR(__xludf.DUMMYFUNCTION("GOOGLETRANSLATE(B638,""zh_cn"",""vi"")"),"cứng")</f>
        <v>cứng</v>
      </c>
      <c r="G638" s="12"/>
      <c r="H638" s="6"/>
      <c r="I638" s="11" t="b">
        <f t="shared" si="2"/>
        <v>0</v>
      </c>
      <c r="J638" s="24"/>
      <c r="K638" s="11" t="b">
        <f t="shared" si="3"/>
        <v>0</v>
      </c>
    </row>
    <row r="639" ht="22.5" customHeight="1">
      <c r="A639" s="12">
        <f t="shared" si="4"/>
        <v>4237</v>
      </c>
      <c r="B639" s="6" t="s">
        <v>12532</v>
      </c>
      <c r="C639" s="7" t="str">
        <f t="shared" si="6"/>
        <v>🔊</v>
      </c>
      <c r="D639" s="8" t="s">
        <v>12533</v>
      </c>
      <c r="E639" s="6" t="s">
        <v>232</v>
      </c>
      <c r="F639" s="12" t="str">
        <f>IFERROR(__xludf.DUMMYFUNCTION("GOOGLETRANSLATE(B639,""zh_cn"",""vi"")"),"bán thời gian")</f>
        <v>bán thời gian</v>
      </c>
      <c r="G639" s="12"/>
      <c r="H639" s="6"/>
      <c r="I639" s="11" t="b">
        <f t="shared" si="2"/>
        <v>0</v>
      </c>
      <c r="J639" s="24"/>
      <c r="K639" s="11" t="b">
        <f t="shared" si="3"/>
        <v>0</v>
      </c>
    </row>
    <row r="640" ht="22.5" customHeight="1">
      <c r="A640" s="12">
        <f t="shared" si="4"/>
        <v>4238</v>
      </c>
      <c r="B640" s="6" t="s">
        <v>12534</v>
      </c>
      <c r="C640" s="7" t="str">
        <f t="shared" si="6"/>
        <v>🔊</v>
      </c>
      <c r="D640" s="8" t="s">
        <v>12535</v>
      </c>
      <c r="E640" s="6" t="s">
        <v>27</v>
      </c>
      <c r="F640" s="12" t="str">
        <f>IFERROR(__xludf.DUMMYFUNCTION("GOOGLETRANSLATE(B640,""zh_cn"",""vi"")"),"xây dựng")</f>
        <v>xây dựng</v>
      </c>
      <c r="G640" s="12"/>
      <c r="H640" s="6"/>
      <c r="I640" s="11" t="b">
        <f t="shared" si="2"/>
        <v>0</v>
      </c>
      <c r="J640" s="24"/>
      <c r="K640" s="11" t="b">
        <f t="shared" si="3"/>
        <v>0</v>
      </c>
    </row>
    <row r="641" ht="22.5" customHeight="1">
      <c r="A641" s="12">
        <f t="shared" si="4"/>
        <v>4239</v>
      </c>
      <c r="B641" s="6" t="s">
        <v>12536</v>
      </c>
      <c r="C641" s="7" t="str">
        <f t="shared" si="6"/>
        <v>🔊</v>
      </c>
      <c r="D641" s="8" t="s">
        <v>12537</v>
      </c>
      <c r="E641" s="6" t="s">
        <v>27</v>
      </c>
      <c r="F641" s="12" t="str">
        <f>IFERROR(__xludf.DUMMYFUNCTION("GOOGLETRANSLATE(B641,""zh_cn"",""vi"")"),"băng dính")</f>
        <v>băng dính</v>
      </c>
      <c r="G641" s="12"/>
      <c r="H641" s="6"/>
      <c r="I641" s="11" t="b">
        <f t="shared" si="2"/>
        <v>0</v>
      </c>
      <c r="J641" s="24"/>
      <c r="K641" s="11" t="b">
        <f t="shared" si="3"/>
        <v>0</v>
      </c>
    </row>
    <row r="642" ht="22.5" customHeight="1">
      <c r="A642" s="12">
        <f t="shared" si="4"/>
        <v>4240</v>
      </c>
      <c r="B642" s="6" t="s">
        <v>12538</v>
      </c>
      <c r="C642" s="7" t="str">
        <f t="shared" si="6"/>
        <v>🔊</v>
      </c>
      <c r="D642" s="8" t="s">
        <v>12539</v>
      </c>
      <c r="E642" s="6" t="s">
        <v>27</v>
      </c>
      <c r="F642" s="12" t="str">
        <f>IFERROR(__xludf.DUMMYFUNCTION("GOOGLETRANSLATE(B642,""zh_cn"",""vi"")"),"tập trung")</f>
        <v>tập trung</v>
      </c>
      <c r="G642" s="12"/>
      <c r="H642" s="6"/>
      <c r="I642" s="11" t="b">
        <f t="shared" si="2"/>
        <v>0</v>
      </c>
      <c r="J642" s="24"/>
      <c r="K642" s="11" t="b">
        <f t="shared" si="3"/>
        <v>0</v>
      </c>
    </row>
    <row r="643" ht="22.5" customHeight="1">
      <c r="A643" s="12">
        <f t="shared" si="4"/>
        <v>4241</v>
      </c>
      <c r="B643" s="6" t="s">
        <v>12540</v>
      </c>
      <c r="C643" s="7" t="str">
        <f t="shared" si="6"/>
        <v>🔊</v>
      </c>
      <c r="D643" s="8" t="s">
        <v>12541</v>
      </c>
      <c r="E643" s="6" t="s">
        <v>13</v>
      </c>
      <c r="F643" s="12" t="str">
        <f>IFERROR(__xludf.DUMMYFUNCTION("GOOGLETRANSLATE(B643,""zh_cn"",""vi"")"),"giao tiếp")</f>
        <v>giao tiếp</v>
      </c>
      <c r="G643" s="12"/>
      <c r="H643" s="6"/>
      <c r="I643" s="11" t="b">
        <f t="shared" si="2"/>
        <v>0</v>
      </c>
      <c r="J643" s="24"/>
      <c r="K643" s="11" t="b">
        <f t="shared" si="3"/>
        <v>0</v>
      </c>
    </row>
    <row r="644" ht="22.5" customHeight="1">
      <c r="A644" s="12">
        <f t="shared" si="4"/>
        <v>4242</v>
      </c>
      <c r="B644" s="6" t="s">
        <v>12542</v>
      </c>
      <c r="C644" s="7" t="str">
        <f t="shared" si="6"/>
        <v>🔊</v>
      </c>
      <c r="D644" s="8" t="s">
        <v>12543</v>
      </c>
      <c r="E644" s="6" t="s">
        <v>99</v>
      </c>
      <c r="F644" s="12" t="str">
        <f>IFERROR(__xludf.DUMMYFUNCTION("GOOGLETRANSLATE(B644,""zh_cn"",""vi"")"),"sự lo lắng")</f>
        <v>sự lo lắng</v>
      </c>
      <c r="G644" s="12"/>
      <c r="H644" s="6"/>
      <c r="I644" s="11" t="b">
        <f t="shared" si="2"/>
        <v>0</v>
      </c>
      <c r="J644" s="24"/>
      <c r="K644" s="11" t="b">
        <f t="shared" si="3"/>
        <v>0</v>
      </c>
    </row>
    <row r="645" ht="22.5" customHeight="1">
      <c r="A645" s="12">
        <f t="shared" si="4"/>
        <v>4243</v>
      </c>
      <c r="B645" s="6" t="s">
        <v>12544</v>
      </c>
      <c r="C645" s="7" t="str">
        <f t="shared" si="6"/>
        <v>🔊</v>
      </c>
      <c r="D645" s="8" t="s">
        <v>12545</v>
      </c>
      <c r="E645" s="6" t="s">
        <v>27</v>
      </c>
      <c r="F645" s="12" t="str">
        <f>IFERROR(__xludf.DUMMYFUNCTION("GOOGLETRANSLATE(B645,""zh_cn"",""vi"")"),"góc")</f>
        <v>góc</v>
      </c>
      <c r="G645" s="12"/>
      <c r="H645" s="6"/>
      <c r="I645" s="11" t="b">
        <f t="shared" si="2"/>
        <v>0</v>
      </c>
      <c r="J645" s="24"/>
      <c r="K645" s="11" t="b">
        <f t="shared" si="3"/>
        <v>0</v>
      </c>
    </row>
    <row r="646" ht="22.5" customHeight="1">
      <c r="A646" s="12">
        <f t="shared" si="4"/>
        <v>4244</v>
      </c>
      <c r="B646" s="6" t="s">
        <v>12546</v>
      </c>
      <c r="C646" s="7" t="str">
        <f t="shared" si="6"/>
        <v>🔊</v>
      </c>
      <c r="D646" s="8" t="s">
        <v>12547</v>
      </c>
      <c r="E646" s="6" t="s">
        <v>27</v>
      </c>
      <c r="F646" s="12" t="str">
        <f>IFERROR(__xludf.DUMMYFUNCTION("GOOGLETRANSLATE(B646,""zh_cn"",""vi"")"),"keo dán")</f>
        <v>keo dán</v>
      </c>
      <c r="G646" s="12"/>
      <c r="H646" s="6"/>
      <c r="I646" s="11" t="b">
        <f t="shared" si="2"/>
        <v>0</v>
      </c>
      <c r="J646" s="24"/>
      <c r="K646" s="11" t="b">
        <f t="shared" si="3"/>
        <v>0</v>
      </c>
    </row>
    <row r="647" ht="22.5" customHeight="1">
      <c r="A647" s="12">
        <f t="shared" si="4"/>
        <v>4245</v>
      </c>
      <c r="B647" s="6" t="s">
        <v>12548</v>
      </c>
      <c r="C647" s="7" t="str">
        <f t="shared" si="6"/>
        <v>🔊</v>
      </c>
      <c r="D647" s="8" t="s">
        <v>12549</v>
      </c>
      <c r="E647" s="6" t="s">
        <v>13</v>
      </c>
      <c r="F647" s="12" t="str">
        <f>IFERROR(__xludf.DUMMYFUNCTION("GOOGLETRANSLATE(B647,""zh_cn"",""vi"")"),"trò chuyện")</f>
        <v>trò chuyện</v>
      </c>
      <c r="G647" s="12"/>
      <c r="H647" s="6"/>
      <c r="I647" s="11" t="b">
        <f t="shared" si="2"/>
        <v>0</v>
      </c>
      <c r="J647" s="24"/>
      <c r="K647" s="11" t="b">
        <f t="shared" si="3"/>
        <v>0</v>
      </c>
    </row>
    <row r="648" ht="22.5" customHeight="1">
      <c r="A648" s="12">
        <f t="shared" si="4"/>
        <v>4246</v>
      </c>
      <c r="B648" s="6" t="s">
        <v>12550</v>
      </c>
      <c r="C648" s="7" t="str">
        <f t="shared" si="6"/>
        <v>🔊</v>
      </c>
      <c r="D648" s="8" t="s">
        <v>12551</v>
      </c>
      <c r="E648" s="6" t="s">
        <v>27</v>
      </c>
      <c r="F648" s="12" t="str">
        <f>IFERROR(__xludf.DUMMYFUNCTION("GOOGLETRANSLATE(B648,""zh_cn"",""vi"")"),"vùng ngoại ô")</f>
        <v>vùng ngoại ô</v>
      </c>
      <c r="G648" s="12"/>
      <c r="H648" s="6"/>
      <c r="I648" s="11" t="b">
        <f t="shared" si="2"/>
        <v>0</v>
      </c>
      <c r="J648" s="24"/>
      <c r="K648" s="11" t="b">
        <f t="shared" si="3"/>
        <v>0</v>
      </c>
    </row>
    <row r="649" ht="22.5" customHeight="1">
      <c r="A649" s="12">
        <f t="shared" si="4"/>
        <v>4247</v>
      </c>
      <c r="B649" s="6" t="s">
        <v>12552</v>
      </c>
      <c r="C649" s="7" t="str">
        <f t="shared" si="6"/>
        <v>🔊</v>
      </c>
      <c r="D649" s="8" t="s">
        <v>12553</v>
      </c>
      <c r="E649" s="6" t="s">
        <v>61</v>
      </c>
      <c r="F649" s="12" t="str">
        <f>IFERROR(__xludf.DUMMYFUNCTION("GOOGLETRANSLATE(B649,""zh_cn"",""vi"")"),"tương đối")</f>
        <v>tương đối</v>
      </c>
      <c r="G649" s="12"/>
      <c r="H649" s="6"/>
      <c r="I649" s="11" t="b">
        <f t="shared" si="2"/>
        <v>0</v>
      </c>
      <c r="J649" s="24"/>
      <c r="K649" s="11" t="b">
        <f t="shared" si="3"/>
        <v>0</v>
      </c>
    </row>
    <row r="650" ht="22.5" customHeight="1">
      <c r="A650" s="12">
        <f t="shared" si="4"/>
        <v>4248</v>
      </c>
      <c r="B650" s="6" t="s">
        <v>12554</v>
      </c>
      <c r="C650" s="7" t="str">
        <f t="shared" si="6"/>
        <v>🔊</v>
      </c>
      <c r="D650" s="8" t="s">
        <v>12555</v>
      </c>
      <c r="E650" s="6" t="s">
        <v>232</v>
      </c>
      <c r="F650" s="12" t="str">
        <f>IFERROR(__xludf.DUMMYFUNCTION("GOOGLETRANSLATE(B650,""zh_cn"",""vi"")"),"bài học")</f>
        <v>bài học</v>
      </c>
      <c r="G650" s="12"/>
      <c r="H650" s="6"/>
      <c r="I650" s="11" t="b">
        <f t="shared" si="2"/>
        <v>0</v>
      </c>
      <c r="J650" s="24"/>
      <c r="K650" s="11" t="b">
        <f t="shared" si="3"/>
        <v>0</v>
      </c>
    </row>
    <row r="651" ht="22.5" customHeight="1">
      <c r="A651" s="12">
        <f t="shared" si="4"/>
        <v>4249</v>
      </c>
      <c r="B651" s="6" t="s">
        <v>12556</v>
      </c>
      <c r="C651" s="7" t="str">
        <f t="shared" si="6"/>
        <v>🔊</v>
      </c>
      <c r="D651" s="8" t="s">
        <v>12557</v>
      </c>
      <c r="E651" s="6" t="s">
        <v>27</v>
      </c>
      <c r="F651" s="12" t="str">
        <f>IFERROR(__xludf.DUMMYFUNCTION("GOOGLETRANSLATE(B651,""zh_cn"",""vi"")"),"dấu chân")</f>
        <v>dấu chân</v>
      </c>
      <c r="G651" s="12"/>
      <c r="H651" s="6"/>
      <c r="I651" s="11" t="b">
        <f t="shared" si="2"/>
        <v>0</v>
      </c>
      <c r="J651" s="24"/>
      <c r="K651" s="11" t="b">
        <f t="shared" si="3"/>
        <v>0</v>
      </c>
    </row>
    <row r="652" ht="22.5" customHeight="1">
      <c r="A652" s="12">
        <f t="shared" si="4"/>
        <v>4250</v>
      </c>
      <c r="B652" s="6" t="s">
        <v>12558</v>
      </c>
      <c r="C652" s="7" t="str">
        <f t="shared" si="6"/>
        <v>🔊</v>
      </c>
      <c r="D652" s="8" t="s">
        <v>12559</v>
      </c>
      <c r="E652" s="6" t="s">
        <v>232</v>
      </c>
      <c r="F652" s="12" t="str">
        <f>IFERROR(__xludf.DUMMYFUNCTION("GOOGLETRANSLATE(B652,""zh_cn"",""vi"")"),"Giả định")</f>
        <v>Giả định</v>
      </c>
      <c r="G652" s="12"/>
      <c r="H652" s="6"/>
      <c r="I652" s="11" t="b">
        <f t="shared" si="2"/>
        <v>0</v>
      </c>
      <c r="J652" s="24"/>
      <c r="K652" s="11" t="b">
        <f t="shared" si="3"/>
        <v>0</v>
      </c>
    </row>
    <row r="653" ht="22.5" customHeight="1">
      <c r="A653" s="12">
        <f t="shared" si="4"/>
        <v>4251</v>
      </c>
      <c r="B653" s="6" t="s">
        <v>12560</v>
      </c>
      <c r="C653" s="7" t="str">
        <f t="shared" si="6"/>
        <v>🔊</v>
      </c>
      <c r="D653" s="8" t="s">
        <v>12561</v>
      </c>
      <c r="E653" s="6" t="s">
        <v>27</v>
      </c>
      <c r="F653" s="12" t="str">
        <f>IFERROR(__xludf.DUMMYFUNCTION("GOOGLETRANSLATE(B653,""zh_cn"",""vi"")"),"Thành viên gia đình")</f>
        <v>Thành viên gia đình</v>
      </c>
      <c r="G653" s="12"/>
      <c r="H653" s="6"/>
      <c r="I653" s="11" t="b">
        <f t="shared" si="2"/>
        <v>0</v>
      </c>
      <c r="J653" s="24"/>
      <c r="K653" s="11" t="b">
        <f t="shared" si="3"/>
        <v>0</v>
      </c>
    </row>
    <row r="654" ht="22.5" customHeight="1">
      <c r="A654" s="12">
        <f t="shared" si="4"/>
        <v>4252</v>
      </c>
      <c r="B654" s="6" t="s">
        <v>12562</v>
      </c>
      <c r="C654" s="7" t="str">
        <f t="shared" si="6"/>
        <v>🔊</v>
      </c>
      <c r="D654" s="8" t="s">
        <v>12563</v>
      </c>
      <c r="E654" s="6" t="s">
        <v>6324</v>
      </c>
      <c r="F654" s="12" t="str">
        <f>IFERROR(__xludf.DUMMYFUNCTION("GOOGLETRANSLATE(B654,""zh_cn"",""vi"")"),"Thêm vào")</f>
        <v>Thêm vào</v>
      </c>
      <c r="G654" s="12"/>
      <c r="H654" s="6"/>
      <c r="I654" s="11" t="b">
        <f t="shared" si="2"/>
        <v>0</v>
      </c>
      <c r="J654" s="24"/>
      <c r="K654" s="11" t="b">
        <f t="shared" si="3"/>
        <v>0</v>
      </c>
    </row>
    <row r="655" ht="22.5" customHeight="1">
      <c r="A655" s="12">
        <f t="shared" si="4"/>
        <v>4253</v>
      </c>
      <c r="B655" s="6" t="s">
        <v>12564</v>
      </c>
      <c r="C655" s="7" t="str">
        <f t="shared" si="6"/>
        <v>🔊</v>
      </c>
      <c r="D655" s="8" t="s">
        <v>12565</v>
      </c>
      <c r="E655" s="6" t="s">
        <v>27</v>
      </c>
      <c r="F655" s="12" t="str">
        <f>IFERROR(__xludf.DUMMYFUNCTION("GOOGLETRANSLATE(B655,""zh_cn"",""vi"")"),"trang chủ")</f>
        <v>trang chủ</v>
      </c>
      <c r="G655" s="12"/>
      <c r="H655" s="6"/>
      <c r="I655" s="11" t="b">
        <f t="shared" si="2"/>
        <v>0</v>
      </c>
      <c r="J655" s="24"/>
      <c r="K655" s="11" t="b">
        <f t="shared" si="3"/>
        <v>0</v>
      </c>
    </row>
    <row r="656" ht="22.5" customHeight="1">
      <c r="A656" s="12">
        <f t="shared" si="4"/>
        <v>4254</v>
      </c>
      <c r="B656" s="6" t="s">
        <v>12566</v>
      </c>
      <c r="C656" s="7" t="str">
        <f t="shared" si="6"/>
        <v>🔊</v>
      </c>
      <c r="D656" s="8" t="s">
        <v>12567</v>
      </c>
      <c r="E656" s="6" t="s">
        <v>13</v>
      </c>
      <c r="F656" s="12" t="str">
        <f>IFERROR(__xludf.DUMMYFUNCTION("GOOGLETRANSLATE(B656,""zh_cn"",""vi"")"),"trầm trọng hơn")</f>
        <v>trầm trọng hơn</v>
      </c>
      <c r="G656" s="12"/>
      <c r="H656" s="6"/>
      <c r="I656" s="11" t="b">
        <f t="shared" si="2"/>
        <v>0</v>
      </c>
      <c r="J656" s="24"/>
      <c r="K656" s="11" t="b">
        <f t="shared" si="3"/>
        <v>0</v>
      </c>
    </row>
    <row r="657" ht="22.5" customHeight="1">
      <c r="A657" s="12">
        <f t="shared" si="4"/>
        <v>4255</v>
      </c>
      <c r="B657" s="6" t="s">
        <v>12568</v>
      </c>
      <c r="C657" s="7" t="str">
        <f t="shared" si="6"/>
        <v>🔊</v>
      </c>
      <c r="D657" s="8" t="s">
        <v>12569</v>
      </c>
      <c r="E657" s="6" t="s">
        <v>13</v>
      </c>
      <c r="F657" s="12" t="str">
        <f>IFERROR(__xludf.DUMMYFUNCTION("GOOGLETRANSLATE(B657,""zh_cn"",""vi"")"),"tiết tấu")</f>
        <v>tiết tấu</v>
      </c>
      <c r="G657" s="12"/>
      <c r="H657" s="6"/>
      <c r="I657" s="11" t="b">
        <f t="shared" si="2"/>
        <v>0</v>
      </c>
      <c r="J657" s="24"/>
      <c r="K657" s="11" t="b">
        <f t="shared" si="3"/>
        <v>0</v>
      </c>
    </row>
    <row r="658" ht="22.5" customHeight="1">
      <c r="A658" s="12">
        <f t="shared" si="4"/>
        <v>4256</v>
      </c>
      <c r="B658" s="6" t="s">
        <v>12570</v>
      </c>
      <c r="C658" s="7" t="str">
        <f t="shared" si="6"/>
        <v>🔊</v>
      </c>
      <c r="D658" s="8" t="s">
        <v>12571</v>
      </c>
      <c r="E658" s="6" t="s">
        <v>1132</v>
      </c>
      <c r="F658" s="12" t="str">
        <f>IFERROR(__xludf.DUMMYFUNCTION("GOOGLETRANSLATE(B658,""zh_cn"",""vi"")"),"ngay cả khi")</f>
        <v>ngay cả khi</v>
      </c>
      <c r="G658" s="12"/>
      <c r="H658" s="6"/>
      <c r="I658" s="11" t="b">
        <f t="shared" si="2"/>
        <v>0</v>
      </c>
      <c r="J658" s="24"/>
      <c r="K658" s="11" t="b">
        <f t="shared" si="3"/>
        <v>0</v>
      </c>
    </row>
    <row r="659" ht="22.5" customHeight="1">
      <c r="A659" s="12">
        <f t="shared" si="4"/>
        <v>4257</v>
      </c>
      <c r="B659" s="6" t="s">
        <v>12572</v>
      </c>
      <c r="C659" s="7" t="str">
        <f t="shared" si="6"/>
        <v>🔊</v>
      </c>
      <c r="D659" s="8" t="s">
        <v>12573</v>
      </c>
      <c r="E659" s="6" t="s">
        <v>13</v>
      </c>
      <c r="F659" s="12" t="str">
        <f>IFERROR(__xludf.DUMMYFUNCTION("GOOGLETRANSLATE(B659,""zh_cn"",""vi"")"),"kế thừa")</f>
        <v>kế thừa</v>
      </c>
      <c r="G659" s="12"/>
      <c r="H659" s="6"/>
      <c r="I659" s="11" t="b">
        <f t="shared" si="2"/>
        <v>0</v>
      </c>
      <c r="J659" s="24"/>
      <c r="K659" s="11" t="b">
        <f t="shared" si="3"/>
        <v>0</v>
      </c>
    </row>
    <row r="660" ht="22.5" customHeight="1">
      <c r="A660" s="12">
        <f t="shared" si="4"/>
        <v>4258</v>
      </c>
      <c r="B660" s="6" t="s">
        <v>12574</v>
      </c>
      <c r="C660" s="7" t="str">
        <f t="shared" si="6"/>
        <v>🔊</v>
      </c>
      <c r="D660" s="8" t="s">
        <v>12575</v>
      </c>
      <c r="E660" s="6" t="s">
        <v>27</v>
      </c>
      <c r="F660" s="12" t="str">
        <f>IFERROR(__xludf.DUMMYFUNCTION("GOOGLETRANSLATE(B660,""zh_cn"",""vi"")"),"căn cứ")</f>
        <v>căn cứ</v>
      </c>
      <c r="G660" s="12"/>
      <c r="H660" s="6"/>
      <c r="I660" s="11" t="b">
        <f t="shared" si="2"/>
        <v>0</v>
      </c>
      <c r="J660" s="24"/>
      <c r="K660" s="11" t="b">
        <f t="shared" si="3"/>
        <v>0</v>
      </c>
    </row>
    <row r="661" ht="22.5" customHeight="1">
      <c r="A661" s="12">
        <f t="shared" si="4"/>
        <v>4259</v>
      </c>
      <c r="B661" s="6" t="s">
        <v>12576</v>
      </c>
      <c r="C661" s="7" t="str">
        <f t="shared" si="6"/>
        <v>🔊</v>
      </c>
      <c r="D661" s="8" t="s">
        <v>12577</v>
      </c>
      <c r="E661" s="6" t="s">
        <v>27</v>
      </c>
      <c r="F661" s="12" t="str">
        <f>IFERROR(__xludf.DUMMYFUNCTION("GOOGLETRANSLATE(B661,""zh_cn"",""vi"")"),"xe cơ giới")</f>
        <v>xe cơ giới</v>
      </c>
      <c r="G661" s="12"/>
      <c r="H661" s="6"/>
      <c r="I661" s="11" t="b">
        <f t="shared" si="2"/>
        <v>0</v>
      </c>
      <c r="J661" s="24"/>
      <c r="K661" s="11" t="b">
        <f t="shared" si="3"/>
        <v>0</v>
      </c>
    </row>
    <row r="662" ht="22.5" customHeight="1">
      <c r="A662" s="12">
        <f t="shared" si="4"/>
        <v>4260</v>
      </c>
      <c r="B662" s="6" t="s">
        <v>12578</v>
      </c>
      <c r="C662" s="7" t="str">
        <f t="shared" si="6"/>
        <v>🔊</v>
      </c>
      <c r="D662" s="8" t="s">
        <v>12579</v>
      </c>
      <c r="E662" s="6" t="s">
        <v>12580</v>
      </c>
      <c r="F662" s="12" t="str">
        <f>IFERROR(__xludf.DUMMYFUNCTION("GOOGLETRANSLATE(B662,""zh_cn"",""vi"")"),"vô cùng")</f>
        <v>vô cùng</v>
      </c>
      <c r="G662" s="12"/>
      <c r="H662" s="6"/>
      <c r="I662" s="11" t="b">
        <f t="shared" si="2"/>
        <v>0</v>
      </c>
      <c r="J662" s="24"/>
      <c r="K662" s="11" t="b">
        <f t="shared" si="3"/>
        <v>0</v>
      </c>
    </row>
    <row r="663" ht="22.5" customHeight="1">
      <c r="A663" s="12">
        <f t="shared" si="4"/>
        <v>4261</v>
      </c>
      <c r="B663" s="6" t="s">
        <v>12581</v>
      </c>
      <c r="C663" s="7" t="str">
        <f t="shared" si="6"/>
        <v>🔊</v>
      </c>
      <c r="D663" s="8" t="s">
        <v>12582</v>
      </c>
      <c r="E663" s="6" t="s">
        <v>13</v>
      </c>
      <c r="F663" s="12" t="str">
        <f>IFERROR(__xludf.DUMMYFUNCTION("GOOGLETRANSLATE(B663,""zh_cn"",""vi"")"),"cởi trói")</f>
        <v>cởi trói</v>
      </c>
      <c r="G663" s="12"/>
      <c r="H663" s="6"/>
      <c r="I663" s="11" t="b">
        <f t="shared" si="2"/>
        <v>0</v>
      </c>
      <c r="J663" s="24"/>
      <c r="K663" s="11" t="b">
        <f t="shared" si="3"/>
        <v>0</v>
      </c>
    </row>
    <row r="664" ht="22.5" customHeight="1">
      <c r="A664" s="12">
        <f t="shared" si="4"/>
        <v>4262</v>
      </c>
      <c r="B664" s="6" t="s">
        <v>8300</v>
      </c>
      <c r="C664" s="7" t="str">
        <f t="shared" si="6"/>
        <v>🔊</v>
      </c>
      <c r="D664" s="8" t="s">
        <v>2378</v>
      </c>
      <c r="E664" s="6" t="s">
        <v>13</v>
      </c>
      <c r="F664" s="12" t="str">
        <f>IFERROR(__xludf.DUMMYFUNCTION("GOOGLETRANSLATE(B664,""zh_cn"",""vi"")"),"Nút thắt")</f>
        <v>Nút thắt</v>
      </c>
      <c r="G664" s="12"/>
      <c r="H664" s="6"/>
      <c r="I664" s="11" t="b">
        <f t="shared" si="2"/>
        <v>0</v>
      </c>
      <c r="J664" s="24"/>
      <c r="K664" s="11" t="b">
        <f t="shared" si="3"/>
        <v>0</v>
      </c>
    </row>
    <row r="665" ht="22.5" customHeight="1">
      <c r="A665" s="12">
        <f t="shared" si="4"/>
        <v>4263</v>
      </c>
      <c r="B665" s="6" t="s">
        <v>12583</v>
      </c>
      <c r="C665" s="7" t="str">
        <f t="shared" si="6"/>
        <v>🔊</v>
      </c>
      <c r="D665" s="8" t="s">
        <v>12584</v>
      </c>
      <c r="E665" s="6" t="s">
        <v>99</v>
      </c>
      <c r="F665" s="12" t="str">
        <f>IFERROR(__xludf.DUMMYFUNCTION("GOOGLETRANSLATE(B665,""zh_cn"",""vi"")"),"đói")</f>
        <v>đói</v>
      </c>
      <c r="G665" s="12"/>
      <c r="H665" s="6"/>
      <c r="I665" s="11" t="b">
        <f t="shared" si="2"/>
        <v>0</v>
      </c>
      <c r="J665" s="24"/>
      <c r="K665" s="11" t="b">
        <f t="shared" si="3"/>
        <v>0</v>
      </c>
    </row>
    <row r="666" ht="22.5" customHeight="1">
      <c r="A666" s="12">
        <f t="shared" si="4"/>
        <v>4264</v>
      </c>
      <c r="B666" s="6" t="s">
        <v>12585</v>
      </c>
      <c r="C666" s="7" t="str">
        <f t="shared" si="6"/>
        <v>🔊</v>
      </c>
      <c r="D666" s="8" t="s">
        <v>12586</v>
      </c>
      <c r="E666" s="6" t="s">
        <v>99</v>
      </c>
      <c r="F666" s="12" t="str">
        <f>IFERROR(__xludf.DUMMYFUNCTION("GOOGLETRANSLATE(B666,""zh_cn"",""vi"")"),"Nổi bật")</f>
        <v>Nổi bật</v>
      </c>
      <c r="G666" s="12"/>
      <c r="H666" s="6"/>
      <c r="I666" s="11" t="b">
        <f t="shared" si="2"/>
        <v>0</v>
      </c>
      <c r="J666" s="24"/>
      <c r="K666" s="11" t="b">
        <f t="shared" si="3"/>
        <v>0</v>
      </c>
    </row>
    <row r="667" ht="22.5" customHeight="1">
      <c r="A667" s="12">
        <f t="shared" si="4"/>
        <v>4265</v>
      </c>
      <c r="B667" s="6" t="s">
        <v>12587</v>
      </c>
      <c r="C667" s="7" t="str">
        <f t="shared" si="6"/>
        <v>🔊</v>
      </c>
      <c r="D667" s="8" t="s">
        <v>12588</v>
      </c>
      <c r="E667" s="6" t="s">
        <v>13</v>
      </c>
      <c r="F667" s="12" t="str">
        <f>IFERROR(__xludf.DUMMYFUNCTION("GOOGLETRANSLATE(B667,""zh_cn"",""vi"")"),"trả lời")</f>
        <v>trả lời</v>
      </c>
      <c r="G667" s="12"/>
      <c r="H667" s="6"/>
      <c r="I667" s="11" t="b">
        <f t="shared" si="2"/>
        <v>0</v>
      </c>
      <c r="J667" s="24"/>
      <c r="K667" s="11" t="b">
        <f t="shared" si="3"/>
        <v>0</v>
      </c>
    </row>
    <row r="668" ht="22.5" customHeight="1">
      <c r="A668" s="12">
        <f t="shared" si="4"/>
        <v>4266</v>
      </c>
      <c r="B668" s="6" t="s">
        <v>12589</v>
      </c>
      <c r="C668" s="7" t="str">
        <f t="shared" si="6"/>
        <v>🔊</v>
      </c>
      <c r="D668" s="8" t="s">
        <v>12590</v>
      </c>
      <c r="E668" s="6" t="s">
        <v>13</v>
      </c>
      <c r="F668" s="12" t="str">
        <f>IFERROR(__xludf.DUMMYFUNCTION("GOOGLETRANSLATE(B668,""zh_cn"",""vi"")"),"Giải thích")</f>
        <v>Giải thích</v>
      </c>
      <c r="G668" s="12"/>
      <c r="H668" s="6"/>
      <c r="I668" s="11" t="b">
        <f t="shared" si="2"/>
        <v>0</v>
      </c>
      <c r="J668" s="24"/>
      <c r="K668" s="11" t="b">
        <f t="shared" si="3"/>
        <v>0</v>
      </c>
    </row>
    <row r="669" ht="22.5" customHeight="1">
      <c r="A669" s="12">
        <f t="shared" si="4"/>
        <v>4267</v>
      </c>
      <c r="B669" s="6" t="s">
        <v>12591</v>
      </c>
      <c r="C669" s="7" t="str">
        <f t="shared" si="6"/>
        <v>🔊</v>
      </c>
      <c r="D669" s="8" t="s">
        <v>12592</v>
      </c>
      <c r="E669" s="6" t="s">
        <v>13</v>
      </c>
      <c r="F669" s="12" t="str">
        <f>IFERROR(__xludf.DUMMYFUNCTION("GOOGLETRANSLATE(B669,""zh_cn"",""vi"")"),"giải phóng")</f>
        <v>giải phóng</v>
      </c>
      <c r="G669" s="12"/>
      <c r="H669" s="6"/>
      <c r="I669" s="11" t="b">
        <f t="shared" si="2"/>
        <v>0</v>
      </c>
      <c r="J669" s="24"/>
      <c r="K669" s="11" t="b">
        <f t="shared" si="3"/>
        <v>0</v>
      </c>
    </row>
    <row r="670" ht="22.5" customHeight="1">
      <c r="A670" s="12">
        <f t="shared" si="4"/>
        <v>4268</v>
      </c>
      <c r="B670" s="6" t="s">
        <v>4542</v>
      </c>
      <c r="C670" s="7" t="str">
        <f t="shared" si="6"/>
        <v>🔊</v>
      </c>
      <c r="D670" s="8" t="s">
        <v>12593</v>
      </c>
      <c r="E670" s="6" t="s">
        <v>13</v>
      </c>
      <c r="F670" s="12" t="str">
        <f>IFERROR(__xludf.DUMMYFUNCTION("GOOGLETRANSLATE(B670,""zh_cn"",""vi"")"),"kết quả")</f>
        <v>kết quả</v>
      </c>
      <c r="G670" s="12"/>
      <c r="H670" s="6"/>
      <c r="I670" s="11" t="b">
        <f t="shared" si="2"/>
        <v>0</v>
      </c>
      <c r="J670" s="24"/>
      <c r="K670" s="11" t="b">
        <f t="shared" si="3"/>
        <v>0</v>
      </c>
    </row>
    <row r="671" ht="22.5" customHeight="1">
      <c r="A671" s="12">
        <f t="shared" si="4"/>
        <v>4269</v>
      </c>
      <c r="B671" s="6" t="s">
        <v>12594</v>
      </c>
      <c r="C671" s="7" t="str">
        <f t="shared" si="6"/>
        <v>🔊</v>
      </c>
      <c r="D671" s="8" t="s">
        <v>12595</v>
      </c>
      <c r="E671" s="6" t="s">
        <v>13</v>
      </c>
      <c r="F671" s="12" t="str">
        <f>IFERROR(__xludf.DUMMYFUNCTION("GOOGLETRANSLATE(B671,""zh_cn"",""vi"")"),"Thẩm quyền giải quyết")</f>
        <v>Thẩm quyền giải quyết</v>
      </c>
      <c r="G671" s="12"/>
      <c r="H671" s="6"/>
      <c r="I671" s="11" t="b">
        <f t="shared" si="2"/>
        <v>0</v>
      </c>
      <c r="J671" s="24"/>
      <c r="K671" s="11" t="b">
        <f t="shared" si="3"/>
        <v>0</v>
      </c>
    </row>
    <row r="672" ht="22.5" customHeight="1">
      <c r="A672" s="12">
        <f t="shared" si="4"/>
        <v>4270</v>
      </c>
      <c r="B672" s="6" t="s">
        <v>12596</v>
      </c>
      <c r="C672" s="7" t="str">
        <f t="shared" si="6"/>
        <v>🔊</v>
      </c>
      <c r="D672" s="8" t="s">
        <v>12597</v>
      </c>
      <c r="E672" s="6" t="s">
        <v>433</v>
      </c>
      <c r="F672" s="12" t="str">
        <f>IFERROR(__xludf.DUMMYFUNCTION("GOOGLETRANSLATE(B672,""zh_cn"",""vi"")"),"liên tiếp")</f>
        <v>liên tiếp</v>
      </c>
      <c r="G672" s="12"/>
      <c r="H672" s="6"/>
      <c r="I672" s="11" t="b">
        <f t="shared" si="2"/>
        <v>0</v>
      </c>
      <c r="J672" s="24"/>
      <c r="K672" s="11" t="b">
        <f t="shared" si="3"/>
        <v>0</v>
      </c>
    </row>
    <row r="673" ht="22.5" customHeight="1">
      <c r="A673" s="12">
        <f t="shared" si="4"/>
        <v>4271</v>
      </c>
      <c r="B673" s="6" t="s">
        <v>12598</v>
      </c>
      <c r="C673" s="7" t="str">
        <f t="shared" si="6"/>
        <v>🔊</v>
      </c>
      <c r="D673" s="8" t="s">
        <v>12599</v>
      </c>
      <c r="E673" s="6" t="s">
        <v>13</v>
      </c>
      <c r="F673" s="12" t="str">
        <f>IFERROR(__xludf.DUMMYFUNCTION("GOOGLETRANSLATE(B673,""zh_cn"",""vi"")"),"Tiết kiệm năng lượng")</f>
        <v>Tiết kiệm năng lượng</v>
      </c>
      <c r="G673" s="12"/>
      <c r="H673" s="6"/>
      <c r="I673" s="11" t="b">
        <f t="shared" si="2"/>
        <v>0</v>
      </c>
      <c r="J673" s="24"/>
      <c r="K673" s="11" t="b">
        <f t="shared" si="3"/>
        <v>0</v>
      </c>
    </row>
    <row r="674" ht="22.5" customHeight="1">
      <c r="A674" s="12">
        <f t="shared" si="4"/>
        <v>4272</v>
      </c>
      <c r="B674" s="6" t="s">
        <v>12600</v>
      </c>
      <c r="C674" s="7" t="str">
        <f t="shared" si="6"/>
        <v>🔊</v>
      </c>
      <c r="D674" s="8" t="s">
        <v>12601</v>
      </c>
      <c r="E674" s="6" t="s">
        <v>99</v>
      </c>
      <c r="F674" s="12" t="str">
        <f>IFERROR(__xludf.DUMMYFUNCTION("GOOGLETRANSLATE(B674,""zh_cn"",""vi"")"),"chất rắn")</f>
        <v>chất rắn</v>
      </c>
      <c r="G674" s="12"/>
      <c r="H674" s="6"/>
      <c r="I674" s="11" t="b">
        <f t="shared" si="2"/>
        <v>0</v>
      </c>
      <c r="J674" s="24"/>
      <c r="K674" s="11" t="b">
        <f t="shared" si="3"/>
        <v>0</v>
      </c>
    </row>
    <row r="675" ht="22.5" customHeight="1">
      <c r="A675" s="12">
        <f t="shared" si="4"/>
        <v>4273</v>
      </c>
      <c r="B675" s="6" t="s">
        <v>12602</v>
      </c>
      <c r="C675" s="7" t="str">
        <f t="shared" si="6"/>
        <v>🔊</v>
      </c>
      <c r="D675" s="8" t="s">
        <v>12603</v>
      </c>
      <c r="E675" s="6" t="s">
        <v>13</v>
      </c>
      <c r="F675" s="12" t="str">
        <f>IFERROR(__xludf.DUMMYFUNCTION("GOOGLETRANSLATE(B675,""zh_cn"",""vi"")"),"Bình luận")</f>
        <v>Bình luận</v>
      </c>
      <c r="G675" s="12"/>
      <c r="H675" s="6"/>
      <c r="I675" s="11" t="b">
        <f t="shared" si="2"/>
        <v>0</v>
      </c>
      <c r="J675" s="24"/>
      <c r="K675" s="11" t="b">
        <f t="shared" si="3"/>
        <v>0</v>
      </c>
    </row>
    <row r="676" ht="22.5" customHeight="1">
      <c r="A676" s="12">
        <f t="shared" si="4"/>
        <v>4274</v>
      </c>
      <c r="B676" s="6" t="s">
        <v>12604</v>
      </c>
      <c r="C676" s="7" t="str">
        <f t="shared" si="6"/>
        <v>🔊</v>
      </c>
      <c r="D676" s="8" t="s">
        <v>12605</v>
      </c>
      <c r="E676" s="6" t="s">
        <v>27</v>
      </c>
      <c r="F676" s="12" t="str">
        <f>IFERROR(__xludf.DUMMYFUNCTION("GOOGLETRANSLATE(B676,""zh_cn"",""vi"")"),"đường phố")</f>
        <v>đường phố</v>
      </c>
      <c r="G676" s="12"/>
      <c r="H676" s="6"/>
      <c r="I676" s="11" t="b">
        <f t="shared" si="2"/>
        <v>0</v>
      </c>
      <c r="J676" s="24"/>
      <c r="K676" s="11" t="b">
        <f t="shared" si="3"/>
        <v>0</v>
      </c>
    </row>
    <row r="677" ht="22.5" customHeight="1">
      <c r="A677" s="12">
        <f t="shared" si="4"/>
        <v>4275</v>
      </c>
      <c r="B677" s="6" t="s">
        <v>12606</v>
      </c>
      <c r="C677" s="7" t="str">
        <f t="shared" si="6"/>
        <v>🔊</v>
      </c>
      <c r="D677" s="8" t="s">
        <v>12607</v>
      </c>
      <c r="E677" s="6" t="s">
        <v>232</v>
      </c>
      <c r="F677" s="12" t="str">
        <f>IFERROR(__xludf.DUMMYFUNCTION("GOOGLETRANSLATE(B677,""zh_cn"",""vi"")"),"Kết thúc")</f>
        <v>Kết thúc</v>
      </c>
      <c r="G677" s="12"/>
      <c r="H677" s="6"/>
      <c r="I677" s="11" t="b">
        <f t="shared" si="2"/>
        <v>0</v>
      </c>
      <c r="J677" s="24"/>
      <c r="K677" s="11" t="b">
        <f t="shared" si="3"/>
        <v>0</v>
      </c>
    </row>
    <row r="678" ht="22.5" customHeight="1">
      <c r="A678" s="12">
        <f t="shared" si="4"/>
        <v>4276</v>
      </c>
      <c r="B678" s="6" t="s">
        <v>12608</v>
      </c>
      <c r="C678" s="7" t="str">
        <f t="shared" si="6"/>
        <v>🔊</v>
      </c>
      <c r="D678" s="8" t="s">
        <v>12609</v>
      </c>
      <c r="E678" s="6" t="s">
        <v>13</v>
      </c>
      <c r="F678" s="12" t="str">
        <f>IFERROR(__xludf.DUMMYFUNCTION("GOOGLETRANSLATE(B678,""zh_cn"",""vi"")"),"Tính đến thời điểm")</f>
        <v>Tính đến thời điểm</v>
      </c>
      <c r="G678" s="12"/>
      <c r="H678" s="6"/>
      <c r="I678" s="11" t="b">
        <f t="shared" si="2"/>
        <v>0</v>
      </c>
      <c r="J678" s="24"/>
      <c r="K678" s="11" t="b">
        <f t="shared" si="3"/>
        <v>0</v>
      </c>
    </row>
    <row r="679" ht="22.5" customHeight="1">
      <c r="A679" s="12">
        <f t="shared" si="4"/>
        <v>4277</v>
      </c>
      <c r="B679" s="6" t="s">
        <v>12610</v>
      </c>
      <c r="C679" s="7" t="str">
        <f t="shared" si="6"/>
        <v>🔊</v>
      </c>
      <c r="D679" s="8" t="s">
        <v>12611</v>
      </c>
      <c r="E679" s="6" t="s">
        <v>13</v>
      </c>
      <c r="F679" s="12" t="str">
        <f>IFERROR(__xludf.DUMMYFUNCTION("GOOGLETRANSLATE(B679,""zh_cn"",""vi"")"),"Thời hạn")</f>
        <v>Thời hạn</v>
      </c>
      <c r="G679" s="12"/>
      <c r="H679" s="6"/>
      <c r="I679" s="11" t="b">
        <f t="shared" si="2"/>
        <v>0</v>
      </c>
      <c r="J679" s="24"/>
      <c r="K679" s="11" t="b">
        <f t="shared" si="3"/>
        <v>0</v>
      </c>
    </row>
    <row r="680" ht="22.5" customHeight="1">
      <c r="A680" s="12">
        <f t="shared" si="4"/>
        <v>4278</v>
      </c>
      <c r="B680" s="6" t="s">
        <v>12612</v>
      </c>
      <c r="C680" s="7" t="str">
        <f t="shared" si="6"/>
        <v>🔊</v>
      </c>
      <c r="D680" s="8" t="s">
        <v>12613</v>
      </c>
      <c r="E680" s="6" t="s">
        <v>27</v>
      </c>
      <c r="F680" s="12" t="str">
        <f>IFERROR(__xludf.DUMMYFUNCTION("GOOGLETRANSLATE(B680,""zh_cn"",""vi"")"),"nhẫn")</f>
        <v>nhẫn</v>
      </c>
      <c r="G680" s="12"/>
      <c r="H680" s="6"/>
      <c r="I680" s="11" t="b">
        <f t="shared" si="2"/>
        <v>0</v>
      </c>
      <c r="J680" s="24"/>
      <c r="K680" s="11" t="b">
        <f t="shared" si="3"/>
        <v>0</v>
      </c>
    </row>
    <row r="681" ht="22.5" customHeight="1">
      <c r="A681" s="12">
        <f t="shared" si="4"/>
        <v>4279</v>
      </c>
      <c r="B681" s="6" t="s">
        <v>12614</v>
      </c>
      <c r="C681" s="7" t="str">
        <f t="shared" si="6"/>
        <v>🔊</v>
      </c>
      <c r="D681" s="8" t="s">
        <v>12615</v>
      </c>
      <c r="E681" s="6" t="s">
        <v>13</v>
      </c>
      <c r="F681" s="12" t="str">
        <f>IFERROR(__xludf.DUMMYFUNCTION("GOOGLETRANSLATE(B681,""zh_cn"",""vi"")"),"Với sự giúp đỡ của")</f>
        <v>Với sự giúp đỡ của</v>
      </c>
      <c r="G681" s="12"/>
      <c r="H681" s="6"/>
      <c r="I681" s="11" t="b">
        <f t="shared" si="2"/>
        <v>0</v>
      </c>
      <c r="J681" s="24"/>
      <c r="K681" s="11" t="b">
        <f t="shared" si="3"/>
        <v>0</v>
      </c>
    </row>
    <row r="682" ht="22.5" customHeight="1">
      <c r="A682" s="12">
        <f t="shared" si="4"/>
        <v>4280</v>
      </c>
      <c r="B682" s="6" t="s">
        <v>12616</v>
      </c>
      <c r="C682" s="7" t="str">
        <f t="shared" si="6"/>
        <v>🔊</v>
      </c>
      <c r="D682" s="8" t="s">
        <v>12617</v>
      </c>
      <c r="E682" s="6" t="s">
        <v>27</v>
      </c>
      <c r="F682" s="12" t="str">
        <f>IFERROR(__xludf.DUMMYFUNCTION("GOOGLETRANSLATE(B682,""zh_cn"",""vi"")"),"Nhịp điệu")</f>
        <v>Nhịp điệu</v>
      </c>
      <c r="G682" s="12"/>
      <c r="H682" s="6"/>
      <c r="I682" s="11" t="b">
        <f t="shared" si="2"/>
        <v>0</v>
      </c>
      <c r="J682" s="24"/>
      <c r="K682" s="11" t="b">
        <f t="shared" si="3"/>
        <v>0</v>
      </c>
    </row>
    <row r="683" ht="22.5" customHeight="1">
      <c r="A683" s="12">
        <f t="shared" si="4"/>
        <v>4281</v>
      </c>
      <c r="B683" s="6" t="s">
        <v>12618</v>
      </c>
      <c r="C683" s="7" t="str">
        <f t="shared" si="6"/>
        <v>🔊</v>
      </c>
      <c r="D683" s="8" t="s">
        <v>12619</v>
      </c>
      <c r="E683" s="6" t="s">
        <v>13</v>
      </c>
      <c r="F683" s="12" t="str">
        <f>IFERROR(__xludf.DUMMYFUNCTION("GOOGLETRANSLATE(B683,""zh_cn"",""vi"")"),"kích thích")</f>
        <v>kích thích</v>
      </c>
      <c r="G683" s="12"/>
      <c r="H683" s="6"/>
      <c r="I683" s="11" t="b">
        <f t="shared" si="2"/>
        <v>0</v>
      </c>
      <c r="J683" s="24"/>
      <c r="K683" s="11" t="b">
        <f t="shared" si="3"/>
        <v>0</v>
      </c>
    </row>
    <row r="684" ht="22.5" customHeight="1">
      <c r="A684" s="12">
        <f t="shared" si="4"/>
        <v>4282</v>
      </c>
      <c r="B684" s="6" t="s">
        <v>12620</v>
      </c>
      <c r="C684" s="7" t="str">
        <f t="shared" si="6"/>
        <v>🔊</v>
      </c>
      <c r="D684" s="8" t="s">
        <v>12621</v>
      </c>
      <c r="E684" s="6" t="s">
        <v>27</v>
      </c>
      <c r="F684" s="12" t="str">
        <f>IFERROR(__xludf.DUMMYFUNCTION("GOOGLETRANSLATE(B684,""zh_cn"",""vi"")"),"quỹ")</f>
        <v>quỹ</v>
      </c>
      <c r="G684" s="12"/>
      <c r="H684" s="6"/>
      <c r="I684" s="11" t="b">
        <f t="shared" si="2"/>
        <v>0</v>
      </c>
      <c r="J684" s="24"/>
      <c r="K684" s="11" t="b">
        <f t="shared" si="3"/>
        <v>0</v>
      </c>
    </row>
    <row r="685" ht="22.5" customHeight="1">
      <c r="A685" s="12">
        <f t="shared" si="4"/>
        <v>4283</v>
      </c>
      <c r="B685" s="6" t="s">
        <v>12622</v>
      </c>
      <c r="C685" s="7" t="str">
        <f t="shared" si="6"/>
        <v>🔊</v>
      </c>
      <c r="D685" s="8" t="s">
        <v>12623</v>
      </c>
      <c r="E685" s="6" t="s">
        <v>13</v>
      </c>
      <c r="F685" s="12" t="str">
        <f>IFERROR(__xludf.DUMMYFUNCTION("GOOGLETRANSLATE(B685,""zh_cn"",""vi"")"),"sơ cứu")</f>
        <v>sơ cứu</v>
      </c>
      <c r="G685" s="12"/>
      <c r="H685" s="6"/>
      <c r="I685" s="11" t="b">
        <f t="shared" si="2"/>
        <v>0</v>
      </c>
      <c r="J685" s="24"/>
      <c r="K685" s="11" t="b">
        <f t="shared" si="3"/>
        <v>0</v>
      </c>
    </row>
    <row r="686" ht="22.5" customHeight="1">
      <c r="A686" s="12">
        <f t="shared" si="4"/>
        <v>4284</v>
      </c>
      <c r="B686" s="6" t="s">
        <v>12624</v>
      </c>
      <c r="C686" s="7" t="str">
        <f t="shared" si="6"/>
        <v>🔊</v>
      </c>
      <c r="D686" s="8" t="s">
        <v>12625</v>
      </c>
      <c r="E686" s="6" t="s">
        <v>27</v>
      </c>
      <c r="F686" s="12" t="str">
        <f>IFERROR(__xludf.DUMMYFUNCTION("GOOGLETRANSLATE(B686,""zh_cn"",""vi"")"),"Vị trí thứ ba")</f>
        <v>Vị trí thứ ba</v>
      </c>
      <c r="G686" s="12"/>
      <c r="H686" s="6"/>
      <c r="I686" s="11" t="b">
        <f t="shared" si="2"/>
        <v>0</v>
      </c>
      <c r="J686" s="24"/>
      <c r="K686" s="11" t="b">
        <f t="shared" si="3"/>
        <v>0</v>
      </c>
    </row>
    <row r="687" ht="22.5" customHeight="1">
      <c r="A687" s="12">
        <f t="shared" si="4"/>
        <v>4285</v>
      </c>
      <c r="B687" s="6" t="s">
        <v>12626</v>
      </c>
      <c r="C687" s="7" t="str">
        <f t="shared" si="6"/>
        <v>🔊</v>
      </c>
      <c r="D687" s="8" t="s">
        <v>12627</v>
      </c>
      <c r="E687" s="6" t="s">
        <v>13</v>
      </c>
      <c r="F687" s="12" t="str">
        <f>IFERROR(__xludf.DUMMYFUNCTION("GOOGLETRANSLATE(B687,""zh_cn"",""vi"")"),"kích thích")</f>
        <v>kích thích</v>
      </c>
      <c r="G687" s="12"/>
      <c r="H687" s="6"/>
      <c r="I687" s="11" t="b">
        <f t="shared" si="2"/>
        <v>0</v>
      </c>
      <c r="J687" s="24"/>
      <c r="K687" s="11" t="b">
        <f t="shared" si="3"/>
        <v>0</v>
      </c>
    </row>
    <row r="688" ht="22.5" customHeight="1">
      <c r="A688" s="12">
        <f t="shared" si="4"/>
        <v>4286</v>
      </c>
      <c r="B688" s="6" t="s">
        <v>12628</v>
      </c>
      <c r="C688" s="7" t="str">
        <f t="shared" si="6"/>
        <v>🔊</v>
      </c>
      <c r="D688" s="8" t="s">
        <v>12629</v>
      </c>
      <c r="E688" s="6" t="s">
        <v>27</v>
      </c>
      <c r="F688" s="12" t="str">
        <f>IFERROR(__xludf.DUMMYFUNCTION("GOOGLETRANSLATE(B688,""zh_cn"",""vi"")"),"kỷ luật")</f>
        <v>kỷ luật</v>
      </c>
      <c r="G688" s="12"/>
      <c r="H688" s="6"/>
      <c r="I688" s="11" t="b">
        <f t="shared" si="2"/>
        <v>0</v>
      </c>
      <c r="J688" s="24"/>
      <c r="K688" s="11" t="b">
        <f t="shared" si="3"/>
        <v>0</v>
      </c>
    </row>
    <row r="689" ht="22.5" customHeight="1">
      <c r="A689" s="12">
        <f t="shared" si="4"/>
        <v>4287</v>
      </c>
      <c r="B689" s="6" t="s">
        <v>12630</v>
      </c>
      <c r="C689" s="7" t="str">
        <f t="shared" si="6"/>
        <v>🔊</v>
      </c>
      <c r="D689" s="8" t="s">
        <v>12631</v>
      </c>
      <c r="E689" s="6" t="s">
        <v>99</v>
      </c>
      <c r="F689" s="12" t="str">
        <f>IFERROR(__xludf.DUMMYFUNCTION("GOOGLETRANSLATE(B689,""zh_cn"",""vi"")"),"cô đơn")</f>
        <v>cô đơn</v>
      </c>
      <c r="G689" s="12"/>
      <c r="H689" s="6"/>
      <c r="I689" s="11" t="b">
        <f t="shared" si="2"/>
        <v>0</v>
      </c>
      <c r="J689" s="24"/>
      <c r="K689" s="11" t="b">
        <f t="shared" si="3"/>
        <v>0</v>
      </c>
    </row>
    <row r="690" ht="22.5" customHeight="1">
      <c r="A690" s="12">
        <f t="shared" si="4"/>
        <v>4288</v>
      </c>
      <c r="B690" s="6" t="s">
        <v>12632</v>
      </c>
      <c r="C690" s="7" t="str">
        <f t="shared" si="6"/>
        <v>🔊</v>
      </c>
      <c r="D690" s="8" t="s">
        <v>1261</v>
      </c>
      <c r="E690" s="6" t="s">
        <v>2653</v>
      </c>
      <c r="F690" s="12" t="str">
        <f>IFERROR(__xludf.DUMMYFUNCTION("GOOGLETRANSLATE(B690,""zh_cn"",""vi"")"),"Kiệt sức")</f>
        <v>Kiệt sức</v>
      </c>
      <c r="G690" s="12"/>
      <c r="H690" s="6"/>
      <c r="I690" s="11" t="b">
        <f t="shared" si="2"/>
        <v>0</v>
      </c>
      <c r="J690" s="24"/>
      <c r="K690" s="11" t="b">
        <f t="shared" si="3"/>
        <v>0</v>
      </c>
    </row>
    <row r="691" ht="22.5" customHeight="1">
      <c r="A691" s="12">
        <f t="shared" si="4"/>
        <v>4289</v>
      </c>
      <c r="B691" s="6" t="s">
        <v>12633</v>
      </c>
      <c r="C691" s="7" t="str">
        <f t="shared" si="6"/>
        <v>🔊</v>
      </c>
      <c r="D691" s="8" t="s">
        <v>12634</v>
      </c>
      <c r="E691" s="6" t="s">
        <v>1132</v>
      </c>
      <c r="F691" s="12" t="str">
        <f>IFERROR(__xludf.DUMMYFUNCTION("GOOGLETRANSLATE(B691,""zh_cn"",""vi"")"),"và sau đó")</f>
        <v>và sau đó</v>
      </c>
      <c r="G691" s="12"/>
      <c r="H691" s="6"/>
      <c r="I691" s="11" t="b">
        <f t="shared" si="2"/>
        <v>0</v>
      </c>
      <c r="J691" s="24"/>
      <c r="K691" s="11" t="b">
        <f t="shared" si="3"/>
        <v>0</v>
      </c>
    </row>
    <row r="692" ht="22.5" customHeight="1">
      <c r="A692" s="12">
        <f t="shared" si="4"/>
        <v>4290</v>
      </c>
      <c r="B692" s="6" t="s">
        <v>12635</v>
      </c>
      <c r="C692" s="7" t="str">
        <f t="shared" si="6"/>
        <v>🔊</v>
      </c>
      <c r="D692" s="8" t="s">
        <v>12636</v>
      </c>
      <c r="E692" s="6" t="s">
        <v>27</v>
      </c>
      <c r="F692" s="12" t="str">
        <f>IFERROR(__xludf.DUMMYFUNCTION("GOOGLETRANSLATE(B692,""zh_cn"",""vi"")"),"lịch trình")</f>
        <v>lịch trình</v>
      </c>
      <c r="G692" s="12"/>
      <c r="H692" s="6"/>
      <c r="I692" s="11" t="b">
        <f t="shared" si="2"/>
        <v>0</v>
      </c>
      <c r="J692" s="24"/>
      <c r="K692" s="11" t="b">
        <f t="shared" si="3"/>
        <v>0</v>
      </c>
    </row>
    <row r="693" ht="22.5" customHeight="1">
      <c r="A693" s="12">
        <f t="shared" si="4"/>
        <v>4291</v>
      </c>
      <c r="B693" s="6" t="s">
        <v>12637</v>
      </c>
      <c r="C693" s="7" t="str">
        <f t="shared" si="6"/>
        <v>🔊</v>
      </c>
      <c r="D693" s="8" t="s">
        <v>12638</v>
      </c>
      <c r="E693" s="6" t="s">
        <v>27</v>
      </c>
      <c r="F693" s="12" t="str">
        <f>IFERROR(__xludf.DUMMYFUNCTION("GOOGLETRANSLATE(B693,""zh_cn"",""vi"")"),"Số lượng")</f>
        <v>Số lượng</v>
      </c>
      <c r="G693" s="12"/>
      <c r="H693" s="6"/>
      <c r="I693" s="11" t="b">
        <f t="shared" si="2"/>
        <v>0</v>
      </c>
      <c r="J693" s="24"/>
      <c r="K693" s="11" t="b">
        <f t="shared" si="3"/>
        <v>0</v>
      </c>
    </row>
    <row r="694" ht="22.5" customHeight="1">
      <c r="A694" s="12">
        <f t="shared" si="4"/>
        <v>4292</v>
      </c>
      <c r="B694" s="6" t="s">
        <v>12639</v>
      </c>
      <c r="C694" s="7" t="str">
        <f t="shared" si="6"/>
        <v>🔊</v>
      </c>
      <c r="D694" s="8" t="s">
        <v>8369</v>
      </c>
      <c r="E694" s="6" t="s">
        <v>1308</v>
      </c>
      <c r="F694" s="12" t="str">
        <f>IFERROR(__xludf.DUMMYFUNCTION("GOOGLETRANSLATE(B694,""zh_cn"",""vi"")"),"mạng lưới")</f>
        <v>mạng lưới</v>
      </c>
      <c r="G694" s="12"/>
      <c r="H694" s="6"/>
      <c r="I694" s="11" t="b">
        <f t="shared" si="2"/>
        <v>0</v>
      </c>
      <c r="J694" s="24"/>
      <c r="K694" s="11" t="b">
        <f t="shared" si="3"/>
        <v>0</v>
      </c>
    </row>
    <row r="695" ht="22.5" customHeight="1">
      <c r="A695" s="12">
        <f t="shared" si="4"/>
        <v>4293</v>
      </c>
      <c r="B695" s="6" t="s">
        <v>12640</v>
      </c>
      <c r="C695" s="7" t="str">
        <f t="shared" si="6"/>
        <v>🔊</v>
      </c>
      <c r="D695" s="8" t="s">
        <v>12641</v>
      </c>
      <c r="E695" s="6" t="s">
        <v>27</v>
      </c>
      <c r="F695" s="12" t="str">
        <f>IFERROR(__xludf.DUMMYFUNCTION("GOOGLETRANSLATE(B695,""zh_cn"",""vi"")"),"Tốt")</f>
        <v>Tốt</v>
      </c>
      <c r="G695" s="12"/>
      <c r="H695" s="6"/>
      <c r="I695" s="11" t="b">
        <f t="shared" si="2"/>
        <v>0</v>
      </c>
      <c r="J695" s="24"/>
      <c r="K695" s="11" t="b">
        <f t="shared" si="3"/>
        <v>0</v>
      </c>
    </row>
    <row r="696" ht="22.5" customHeight="1">
      <c r="A696" s="12">
        <f t="shared" si="4"/>
        <v>4294</v>
      </c>
      <c r="B696" s="6" t="s">
        <v>12642</v>
      </c>
      <c r="C696" s="7" t="str">
        <f t="shared" si="6"/>
        <v>🔊</v>
      </c>
      <c r="D696" s="8" t="s">
        <v>12643</v>
      </c>
      <c r="E696" s="6" t="s">
        <v>13</v>
      </c>
      <c r="F696" s="12" t="str">
        <f>IFERROR(__xludf.DUMMYFUNCTION("GOOGLETRANSLATE(B696,""zh_cn"",""vi"")"),"cảnh báo")</f>
        <v>cảnh báo</v>
      </c>
      <c r="G696" s="12"/>
      <c r="H696" s="6"/>
      <c r="I696" s="11" t="b">
        <f t="shared" si="2"/>
        <v>0</v>
      </c>
      <c r="J696" s="24"/>
      <c r="K696" s="11" t="b">
        <f t="shared" si="3"/>
        <v>0</v>
      </c>
    </row>
    <row r="697" ht="22.5" customHeight="1">
      <c r="A697" s="12">
        <f t="shared" si="4"/>
        <v>4295</v>
      </c>
      <c r="B697" s="6" t="s">
        <v>12644</v>
      </c>
      <c r="C697" s="7" t="str">
        <f t="shared" si="6"/>
        <v>🔊</v>
      </c>
      <c r="D697" s="8" t="s">
        <v>12645</v>
      </c>
      <c r="E697" s="6" t="s">
        <v>27</v>
      </c>
      <c r="F697" s="12" t="str">
        <f>IFERROR(__xludf.DUMMYFUNCTION("GOOGLETRANSLATE(B697,""zh_cn"",""vi"")"),"phong cảnh")</f>
        <v>phong cảnh</v>
      </c>
      <c r="G697" s="12"/>
      <c r="H697" s="6"/>
      <c r="I697" s="11" t="b">
        <f t="shared" si="2"/>
        <v>0</v>
      </c>
      <c r="J697" s="24"/>
      <c r="K697" s="11" t="b">
        <f t="shared" si="3"/>
        <v>0</v>
      </c>
    </row>
    <row r="698" ht="22.5" customHeight="1">
      <c r="A698" s="12">
        <f t="shared" si="4"/>
        <v>4296</v>
      </c>
      <c r="B698" s="6" t="s">
        <v>12646</v>
      </c>
      <c r="C698" s="7" t="str">
        <f t="shared" si="6"/>
        <v>🔊</v>
      </c>
      <c r="D698" s="8" t="s">
        <v>12647</v>
      </c>
      <c r="E698" s="6" t="s">
        <v>99</v>
      </c>
      <c r="F698" s="12" t="str">
        <f>IFERROR(__xludf.DUMMYFUNCTION("GOOGLETRANSLATE(B698,""zh_cn"",""vi"")"),"khỏe")</f>
        <v>khỏe</v>
      </c>
      <c r="G698" s="12"/>
      <c r="H698" s="6"/>
      <c r="I698" s="11" t="b">
        <f t="shared" si="2"/>
        <v>0</v>
      </c>
      <c r="J698" s="24"/>
      <c r="K698" s="11" t="b">
        <f t="shared" si="3"/>
        <v>0</v>
      </c>
    </row>
    <row r="699" ht="22.5" customHeight="1">
      <c r="A699" s="12">
        <f t="shared" si="4"/>
        <v>4297</v>
      </c>
      <c r="B699" s="6" t="s">
        <v>12648</v>
      </c>
      <c r="C699" s="7" t="str">
        <f t="shared" si="6"/>
        <v>🔊</v>
      </c>
      <c r="D699" s="8" t="s">
        <v>12649</v>
      </c>
      <c r="E699" s="6" t="s">
        <v>99</v>
      </c>
      <c r="F699" s="12" t="str">
        <f>IFERROR(__xludf.DUMMYFUNCTION("GOOGLETRANSLATE(B699,""zh_cn"",""vi"")"),"chính xác")</f>
        <v>chính xác</v>
      </c>
      <c r="G699" s="12"/>
      <c r="H699" s="6"/>
      <c r="I699" s="11" t="b">
        <f t="shared" si="2"/>
        <v>0</v>
      </c>
      <c r="J699" s="24"/>
      <c r="K699" s="11" t="b">
        <f t="shared" si="3"/>
        <v>0</v>
      </c>
    </row>
    <row r="700" ht="22.5" customHeight="1">
      <c r="A700" s="12">
        <f t="shared" si="4"/>
        <v>4298</v>
      </c>
      <c r="B700" s="6" t="s">
        <v>12650</v>
      </c>
      <c r="C700" s="7" t="str">
        <f t="shared" si="6"/>
        <v>🔊</v>
      </c>
      <c r="D700" s="8" t="s">
        <v>12651</v>
      </c>
      <c r="E700" s="6" t="s">
        <v>99</v>
      </c>
      <c r="F700" s="12" t="str">
        <f>IFERROR(__xludf.DUMMYFUNCTION("GOOGLETRANSLATE(B700,""zh_cn"",""vi"")"),"tuyệt vời")</f>
        <v>tuyệt vời</v>
      </c>
      <c r="G700" s="12"/>
      <c r="H700" s="6"/>
      <c r="I700" s="11" t="b">
        <f t="shared" si="2"/>
        <v>0</v>
      </c>
      <c r="J700" s="24"/>
      <c r="K700" s="11" t="b">
        <f t="shared" si="3"/>
        <v>0</v>
      </c>
    </row>
    <row r="701" ht="22.5" customHeight="1">
      <c r="A701" s="12">
        <f t="shared" si="4"/>
        <v>4299</v>
      </c>
      <c r="B701" s="6" t="s">
        <v>12652</v>
      </c>
      <c r="C701" s="7" t="str">
        <f t="shared" si="6"/>
        <v>🔊</v>
      </c>
      <c r="D701" s="8" t="s">
        <v>12653</v>
      </c>
      <c r="E701" s="6" t="s">
        <v>13</v>
      </c>
      <c r="F701" s="12" t="str">
        <f>IFERROR(__xludf.DUMMYFUNCTION("GOOGLETRANSLATE(B701,""zh_cn"",""vi"")"),"Cuộc thi")</f>
        <v>Cuộc thi</v>
      </c>
      <c r="G701" s="12"/>
      <c r="H701" s="6"/>
      <c r="I701" s="11" t="b">
        <f t="shared" si="2"/>
        <v>0</v>
      </c>
      <c r="J701" s="24"/>
      <c r="K701" s="11" t="b">
        <f t="shared" si="3"/>
        <v>0</v>
      </c>
    </row>
    <row r="702" ht="22.5" customHeight="1">
      <c r="A702" s="12">
        <f t="shared" si="4"/>
        <v>4300</v>
      </c>
      <c r="B702" s="6" t="s">
        <v>12654</v>
      </c>
      <c r="C702" s="7" t="str">
        <f t="shared" si="6"/>
        <v>🔊</v>
      </c>
      <c r="D702" s="8" t="s">
        <v>12655</v>
      </c>
      <c r="E702" s="6" t="s">
        <v>13</v>
      </c>
      <c r="F702" s="12" t="str">
        <f>IFERROR(__xludf.DUMMYFUNCTION("GOOGLETRANSLATE(B702,""zh_cn"",""vi"")"),"tiến hành kinh doanh")</f>
        <v>tiến hành kinh doanh</v>
      </c>
      <c r="G702" s="12"/>
      <c r="H702" s="6"/>
      <c r="I702" s="11" t="b">
        <f t="shared" si="2"/>
        <v>0</v>
      </c>
      <c r="J702" s="24"/>
      <c r="K702" s="11" t="b">
        <f t="shared" si="3"/>
        <v>0</v>
      </c>
    </row>
    <row r="703" ht="22.5" customHeight="1">
      <c r="A703" s="12">
        <f t="shared" si="4"/>
        <v>4301</v>
      </c>
      <c r="B703" s="6" t="s">
        <v>12656</v>
      </c>
      <c r="C703" s="7" t="str">
        <f t="shared" si="6"/>
        <v>🔊</v>
      </c>
      <c r="D703" s="8" t="s">
        <v>12657</v>
      </c>
      <c r="E703" s="6" t="s">
        <v>13</v>
      </c>
      <c r="F703" s="12" t="str">
        <f>IFERROR(__xludf.DUMMYFUNCTION("GOOGLETRANSLATE(B703,""zh_cn"",""vi"")"),"thành thạo")</f>
        <v>thành thạo</v>
      </c>
      <c r="G703" s="12"/>
      <c r="H703" s="6"/>
      <c r="I703" s="11" t="b">
        <f t="shared" si="2"/>
        <v>0</v>
      </c>
      <c r="J703" s="24"/>
      <c r="K703" s="11" t="b">
        <f t="shared" si="3"/>
        <v>0</v>
      </c>
    </row>
    <row r="704" ht="22.5" customHeight="1">
      <c r="A704" s="12">
        <f t="shared" si="4"/>
        <v>4302</v>
      </c>
      <c r="B704" s="6" t="s">
        <v>12658</v>
      </c>
      <c r="C704" s="7" t="str">
        <f t="shared" si="6"/>
        <v>🔊</v>
      </c>
      <c r="D704" s="8" t="s">
        <v>12659</v>
      </c>
      <c r="E704" s="6" t="s">
        <v>27</v>
      </c>
      <c r="F704" s="12" t="str">
        <f>IFERROR(__xludf.DUMMYFUNCTION("GOOGLETRANSLATE(B704,""zh_cn"",""vi"")"),"ống kính")</f>
        <v>ống kính</v>
      </c>
      <c r="G704" s="12"/>
      <c r="H704" s="6"/>
      <c r="I704" s="11" t="b">
        <f t="shared" si="2"/>
        <v>0</v>
      </c>
      <c r="J704" s="24"/>
      <c r="K704" s="11" t="b">
        <f t="shared" si="3"/>
        <v>0</v>
      </c>
    </row>
    <row r="705" ht="22.5" customHeight="1">
      <c r="A705" s="12">
        <f t="shared" si="4"/>
        <v>4303</v>
      </c>
      <c r="B705" s="6" t="s">
        <v>12660</v>
      </c>
      <c r="C705" s="7" t="str">
        <f t="shared" si="6"/>
        <v>🔊</v>
      </c>
      <c r="D705" s="8" t="s">
        <v>12661</v>
      </c>
      <c r="E705" s="6" t="s">
        <v>27</v>
      </c>
      <c r="F705" s="12" t="str">
        <f>IFERROR(__xludf.DUMMYFUNCTION("GOOGLETRANSLATE(B705,""zh_cn"",""vi"")"),"bối cảnh")</f>
        <v>bối cảnh</v>
      </c>
      <c r="G705" s="12"/>
      <c r="H705" s="6"/>
      <c r="I705" s="11" t="b">
        <f t="shared" si="2"/>
        <v>0</v>
      </c>
      <c r="J705" s="24"/>
      <c r="K705" s="11" t="b">
        <f t="shared" si="3"/>
        <v>0</v>
      </c>
    </row>
    <row r="706" ht="22.5" customHeight="1">
      <c r="A706" s="12">
        <f t="shared" si="4"/>
        <v>4304</v>
      </c>
      <c r="B706" s="6" t="s">
        <v>12662</v>
      </c>
      <c r="C706" s="7" t="str">
        <f t="shared" si="6"/>
        <v>🔊</v>
      </c>
      <c r="D706" s="8" t="s">
        <v>12663</v>
      </c>
      <c r="E706" s="6" t="s">
        <v>99</v>
      </c>
      <c r="F706" s="12" t="str">
        <f>IFERROR(__xludf.DUMMYFUNCTION("GOOGLETRANSLATE(B706,""zh_cn"",""vi"")"),"Cẩn thận")</f>
        <v>Cẩn thận</v>
      </c>
      <c r="G706" s="12"/>
      <c r="H706" s="6"/>
      <c r="I706" s="11" t="b">
        <f t="shared" si="2"/>
        <v>0</v>
      </c>
      <c r="J706" s="24"/>
      <c r="K706" s="11" t="b">
        <f t="shared" si="3"/>
        <v>0</v>
      </c>
    </row>
    <row r="707" ht="22.5" customHeight="1">
      <c r="A707" s="12">
        <f t="shared" si="4"/>
        <v>4305</v>
      </c>
      <c r="B707" s="6" t="s">
        <v>12664</v>
      </c>
      <c r="C707" s="7" t="str">
        <f t="shared" si="6"/>
        <v>🔊</v>
      </c>
      <c r="D707" s="8" t="s">
        <v>12665</v>
      </c>
      <c r="E707" s="6" t="s">
        <v>99</v>
      </c>
      <c r="F707" s="12" t="str">
        <f>IFERROR(__xludf.DUMMYFUNCTION("GOOGLETRANSLATE(B707,""zh_cn"",""vi"")"),"sự ngạc nhiên")</f>
        <v>sự ngạc nhiên</v>
      </c>
      <c r="G707" s="12"/>
      <c r="H707" s="6"/>
      <c r="I707" s="11" t="b">
        <f t="shared" si="2"/>
        <v>0</v>
      </c>
      <c r="J707" s="24"/>
      <c r="K707" s="11" t="b">
        <f t="shared" si="3"/>
        <v>0</v>
      </c>
    </row>
    <row r="708" ht="22.5" customHeight="1">
      <c r="A708" s="12">
        <f t="shared" si="4"/>
        <v>4306</v>
      </c>
      <c r="B708" s="6" t="s">
        <v>12666</v>
      </c>
      <c r="C708" s="7" t="str">
        <f t="shared" si="6"/>
        <v>🔊</v>
      </c>
      <c r="D708" s="8" t="s">
        <v>12667</v>
      </c>
      <c r="E708" s="6" t="s">
        <v>99</v>
      </c>
      <c r="F708" s="12" t="str">
        <f>IFERROR(__xludf.DUMMYFUNCTION("GOOGLETRANSLATE(B708,""zh_cn"",""vi"")"),"Tuyệt vời")</f>
        <v>Tuyệt vời</v>
      </c>
      <c r="G708" s="12"/>
      <c r="H708" s="6"/>
      <c r="I708" s="11" t="b">
        <f t="shared" si="2"/>
        <v>0</v>
      </c>
      <c r="J708" s="24"/>
      <c r="K708" s="11" t="b">
        <f t="shared" si="3"/>
        <v>0</v>
      </c>
    </row>
    <row r="709" ht="22.5" customHeight="1">
      <c r="A709" s="12">
        <f t="shared" si="4"/>
        <v>4307</v>
      </c>
      <c r="B709" s="6" t="s">
        <v>12668</v>
      </c>
      <c r="C709" s="7" t="str">
        <f t="shared" si="6"/>
        <v>🔊</v>
      </c>
      <c r="D709" s="8" t="s">
        <v>12669</v>
      </c>
      <c r="E709" s="6" t="s">
        <v>27</v>
      </c>
      <c r="F709" s="12" t="str">
        <f>IFERROR(__xludf.DUMMYFUNCTION("GOOGLETRANSLATE(B709,""zh_cn"",""vi"")"),"Cột sống cổ")</f>
        <v>Cột sống cổ</v>
      </c>
      <c r="G709" s="12"/>
      <c r="H709" s="6"/>
      <c r="I709" s="11" t="b">
        <f t="shared" si="2"/>
        <v>0</v>
      </c>
      <c r="J709" s="24"/>
      <c r="K709" s="11" t="b">
        <f t="shared" si="3"/>
        <v>0</v>
      </c>
    </row>
    <row r="710" ht="22.5" customHeight="1">
      <c r="A710" s="12">
        <f t="shared" si="4"/>
        <v>4308</v>
      </c>
      <c r="B710" s="6" t="s">
        <v>12670</v>
      </c>
      <c r="C710" s="7" t="str">
        <f t="shared" si="6"/>
        <v>🔊</v>
      </c>
      <c r="D710" s="8" t="s">
        <v>12671</v>
      </c>
      <c r="E710" s="6" t="s">
        <v>99</v>
      </c>
      <c r="F710" s="12" t="str">
        <f>IFERROR(__xludf.DUMMYFUNCTION("GOOGLETRANSLATE(B710,""zh_cn"",""vi"")"),"Độ chính xác")</f>
        <v>Độ chính xác</v>
      </c>
      <c r="G710" s="12"/>
      <c r="H710" s="6"/>
      <c r="I710" s="11" t="b">
        <f t="shared" si="2"/>
        <v>0</v>
      </c>
      <c r="J710" s="24"/>
      <c r="K710" s="11" t="b">
        <f t="shared" si="3"/>
        <v>0</v>
      </c>
    </row>
    <row r="711" ht="22.5" customHeight="1">
      <c r="A711" s="12">
        <f t="shared" si="4"/>
        <v>4309</v>
      </c>
      <c r="B711" s="6" t="s">
        <v>12672</v>
      </c>
      <c r="C711" s="7" t="str">
        <f t="shared" si="6"/>
        <v>🔊</v>
      </c>
      <c r="D711" s="8" t="s">
        <v>12673</v>
      </c>
      <c r="E711" s="6" t="s">
        <v>13</v>
      </c>
      <c r="F711" s="12" t="str">
        <f>IFERROR(__xludf.DUMMYFUNCTION("GOOGLETRANSLATE(B711,""zh_cn"",""vi"")"),"sự tiến hóa")</f>
        <v>sự tiến hóa</v>
      </c>
      <c r="G711" s="12"/>
      <c r="H711" s="6"/>
      <c r="I711" s="11" t="b">
        <f t="shared" si="2"/>
        <v>0</v>
      </c>
      <c r="J711" s="24"/>
      <c r="K711" s="11" t="b">
        <f t="shared" si="3"/>
        <v>0</v>
      </c>
    </row>
    <row r="712" ht="22.5" customHeight="1">
      <c r="A712" s="12">
        <f t="shared" si="4"/>
        <v>4310</v>
      </c>
      <c r="B712" s="6" t="s">
        <v>12674</v>
      </c>
      <c r="C712" s="7" t="str">
        <f t="shared" si="6"/>
        <v>🔊</v>
      </c>
      <c r="D712" s="8" t="s">
        <v>1270</v>
      </c>
      <c r="E712" s="6" t="s">
        <v>27</v>
      </c>
      <c r="F712" s="12" t="str">
        <f>IFERROR(__xludf.DUMMYFUNCTION("GOOGLETRANSLATE(B712,""zh_cn"",""vi"")"),"gần đây")</f>
        <v>gần đây</v>
      </c>
      <c r="G712" s="12"/>
      <c r="H712" s="6"/>
      <c r="I712" s="11" t="b">
        <f t="shared" si="2"/>
        <v>0</v>
      </c>
      <c r="J712" s="24"/>
      <c r="K712" s="11" t="b">
        <f t="shared" si="3"/>
        <v>0</v>
      </c>
    </row>
    <row r="713" ht="22.5" customHeight="1">
      <c r="A713" s="12">
        <f t="shared" si="4"/>
        <v>4311</v>
      </c>
      <c r="B713" s="6" t="s">
        <v>12675</v>
      </c>
      <c r="C713" s="7" t="str">
        <f t="shared" si="6"/>
        <v>🔊</v>
      </c>
      <c r="D713" s="8" t="s">
        <v>12676</v>
      </c>
      <c r="E713" s="6" t="s">
        <v>27</v>
      </c>
      <c r="F713" s="12" t="str">
        <f>IFERROR(__xludf.DUMMYFUNCTION("GOOGLETRANSLATE(B713,""zh_cn"",""vi"")"),"huy chương vàng")</f>
        <v>huy chương vàng</v>
      </c>
      <c r="G713" s="12"/>
      <c r="H713" s="6"/>
      <c r="I713" s="11" t="b">
        <f t="shared" si="2"/>
        <v>0</v>
      </c>
      <c r="J713" s="24"/>
      <c r="K713" s="11" t="b">
        <f t="shared" si="3"/>
        <v>0</v>
      </c>
    </row>
    <row r="714" ht="22.5" customHeight="1">
      <c r="A714" s="12">
        <f t="shared" si="4"/>
        <v>4312</v>
      </c>
      <c r="B714" s="6" t="s">
        <v>12677</v>
      </c>
      <c r="C714" s="7" t="str">
        <f t="shared" si="6"/>
        <v>🔊</v>
      </c>
      <c r="D714" s="8" t="s">
        <v>12678</v>
      </c>
      <c r="E714" s="6" t="s">
        <v>27</v>
      </c>
      <c r="F714" s="12" t="str">
        <f>IFERROR(__xludf.DUMMYFUNCTION("GOOGLETRANSLATE(B714,""zh_cn"",""vi"")"),"tiền bạc")</f>
        <v>tiền bạc</v>
      </c>
      <c r="G714" s="12"/>
      <c r="H714" s="6"/>
      <c r="I714" s="11" t="b">
        <f t="shared" si="2"/>
        <v>0</v>
      </c>
      <c r="J714" s="24"/>
      <c r="K714" s="11" t="b">
        <f t="shared" si="3"/>
        <v>0</v>
      </c>
    </row>
    <row r="715" ht="22.5" customHeight="1">
      <c r="A715" s="12">
        <f t="shared" si="4"/>
        <v>4313</v>
      </c>
      <c r="B715" s="6" t="s">
        <v>12679</v>
      </c>
      <c r="C715" s="7" t="str">
        <f t="shared" si="6"/>
        <v>🔊</v>
      </c>
      <c r="D715" s="8" t="s">
        <v>12680</v>
      </c>
      <c r="E715" s="6" t="s">
        <v>27</v>
      </c>
      <c r="F715" s="12" t="str">
        <f>IFERROR(__xludf.DUMMYFUNCTION("GOOGLETRANSLATE(B715,""zh_cn"",""vi"")"),"tài chính")</f>
        <v>tài chính</v>
      </c>
      <c r="G715" s="12"/>
      <c r="H715" s="6"/>
      <c r="I715" s="11" t="b">
        <f t="shared" si="2"/>
        <v>0</v>
      </c>
      <c r="J715" s="24"/>
      <c r="K715" s="11" t="b">
        <f t="shared" si="3"/>
        <v>0</v>
      </c>
    </row>
    <row r="716" ht="22.5" customHeight="1">
      <c r="A716" s="12">
        <f t="shared" si="4"/>
        <v>4314</v>
      </c>
      <c r="B716" s="6" t="s">
        <v>12681</v>
      </c>
      <c r="C716" s="7" t="str">
        <f t="shared" si="6"/>
        <v>🔊</v>
      </c>
      <c r="D716" s="8" t="s">
        <v>12682</v>
      </c>
      <c r="E716" s="6" t="s">
        <v>99</v>
      </c>
      <c r="F716" s="12" t="str">
        <f>IFERROR(__xludf.DUMMYFUNCTION("GOOGLETRANSLATE(B716,""zh_cn"",""vi"")"),"Cận thị")</f>
        <v>Cận thị</v>
      </c>
      <c r="G716" s="12"/>
      <c r="H716" s="6"/>
      <c r="I716" s="11" t="b">
        <f t="shared" si="2"/>
        <v>0</v>
      </c>
      <c r="J716" s="24"/>
      <c r="K716" s="11" t="b">
        <f t="shared" si="3"/>
        <v>0</v>
      </c>
    </row>
    <row r="717" ht="22.5" customHeight="1">
      <c r="A717" s="12">
        <f t="shared" si="4"/>
        <v>4315</v>
      </c>
      <c r="B717" s="6" t="s">
        <v>12683</v>
      </c>
      <c r="C717" s="7" t="str">
        <f t="shared" si="6"/>
        <v>🔊</v>
      </c>
      <c r="D717" s="8" t="s">
        <v>12684</v>
      </c>
      <c r="E717" s="6" t="s">
        <v>27</v>
      </c>
      <c r="F717" s="12" t="str">
        <f>IFERROR(__xludf.DUMMYFUNCTION("GOOGLETRANSLATE(B717,""zh_cn"",""vi"")"),"Kim loại")</f>
        <v>Kim loại</v>
      </c>
      <c r="G717" s="12"/>
      <c r="H717" s="6"/>
      <c r="I717" s="11" t="b">
        <f t="shared" si="2"/>
        <v>0</v>
      </c>
      <c r="J717" s="24"/>
      <c r="K717" s="11" t="b">
        <f t="shared" si="3"/>
        <v>0</v>
      </c>
    </row>
    <row r="718" ht="22.5" customHeight="1">
      <c r="A718" s="12">
        <f t="shared" si="4"/>
        <v>4316</v>
      </c>
      <c r="B718" s="6" t="s">
        <v>12685</v>
      </c>
      <c r="C718" s="7" t="str">
        <f t="shared" si="6"/>
        <v>🔊</v>
      </c>
      <c r="D718" s="8" t="s">
        <v>12686</v>
      </c>
      <c r="E718" s="6" t="s">
        <v>13</v>
      </c>
      <c r="F718" s="12" t="str">
        <f>IFERROR(__xludf.DUMMYFUNCTION("GOOGLETRANSLATE(B718,""zh_cn"",""vi"")"),"tiến triển")</f>
        <v>tiến triển</v>
      </c>
      <c r="G718" s="12"/>
      <c r="H718" s="6"/>
      <c r="I718" s="11" t="b">
        <f t="shared" si="2"/>
        <v>0</v>
      </c>
      <c r="J718" s="24"/>
      <c r="K718" s="11" t="b">
        <f t="shared" si="3"/>
        <v>0</v>
      </c>
    </row>
    <row r="719" ht="22.5" customHeight="1">
      <c r="A719" s="12">
        <f t="shared" si="4"/>
        <v>4317</v>
      </c>
      <c r="B719" s="6" t="s">
        <v>12687</v>
      </c>
      <c r="C719" s="7" t="str">
        <f t="shared" si="6"/>
        <v>🔊</v>
      </c>
      <c r="D719" s="8" t="s">
        <v>12688</v>
      </c>
      <c r="E719" s="6" t="s">
        <v>27</v>
      </c>
      <c r="F719" s="12" t="str">
        <f>IFERROR(__xludf.DUMMYFUNCTION("GOOGLETRANSLATE(B719,""zh_cn"",""vi"")"),"vàng")</f>
        <v>vàng</v>
      </c>
      <c r="G719" s="12"/>
      <c r="H719" s="6"/>
      <c r="I719" s="11" t="b">
        <f t="shared" si="2"/>
        <v>0</v>
      </c>
      <c r="J719" s="24"/>
      <c r="K719" s="11" t="b">
        <f t="shared" si="3"/>
        <v>0</v>
      </c>
    </row>
    <row r="720" ht="22.5" customHeight="1">
      <c r="A720" s="12">
        <f t="shared" si="4"/>
        <v>4318</v>
      </c>
      <c r="B720" s="6" t="s">
        <v>12689</v>
      </c>
      <c r="C720" s="7" t="str">
        <f t="shared" si="6"/>
        <v>🔊</v>
      </c>
      <c r="D720" s="8" t="s">
        <v>12690</v>
      </c>
      <c r="E720" s="6" t="s">
        <v>27</v>
      </c>
      <c r="F720" s="12" t="str">
        <f>IFERROR(__xludf.DUMMYFUNCTION("GOOGLETRANSLATE(B720,""zh_cn"",""vi"")"),"Kỹ năng")</f>
        <v>Kỹ năng</v>
      </c>
      <c r="G720" s="12"/>
      <c r="H720" s="6"/>
      <c r="I720" s="11" t="b">
        <f t="shared" si="2"/>
        <v>0</v>
      </c>
      <c r="J720" s="24"/>
      <c r="K720" s="11" t="b">
        <f t="shared" si="3"/>
        <v>0</v>
      </c>
    </row>
    <row r="721" ht="22.5" customHeight="1">
      <c r="A721" s="12">
        <f t="shared" si="4"/>
        <v>4319</v>
      </c>
      <c r="B721" s="6" t="s">
        <v>12691</v>
      </c>
      <c r="C721" s="7" t="str">
        <f t="shared" si="6"/>
        <v>🔊</v>
      </c>
      <c r="D721" s="8" t="s">
        <v>12692</v>
      </c>
      <c r="E721" s="6" t="s">
        <v>99</v>
      </c>
      <c r="F721" s="12" t="str">
        <f>IFERROR(__xludf.DUMMYFUNCTION("GOOGLETRANSLATE(B721,""zh_cn"",""vi"")"),"háo hức")</f>
        <v>háo hức</v>
      </c>
      <c r="G721" s="12"/>
      <c r="H721" s="6"/>
      <c r="I721" s="11" t="b">
        <f t="shared" si="2"/>
        <v>0</v>
      </c>
      <c r="J721" s="24"/>
      <c r="K721" s="11" t="b">
        <f t="shared" si="3"/>
        <v>0</v>
      </c>
    </row>
    <row r="722" ht="22.5" customHeight="1">
      <c r="A722" s="12">
        <f t="shared" si="4"/>
        <v>4320</v>
      </c>
      <c r="B722" s="6" t="s">
        <v>12693</v>
      </c>
      <c r="C722" s="7" t="str">
        <f t="shared" si="6"/>
        <v>🔊</v>
      </c>
      <c r="D722" s="8" t="s">
        <v>12694</v>
      </c>
      <c r="E722" s="6" t="s">
        <v>27</v>
      </c>
      <c r="F722" s="12" t="str">
        <f>IFERROR(__xludf.DUMMYFUNCTION("GOOGLETRANSLATE(B722,""zh_cn"",""vi"")"),"Niềm đam mê")</f>
        <v>Niềm đam mê</v>
      </c>
      <c r="G722" s="12"/>
      <c r="H722" s="6"/>
      <c r="I722" s="11" t="b">
        <f t="shared" si="2"/>
        <v>0</v>
      </c>
      <c r="J722" s="24"/>
      <c r="K722" s="11" t="b">
        <f t="shared" si="3"/>
        <v>0</v>
      </c>
    </row>
    <row r="723" ht="22.5" customHeight="1">
      <c r="A723" s="12">
        <f t="shared" si="4"/>
        <v>4321</v>
      </c>
      <c r="B723" s="6" t="s">
        <v>12695</v>
      </c>
      <c r="C723" s="7" t="str">
        <f t="shared" si="6"/>
        <v>🔊</v>
      </c>
      <c r="D723" s="8" t="s">
        <v>12696</v>
      </c>
      <c r="E723" s="6" t="s">
        <v>27</v>
      </c>
      <c r="F723" s="12" t="str">
        <f>IFERROR(__xludf.DUMMYFUNCTION("GOOGLETRANSLATE(B723,""zh_cn"",""vi"")"),"nhóm")</f>
        <v>nhóm</v>
      </c>
      <c r="G723" s="12"/>
      <c r="H723" s="6"/>
      <c r="I723" s="11" t="b">
        <f t="shared" si="2"/>
        <v>0</v>
      </c>
      <c r="J723" s="24"/>
      <c r="K723" s="11" t="b">
        <f t="shared" si="3"/>
        <v>0</v>
      </c>
    </row>
    <row r="724" ht="22.5" customHeight="1">
      <c r="A724" s="12">
        <f t="shared" si="4"/>
        <v>4322</v>
      </c>
      <c r="B724" s="6" t="s">
        <v>12697</v>
      </c>
      <c r="C724" s="7" t="str">
        <f t="shared" si="6"/>
        <v>🔊</v>
      </c>
      <c r="D724" s="8" t="s">
        <v>12698</v>
      </c>
      <c r="E724" s="6" t="s">
        <v>13</v>
      </c>
      <c r="F724" s="12" t="str">
        <f>IFERROR(__xludf.DUMMYFUNCTION("GOOGLETRANSLATE(B724,""zh_cn"",""vi"")"),"Học")</f>
        <v>Học</v>
      </c>
      <c r="G724" s="12"/>
      <c r="H724" s="6"/>
      <c r="I724" s="11" t="b">
        <f t="shared" si="2"/>
        <v>0</v>
      </c>
      <c r="J724" s="24"/>
      <c r="K724" s="11" t="b">
        <f t="shared" si="3"/>
        <v>0</v>
      </c>
    </row>
    <row r="725" ht="22.5" customHeight="1">
      <c r="A725" s="12">
        <f t="shared" si="4"/>
        <v>4323</v>
      </c>
      <c r="B725" s="6" t="s">
        <v>12699</v>
      </c>
      <c r="C725" s="7" t="str">
        <f t="shared" si="6"/>
        <v>🔊</v>
      </c>
      <c r="D725" s="8" t="s">
        <v>12700</v>
      </c>
      <c r="E725" s="6" t="s">
        <v>27</v>
      </c>
      <c r="F725" s="12" t="str">
        <f>IFERROR(__xludf.DUMMYFUNCTION("GOOGLETRANSLATE(B725,""zh_cn"",""vi"")"),"tranh luận")</f>
        <v>tranh luận</v>
      </c>
      <c r="G725" s="12"/>
      <c r="H725" s="6"/>
      <c r="I725" s="11" t="b">
        <f t="shared" si="2"/>
        <v>0</v>
      </c>
      <c r="J725" s="24"/>
      <c r="K725" s="11" t="b">
        <f t="shared" si="3"/>
        <v>0</v>
      </c>
    </row>
    <row r="726" ht="22.5" customHeight="1">
      <c r="A726" s="12">
        <f t="shared" si="4"/>
        <v>4324</v>
      </c>
      <c r="B726" s="6" t="s">
        <v>12701</v>
      </c>
      <c r="C726" s="7" t="str">
        <f t="shared" si="6"/>
        <v>🔊</v>
      </c>
      <c r="D726" s="8" t="s">
        <v>12702</v>
      </c>
      <c r="E726" s="6" t="s">
        <v>27</v>
      </c>
      <c r="F726" s="12" t="str">
        <f>IFERROR(__xludf.DUMMYFUNCTION("GOOGLETRANSLATE(B726,""zh_cn"",""vi"")"),"Rượu bia")</f>
        <v>Rượu bia</v>
      </c>
      <c r="G726" s="12"/>
      <c r="H726" s="6"/>
      <c r="I726" s="11" t="b">
        <f t="shared" si="2"/>
        <v>0</v>
      </c>
      <c r="J726" s="24"/>
      <c r="K726" s="11" t="b">
        <f t="shared" si="3"/>
        <v>0</v>
      </c>
    </row>
    <row r="727" ht="22.5" customHeight="1">
      <c r="A727" s="12">
        <f t="shared" si="4"/>
        <v>4325</v>
      </c>
      <c r="B727" s="6" t="s">
        <v>12703</v>
      </c>
      <c r="C727" s="7" t="str">
        <f t="shared" si="6"/>
        <v>🔊</v>
      </c>
      <c r="D727" s="8" t="s">
        <v>12704</v>
      </c>
      <c r="E727" s="6" t="s">
        <v>27</v>
      </c>
      <c r="F727" s="12" t="str">
        <f>IFERROR(__xludf.DUMMYFUNCTION("GOOGLETRANSLATE(B727,""zh_cn"",""vi"")"),"chú ")</f>
        <v>chú </v>
      </c>
      <c r="G727" s="12"/>
      <c r="H727" s="6"/>
      <c r="I727" s="11" t="b">
        <f t="shared" si="2"/>
        <v>0</v>
      </c>
      <c r="J727" s="24"/>
      <c r="K727" s="11" t="b">
        <f t="shared" si="3"/>
        <v>0</v>
      </c>
    </row>
    <row r="728" ht="22.5" customHeight="1">
      <c r="A728" s="12">
        <f t="shared" si="4"/>
        <v>4326</v>
      </c>
      <c r="B728" s="6" t="s">
        <v>12705</v>
      </c>
      <c r="C728" s="7" t="str">
        <f t="shared" si="6"/>
        <v>🔊</v>
      </c>
      <c r="D728" s="8" t="s">
        <v>12706</v>
      </c>
      <c r="E728" s="6" t="s">
        <v>13</v>
      </c>
      <c r="F728" s="12" t="str">
        <f>IFERROR(__xludf.DUMMYFUNCTION("GOOGLETRANSLATE(B728,""zh_cn"",""vi"")"),"Giúp đỡ")</f>
        <v>Giúp đỡ</v>
      </c>
      <c r="G728" s="12"/>
      <c r="H728" s="6"/>
      <c r="I728" s="11" t="b">
        <f t="shared" si="2"/>
        <v>0</v>
      </c>
      <c r="J728" s="24"/>
      <c r="K728" s="11" t="b">
        <f t="shared" si="3"/>
        <v>0</v>
      </c>
    </row>
    <row r="729" ht="22.5" customHeight="1">
      <c r="A729" s="12">
        <f t="shared" si="4"/>
        <v>4327</v>
      </c>
      <c r="B729" s="6" t="s">
        <v>12707</v>
      </c>
      <c r="C729" s="7" t="str">
        <f t="shared" si="6"/>
        <v>🔊</v>
      </c>
      <c r="D729" s="8" t="s">
        <v>12708</v>
      </c>
      <c r="E729" s="6" t="s">
        <v>27</v>
      </c>
      <c r="F729" s="12" t="str">
        <f>IFERROR(__xludf.DUMMYFUNCTION("GOOGLETRANSLATE(B729,""zh_cn"",""vi"")"),"Đồ uống")</f>
        <v>Đồ uống</v>
      </c>
      <c r="G729" s="12"/>
      <c r="H729" s="6"/>
      <c r="I729" s="11" t="b">
        <f t="shared" si="2"/>
        <v>0</v>
      </c>
      <c r="J729" s="24"/>
      <c r="K729" s="11" t="b">
        <f t="shared" si="3"/>
        <v>0</v>
      </c>
    </row>
    <row r="730" ht="22.5" customHeight="1">
      <c r="A730" s="12">
        <f t="shared" si="4"/>
        <v>4328</v>
      </c>
      <c r="B730" s="6" t="s">
        <v>12709</v>
      </c>
      <c r="C730" s="7" t="str">
        <f t="shared" si="6"/>
        <v>🔊</v>
      </c>
      <c r="D730" s="8" t="s">
        <v>12710</v>
      </c>
      <c r="E730" s="6" t="s">
        <v>1132</v>
      </c>
      <c r="F730" s="12" t="str">
        <f>IFERROR(__xludf.DUMMYFUNCTION("GOOGLETRANSLATE(B730,""zh_cn"",""vi"")"),"Thậm chí")</f>
        <v>Thậm chí</v>
      </c>
      <c r="G730" s="12"/>
      <c r="H730" s="6"/>
      <c r="I730" s="11" t="b">
        <f t="shared" si="2"/>
        <v>0</v>
      </c>
      <c r="J730" s="24"/>
      <c r="K730" s="11" t="b">
        <f t="shared" si="3"/>
        <v>0</v>
      </c>
    </row>
    <row r="731" ht="22.5" customHeight="1">
      <c r="A731" s="12">
        <f t="shared" si="4"/>
        <v>4329</v>
      </c>
      <c r="B731" s="6" t="s">
        <v>12711</v>
      </c>
      <c r="C731" s="7" t="str">
        <f t="shared" si="6"/>
        <v>🔊</v>
      </c>
      <c r="D731" s="8" t="s">
        <v>12712</v>
      </c>
      <c r="E731" s="6" t="s">
        <v>13</v>
      </c>
      <c r="F731" s="12" t="str">
        <f>IFERROR(__xludf.DUMMYFUNCTION("GOOGLETRANSLATE(B731,""zh_cn"",""vi"")"),"giải thoát")</f>
        <v>giải thoát</v>
      </c>
      <c r="G731" s="12"/>
      <c r="H731" s="6"/>
      <c r="I731" s="11" t="b">
        <f t="shared" si="2"/>
        <v>0</v>
      </c>
      <c r="J731" s="24"/>
      <c r="K731" s="11" t="b">
        <f t="shared" si="3"/>
        <v>0</v>
      </c>
    </row>
    <row r="732" ht="22.5" customHeight="1">
      <c r="A732" s="12">
        <f t="shared" si="4"/>
        <v>4330</v>
      </c>
      <c r="B732" s="6" t="s">
        <v>12713</v>
      </c>
      <c r="C732" s="7" t="str">
        <f t="shared" si="6"/>
        <v>🔊</v>
      </c>
      <c r="D732" s="8" t="s">
        <v>12714</v>
      </c>
      <c r="E732" s="6" t="s">
        <v>13</v>
      </c>
      <c r="F732" s="12" t="str">
        <f>IFERROR(__xludf.DUMMYFUNCTION("GOOGLETRANSLATE(B732,""zh_cn"",""vi"")"),"cứu trợ thiên tai")</f>
        <v>cứu trợ thiên tai</v>
      </c>
      <c r="G732" s="12"/>
      <c r="H732" s="6"/>
      <c r="I732" s="11" t="b">
        <f t="shared" si="2"/>
        <v>0</v>
      </c>
      <c r="J732" s="24"/>
      <c r="K732" s="11" t="b">
        <f t="shared" si="3"/>
        <v>0</v>
      </c>
    </row>
    <row r="733" ht="22.5" customHeight="1">
      <c r="A733" s="12">
        <f t="shared" si="4"/>
        <v>4331</v>
      </c>
      <c r="B733" s="6" t="s">
        <v>12715</v>
      </c>
      <c r="C733" s="7" t="str">
        <f t="shared" si="6"/>
        <v>🔊</v>
      </c>
      <c r="D733" s="8" t="s">
        <v>12716</v>
      </c>
      <c r="E733" s="6" t="s">
        <v>13</v>
      </c>
      <c r="F733" s="12" t="str">
        <f>IFERROR(__xludf.DUMMYFUNCTION("GOOGLETRANSLATE(B733,""zh_cn"",""vi"")"),"Chính xác")</f>
        <v>Chính xác</v>
      </c>
      <c r="G733" s="12"/>
      <c r="H733" s="6"/>
      <c r="I733" s="11" t="b">
        <f t="shared" si="2"/>
        <v>0</v>
      </c>
      <c r="J733" s="24"/>
      <c r="K733" s="11" t="b">
        <f t="shared" si="3"/>
        <v>0</v>
      </c>
    </row>
    <row r="734" ht="22.5" customHeight="1">
      <c r="A734" s="12">
        <f t="shared" si="4"/>
        <v>4332</v>
      </c>
      <c r="B734" s="6" t="s">
        <v>12717</v>
      </c>
      <c r="C734" s="7" t="str">
        <f t="shared" si="6"/>
        <v>🔊</v>
      </c>
      <c r="D734" s="8" t="s">
        <v>12718</v>
      </c>
      <c r="E734" s="6" t="s">
        <v>13</v>
      </c>
      <c r="F734" s="12" t="str">
        <f>IFERROR(__xludf.DUMMYFUNCTION("GOOGLETRANSLATE(B734,""zh_cn"",""vi"")"),"giải thoát")</f>
        <v>giải thoát</v>
      </c>
      <c r="G734" s="12"/>
      <c r="H734" s="6"/>
      <c r="I734" s="11" t="b">
        <f t="shared" si="2"/>
        <v>0</v>
      </c>
      <c r="J734" s="24"/>
      <c r="K734" s="11" t="b">
        <f t="shared" si="3"/>
        <v>0</v>
      </c>
    </row>
    <row r="735" ht="22.5" customHeight="1">
      <c r="A735" s="12">
        <f t="shared" si="4"/>
        <v>4333</v>
      </c>
      <c r="B735" s="6" t="s">
        <v>12719</v>
      </c>
      <c r="C735" s="7" t="str">
        <f t="shared" si="6"/>
        <v>🔊</v>
      </c>
      <c r="D735" s="8" t="s">
        <v>12720</v>
      </c>
      <c r="E735" s="6" t="s">
        <v>61</v>
      </c>
      <c r="F735" s="12" t="str">
        <f>IFERROR(__xludf.DUMMYFUNCTION("GOOGLETRANSLATE(B735,""zh_cn"",""vi"")"),"Vô cùng")</f>
        <v>Vô cùng</v>
      </c>
      <c r="G735" s="12"/>
      <c r="H735" s="6"/>
      <c r="I735" s="11" t="b">
        <f t="shared" si="2"/>
        <v>0</v>
      </c>
      <c r="J735" s="24"/>
      <c r="K735" s="11" t="b">
        <f t="shared" si="3"/>
        <v>0</v>
      </c>
    </row>
    <row r="736" ht="22.5" customHeight="1">
      <c r="A736" s="12">
        <f t="shared" si="4"/>
        <v>4334</v>
      </c>
      <c r="B736" s="6" t="s">
        <v>12721</v>
      </c>
      <c r="C736" s="7" t="str">
        <f t="shared" si="6"/>
        <v>🔊</v>
      </c>
      <c r="D736" s="8" t="s">
        <v>12722</v>
      </c>
      <c r="E736" s="6" t="s">
        <v>99</v>
      </c>
      <c r="F736" s="12" t="str">
        <f>IFERROR(__xludf.DUMMYFUNCTION("GOOGLETRANSLATE(B736,""zh_cn"",""vi"")"),"tốt lành")</f>
        <v>tốt lành</v>
      </c>
      <c r="G736" s="12"/>
      <c r="H736" s="6"/>
      <c r="I736" s="11" t="b">
        <f t="shared" si="2"/>
        <v>0</v>
      </c>
      <c r="J736" s="24"/>
      <c r="K736" s="11" t="b">
        <f t="shared" si="3"/>
        <v>0</v>
      </c>
    </row>
    <row r="737" ht="22.5" customHeight="1">
      <c r="A737" s="12">
        <f t="shared" si="4"/>
        <v>4335</v>
      </c>
      <c r="B737" s="6" t="s">
        <v>12723</v>
      </c>
      <c r="C737" s="7" t="str">
        <f t="shared" si="6"/>
        <v>🔊</v>
      </c>
      <c r="D737" s="8" t="s">
        <v>12724</v>
      </c>
      <c r="E737" s="6" t="s">
        <v>3430</v>
      </c>
      <c r="F737" s="12" t="str">
        <f>IFERROR(__xludf.DUMMYFUNCTION("GOOGLETRANSLATE(B737,""zh_cn"",""vi"")"),"cơ khí")</f>
        <v>cơ khí</v>
      </c>
      <c r="G737" s="12"/>
      <c r="H737" s="6"/>
      <c r="I737" s="11" t="b">
        <f t="shared" si="2"/>
        <v>0</v>
      </c>
      <c r="J737" s="24"/>
      <c r="K737" s="11" t="b">
        <f t="shared" si="3"/>
        <v>0</v>
      </c>
    </row>
    <row r="738" ht="22.5" customHeight="1">
      <c r="A738" s="12">
        <f t="shared" si="4"/>
        <v>4336</v>
      </c>
      <c r="B738" s="6" t="s">
        <v>12725</v>
      </c>
      <c r="C738" s="7" t="str">
        <f t="shared" si="6"/>
        <v>🔊</v>
      </c>
      <c r="D738" s="8" t="s">
        <v>8466</v>
      </c>
      <c r="E738" s="6" t="s">
        <v>27</v>
      </c>
      <c r="F738" s="12" t="str">
        <f>IFERROR(__xludf.DUMMYFUNCTION("GOOGLETRANSLATE(B738,""zh_cn"",""vi"")"),"kỹ năng")</f>
        <v>kỹ năng</v>
      </c>
      <c r="G738" s="12"/>
      <c r="H738" s="6"/>
      <c r="I738" s="11" t="b">
        <f t="shared" si="2"/>
        <v>0</v>
      </c>
      <c r="J738" s="24"/>
      <c r="K738" s="11" t="b">
        <f t="shared" si="3"/>
        <v>0</v>
      </c>
    </row>
    <row r="739" ht="22.5" customHeight="1">
      <c r="A739" s="12">
        <f t="shared" si="4"/>
        <v>4337</v>
      </c>
      <c r="B739" s="6" t="s">
        <v>12726</v>
      </c>
      <c r="C739" s="7" t="str">
        <f t="shared" si="6"/>
        <v>🔊</v>
      </c>
      <c r="D739" s="8" t="s">
        <v>12727</v>
      </c>
      <c r="E739" s="6" t="s">
        <v>27</v>
      </c>
      <c r="F739" s="12" t="str">
        <f>IFERROR(__xludf.DUMMYFUNCTION("GOOGLETRANSLATE(B739,""zh_cn"",""vi"")"),"Gen")</f>
        <v>Gen</v>
      </c>
      <c r="G739" s="12"/>
      <c r="H739" s="6"/>
      <c r="I739" s="11" t="b">
        <f t="shared" si="2"/>
        <v>0</v>
      </c>
      <c r="J739" s="24"/>
      <c r="K739" s="11" t="b">
        <f t="shared" si="3"/>
        <v>0</v>
      </c>
    </row>
    <row r="740" ht="22.5" customHeight="1">
      <c r="A740" s="12">
        <f t="shared" si="4"/>
        <v>4338</v>
      </c>
      <c r="B740" s="6" t="s">
        <v>12728</v>
      </c>
      <c r="C740" s="7" t="str">
        <f t="shared" si="6"/>
        <v>🔊</v>
      </c>
      <c r="D740" s="8" t="s">
        <v>12729</v>
      </c>
      <c r="E740" s="6" t="s">
        <v>13</v>
      </c>
      <c r="F740" s="12" t="str">
        <f>IFERROR(__xludf.DUMMYFUNCTION("GOOGLETRANSLATE(B740,""zh_cn"",""vi"")"),"đưa cho")</f>
        <v>đưa cho</v>
      </c>
      <c r="G740" s="12"/>
      <c r="H740" s="6"/>
      <c r="I740" s="11" t="b">
        <f t="shared" si="2"/>
        <v>0</v>
      </c>
      <c r="J740" s="24"/>
      <c r="K740" s="11" t="b">
        <f t="shared" si="3"/>
        <v>0</v>
      </c>
    </row>
    <row r="741" ht="22.5" customHeight="1">
      <c r="A741" s="12">
        <f t="shared" si="4"/>
        <v>4339</v>
      </c>
      <c r="B741" s="6" t="s">
        <v>12730</v>
      </c>
      <c r="C741" s="7" t="str">
        <f t="shared" si="6"/>
        <v>🔊</v>
      </c>
      <c r="D741" s="8" t="s">
        <v>12731</v>
      </c>
      <c r="E741" s="6" t="s">
        <v>27</v>
      </c>
      <c r="F741" s="12" t="str">
        <f>IFERROR(__xludf.DUMMYFUNCTION("GOOGLETRANSLATE(B741,""zh_cn"",""vi"")"),"cơ hội")</f>
        <v>cơ hội</v>
      </c>
      <c r="G741" s="12"/>
      <c r="H741" s="6"/>
      <c r="I741" s="11" t="b">
        <f t="shared" si="2"/>
        <v>0</v>
      </c>
      <c r="J741" s="24"/>
      <c r="K741" s="11" t="b">
        <f t="shared" si="3"/>
        <v>0</v>
      </c>
    </row>
    <row r="742" ht="22.5" customHeight="1">
      <c r="A742" s="12">
        <f t="shared" si="4"/>
        <v>4340</v>
      </c>
      <c r="B742" s="6" t="s">
        <v>12732</v>
      </c>
      <c r="C742" s="7" t="str">
        <f t="shared" si="6"/>
        <v>🔊</v>
      </c>
      <c r="D742" s="8" t="s">
        <v>12733</v>
      </c>
      <c r="E742" s="6" t="s">
        <v>27</v>
      </c>
      <c r="F742" s="12" t="str">
        <f>IFERROR(__xludf.DUMMYFUNCTION("GOOGLETRANSLATE(B742,""zh_cn"",""vi"")"),"cơ chế")</f>
        <v>cơ chế</v>
      </c>
      <c r="G742" s="12"/>
      <c r="H742" s="6"/>
      <c r="I742" s="11" t="b">
        <f t="shared" si="2"/>
        <v>0</v>
      </c>
      <c r="J742" s="24"/>
      <c r="K742" s="11" t="b">
        <f t="shared" si="3"/>
        <v>0</v>
      </c>
    </row>
    <row r="743" ht="22.5" customHeight="1">
      <c r="A743" s="12">
        <f t="shared" si="4"/>
        <v>4341</v>
      </c>
      <c r="B743" s="6" t="s">
        <v>12734</v>
      </c>
      <c r="C743" s="7" t="str">
        <f t="shared" si="6"/>
        <v>🔊</v>
      </c>
      <c r="D743" s="8" t="s">
        <v>12735</v>
      </c>
      <c r="E743" s="6" t="s">
        <v>47</v>
      </c>
      <c r="F743" s="12" t="str">
        <f>IFERROR(__xludf.DUMMYFUNCTION("GOOGLETRANSLATE(B743,""zh_cn"",""vi"")"),"Văn phòng 1")</f>
        <v>Văn phòng 1</v>
      </c>
      <c r="G743" s="12"/>
      <c r="H743" s="6"/>
      <c r="I743" s="11" t="b">
        <f t="shared" si="2"/>
        <v>0</v>
      </c>
      <c r="J743" s="24"/>
      <c r="K743" s="11" t="b">
        <f t="shared" si="3"/>
        <v>0</v>
      </c>
    </row>
    <row r="744" ht="22.5" customHeight="1">
      <c r="A744" s="12">
        <f t="shared" si="4"/>
        <v>4342</v>
      </c>
      <c r="B744" s="6" t="s">
        <v>12736</v>
      </c>
      <c r="C744" s="7" t="str">
        <f t="shared" si="6"/>
        <v>🔊</v>
      </c>
      <c r="D744" s="8" t="s">
        <v>12735</v>
      </c>
      <c r="E744" s="6" t="s">
        <v>27</v>
      </c>
      <c r="F744" s="12" t="str">
        <f>IFERROR(__xludf.DUMMYFUNCTION("GOOGLETRANSLATE(B744,""zh_cn"",""vi"")"),"Trận đấu thứ 2")</f>
        <v>Trận đấu thứ 2</v>
      </c>
      <c r="G744" s="12"/>
      <c r="H744" s="6"/>
      <c r="I744" s="11" t="b">
        <f t="shared" si="2"/>
        <v>0</v>
      </c>
      <c r="J744" s="24"/>
      <c r="K744" s="11" t="b">
        <f t="shared" si="3"/>
        <v>0</v>
      </c>
    </row>
    <row r="745" ht="22.5" customHeight="1">
      <c r="A745" s="12">
        <f t="shared" si="4"/>
        <v>4343</v>
      </c>
      <c r="B745" s="6" t="s">
        <v>12737</v>
      </c>
      <c r="C745" s="7" t="str">
        <f t="shared" si="6"/>
        <v>🔊</v>
      </c>
      <c r="D745" s="8" t="s">
        <v>12738</v>
      </c>
      <c r="E745" s="6" t="s">
        <v>9278</v>
      </c>
      <c r="F745" s="12" t="str">
        <f>IFERROR(__xludf.DUMMYFUNCTION("GOOGLETRANSLATE(B745,""zh_cn"",""vi"")"),"cuộn")</f>
        <v>cuộn</v>
      </c>
      <c r="G745" s="12"/>
      <c r="H745" s="6"/>
      <c r="I745" s="11" t="b">
        <f t="shared" si="2"/>
        <v>0</v>
      </c>
      <c r="J745" s="24"/>
      <c r="K745" s="11" t="b">
        <f t="shared" si="3"/>
        <v>0</v>
      </c>
    </row>
    <row r="746" ht="22.5" customHeight="1">
      <c r="A746" s="12">
        <f t="shared" si="4"/>
        <v>4344</v>
      </c>
      <c r="B746" s="6" t="s">
        <v>12737</v>
      </c>
      <c r="C746" s="7" t="str">
        <f t="shared" si="6"/>
        <v>🔊</v>
      </c>
      <c r="D746" s="8" t="s">
        <v>12739</v>
      </c>
      <c r="E746" s="6" t="s">
        <v>1046</v>
      </c>
      <c r="F746" s="12" t="str">
        <f>IFERROR(__xludf.DUMMYFUNCTION("GOOGLETRANSLATE(B746,""zh_cn"",""vi"")"),"cuộn")</f>
        <v>cuộn</v>
      </c>
      <c r="G746" s="12"/>
      <c r="H746" s="6"/>
      <c r="I746" s="11" t="b">
        <f t="shared" si="2"/>
        <v>0</v>
      </c>
      <c r="J746" s="24"/>
      <c r="K746" s="11" t="b">
        <f t="shared" si="3"/>
        <v>0</v>
      </c>
    </row>
    <row r="747" ht="22.5" customHeight="1">
      <c r="A747" s="12">
        <f t="shared" si="4"/>
        <v>4345</v>
      </c>
      <c r="B747" s="6" t="s">
        <v>12740</v>
      </c>
      <c r="C747" s="7" t="str">
        <f t="shared" si="6"/>
        <v>🔊</v>
      </c>
      <c r="D747" s="8" t="s">
        <v>12741</v>
      </c>
      <c r="E747" s="6" t="s">
        <v>232</v>
      </c>
      <c r="F747" s="12" t="str">
        <f>IFERROR(__xludf.DUMMYFUNCTION("GOOGLETRANSLATE(B747,""zh_cn"",""vi"")"),"quyên góp")</f>
        <v>quyên góp</v>
      </c>
      <c r="G747" s="12"/>
      <c r="H747" s="6"/>
      <c r="I747" s="11" t="b">
        <f t="shared" si="2"/>
        <v>0</v>
      </c>
      <c r="J747" s="24"/>
      <c r="K747" s="11" t="b">
        <f t="shared" si="3"/>
        <v>0</v>
      </c>
    </row>
    <row r="748" ht="22.5" customHeight="1">
      <c r="A748" s="12">
        <f t="shared" si="4"/>
        <v>4346</v>
      </c>
      <c r="B748" s="6" t="s">
        <v>12742</v>
      </c>
      <c r="C748" s="7" t="str">
        <f t="shared" si="6"/>
        <v>🔊</v>
      </c>
      <c r="D748" s="8" t="s">
        <v>12743</v>
      </c>
      <c r="E748" s="6" t="s">
        <v>13</v>
      </c>
      <c r="F748" s="12" t="str">
        <f>IFERROR(__xludf.DUMMYFUNCTION("GOOGLETRANSLATE(B748,""zh_cn"",""vi"")"),"quyên góp")</f>
        <v>quyên góp</v>
      </c>
      <c r="G748" s="12"/>
      <c r="H748" s="6"/>
      <c r="I748" s="11" t="b">
        <f t="shared" si="2"/>
        <v>0</v>
      </c>
      <c r="J748" s="24"/>
      <c r="K748" s="11" t="b">
        <f t="shared" si="3"/>
        <v>0</v>
      </c>
    </row>
    <row r="749" ht="22.5" customHeight="1">
      <c r="A749" s="12">
        <f t="shared" si="4"/>
        <v>4347</v>
      </c>
      <c r="B749" s="6" t="s">
        <v>12744</v>
      </c>
      <c r="C749" s="7" t="str">
        <f t="shared" si="6"/>
        <v>🔊</v>
      </c>
      <c r="D749" s="8" t="s">
        <v>12745</v>
      </c>
      <c r="E749" s="6" t="s">
        <v>27</v>
      </c>
      <c r="F749" s="12" t="str">
        <f>IFERROR(__xludf.DUMMYFUNCTION("GOOGLETRANSLATE(B749,""zh_cn"",""vi"")"),"kịch bản")</f>
        <v>kịch bản</v>
      </c>
      <c r="G749" s="12"/>
      <c r="H749" s="6"/>
      <c r="I749" s="11" t="b">
        <f t="shared" si="2"/>
        <v>0</v>
      </c>
      <c r="J749" s="24"/>
      <c r="K749" s="11" t="b">
        <f t="shared" si="3"/>
        <v>0</v>
      </c>
    </row>
    <row r="750" ht="22.5" customHeight="1">
      <c r="A750" s="12">
        <f t="shared" si="4"/>
        <v>4348</v>
      </c>
      <c r="B750" s="6" t="s">
        <v>12746</v>
      </c>
      <c r="C750" s="7" t="str">
        <f t="shared" si="6"/>
        <v>🔊</v>
      </c>
      <c r="D750" s="8" t="s">
        <v>12747</v>
      </c>
      <c r="E750" s="6" t="s">
        <v>27</v>
      </c>
      <c r="F750" s="12" t="str">
        <f>IFERROR(__xludf.DUMMYFUNCTION("GOOGLETRANSLATE(B750,""zh_cn"",""vi"")"),"di chuyển")</f>
        <v>di chuyển</v>
      </c>
      <c r="G750" s="12"/>
      <c r="H750" s="6"/>
      <c r="I750" s="11" t="b">
        <f t="shared" si="2"/>
        <v>0</v>
      </c>
      <c r="J750" s="24"/>
      <c r="K750" s="11" t="b">
        <f t="shared" si="3"/>
        <v>0</v>
      </c>
    </row>
    <row r="751" ht="22.5" customHeight="1">
      <c r="A751" s="12">
        <f t="shared" si="4"/>
        <v>4349</v>
      </c>
      <c r="B751" s="6" t="s">
        <v>12748</v>
      </c>
      <c r="C751" s="7" t="str">
        <f t="shared" si="6"/>
        <v>🔊</v>
      </c>
      <c r="D751" s="8" t="s">
        <v>12749</v>
      </c>
      <c r="E751" s="6" t="s">
        <v>232</v>
      </c>
      <c r="F751" s="12" t="str">
        <f>IFERROR(__xludf.DUMMYFUNCTION("GOOGLETRANSLATE(B751,""zh_cn"",""vi"")"),"ra quyết định")</f>
        <v>ra quyết định</v>
      </c>
      <c r="G751" s="12"/>
      <c r="H751" s="6"/>
      <c r="I751" s="11" t="b">
        <f t="shared" si="2"/>
        <v>0</v>
      </c>
      <c r="J751" s="24"/>
      <c r="K751" s="11" t="b">
        <f t="shared" si="3"/>
        <v>0</v>
      </c>
    </row>
    <row r="752" ht="22.5" customHeight="1">
      <c r="A752" s="12">
        <f t="shared" si="4"/>
        <v>4350</v>
      </c>
      <c r="B752" s="6" t="s">
        <v>12750</v>
      </c>
      <c r="C752" s="7" t="str">
        <f t="shared" si="6"/>
        <v>🔊</v>
      </c>
      <c r="D752" s="8" t="s">
        <v>12751</v>
      </c>
      <c r="E752" s="6" t="s">
        <v>13</v>
      </c>
      <c r="F752" s="12" t="str">
        <f>IFERROR(__xludf.DUMMYFUNCTION("GOOGLETRANSLATE(B752,""zh_cn"",""vi"")"),"tuyệt vọng")</f>
        <v>tuyệt vọng</v>
      </c>
      <c r="G752" s="12"/>
      <c r="H752" s="6"/>
      <c r="I752" s="11" t="b">
        <f t="shared" si="2"/>
        <v>0</v>
      </c>
      <c r="J752" s="24"/>
      <c r="K752" s="11" t="b">
        <f t="shared" si="3"/>
        <v>0</v>
      </c>
    </row>
    <row r="753" ht="22.5" customHeight="1">
      <c r="A753" s="12">
        <f t="shared" si="4"/>
        <v>4351</v>
      </c>
      <c r="B753" s="6" t="s">
        <v>12752</v>
      </c>
      <c r="C753" s="7" t="str">
        <f t="shared" si="6"/>
        <v>🔊</v>
      </c>
      <c r="D753" s="8" t="s">
        <v>12753</v>
      </c>
      <c r="E753" s="6" t="s">
        <v>27</v>
      </c>
      <c r="F753" s="12" t="str">
        <f>IFERROR(__xludf.DUMMYFUNCTION("GOOGLETRANSLATE(B753,""zh_cn"",""vi"")"),"hoa cúc")</f>
        <v>hoa cúc</v>
      </c>
      <c r="G753" s="12"/>
      <c r="H753" s="6"/>
      <c r="I753" s="11" t="b">
        <f t="shared" si="2"/>
        <v>0</v>
      </c>
      <c r="J753" s="24"/>
      <c r="K753" s="11" t="b">
        <f t="shared" si="3"/>
        <v>0</v>
      </c>
    </row>
    <row r="754" ht="22.5" customHeight="1">
      <c r="A754" s="12">
        <f t="shared" si="4"/>
        <v>4352</v>
      </c>
      <c r="B754" s="6" t="s">
        <v>12754</v>
      </c>
      <c r="C754" s="7" t="str">
        <f t="shared" si="6"/>
        <v>🔊</v>
      </c>
      <c r="D754" s="8" t="s">
        <v>12755</v>
      </c>
      <c r="E754" s="6" t="s">
        <v>13</v>
      </c>
      <c r="F754" s="12" t="str">
        <f>IFERROR(__xludf.DUMMYFUNCTION("GOOGLETRANSLATE(B754,""zh_cn"",""vi"")"),"Tập hợp")</f>
        <v>Tập hợp</v>
      </c>
      <c r="G754" s="12"/>
      <c r="H754" s="6"/>
      <c r="I754" s="11" t="b">
        <f t="shared" si="2"/>
        <v>0</v>
      </c>
      <c r="J754" s="24"/>
      <c r="K754" s="11" t="b">
        <f t="shared" si="3"/>
        <v>0</v>
      </c>
    </row>
    <row r="755" ht="22.5" customHeight="1">
      <c r="A755" s="12">
        <f t="shared" si="4"/>
        <v>4353</v>
      </c>
      <c r="B755" s="6" t="s">
        <v>12756</v>
      </c>
      <c r="C755" s="7" t="str">
        <f t="shared" si="6"/>
        <v>🔊</v>
      </c>
      <c r="D755" s="8" t="s">
        <v>12757</v>
      </c>
      <c r="E755" s="6" t="s">
        <v>27</v>
      </c>
      <c r="F755" s="12" t="str">
        <f>IFERROR(__xludf.DUMMYFUNCTION("GOOGLETRANSLATE(B755,""zh_cn"",""vi"")"),"câu lạc bộ")</f>
        <v>câu lạc bộ</v>
      </c>
      <c r="G755" s="12"/>
      <c r="H755" s="6"/>
      <c r="I755" s="11" t="b">
        <f t="shared" si="2"/>
        <v>0</v>
      </c>
      <c r="J755" s="24"/>
      <c r="K755" s="11" t="b">
        <f t="shared" si="3"/>
        <v>0</v>
      </c>
    </row>
    <row r="756" ht="22.5" customHeight="1">
      <c r="A756" s="12">
        <f t="shared" si="4"/>
        <v>4354</v>
      </c>
      <c r="B756" s="6" t="s">
        <v>12758</v>
      </c>
      <c r="C756" s="7" t="str">
        <f t="shared" si="6"/>
        <v>🔊</v>
      </c>
      <c r="D756" s="8" t="s">
        <v>12759</v>
      </c>
      <c r="E756" s="6" t="s">
        <v>99</v>
      </c>
      <c r="F756" s="12" t="str">
        <f>IFERROR(__xludf.DUMMYFUNCTION("GOOGLETRANSLATE(B756,""zh_cn"",""vi"")"),"nghiêm trọng")</f>
        <v>nghiêm trọng</v>
      </c>
      <c r="G756" s="12"/>
      <c r="H756" s="6"/>
      <c r="I756" s="11" t="b">
        <f t="shared" si="2"/>
        <v>0</v>
      </c>
      <c r="J756" s="24"/>
      <c r="K756" s="11" t="b">
        <f t="shared" si="3"/>
        <v>0</v>
      </c>
    </row>
    <row r="757" ht="22.5" customHeight="1">
      <c r="A757" s="12">
        <f t="shared" si="4"/>
        <v>4355</v>
      </c>
      <c r="B757" s="6" t="s">
        <v>12760</v>
      </c>
      <c r="C757" s="7" t="str">
        <f t="shared" si="6"/>
        <v>🔊</v>
      </c>
      <c r="D757" s="8" t="s">
        <v>12761</v>
      </c>
      <c r="E757" s="6" t="s">
        <v>27</v>
      </c>
      <c r="F757" s="12" t="str">
        <f>IFERROR(__xludf.DUMMYFUNCTION("GOOGLETRANSLATE(B757,""zh_cn"",""vi"")"),"tình huống")</f>
        <v>tình huống</v>
      </c>
      <c r="G757" s="12"/>
      <c r="H757" s="6"/>
      <c r="I757" s="11" t="b">
        <f t="shared" si="2"/>
        <v>0</v>
      </c>
      <c r="J757" s="24"/>
      <c r="K757" s="11" t="b">
        <f t="shared" si="3"/>
        <v>0</v>
      </c>
    </row>
    <row r="758" ht="22.5" customHeight="1">
      <c r="A758" s="12">
        <f t="shared" si="4"/>
        <v>4356</v>
      </c>
      <c r="B758" s="6" t="s">
        <v>12762</v>
      </c>
      <c r="C758" s="7" t="str">
        <f t="shared" si="6"/>
        <v>🔊</v>
      </c>
      <c r="D758" s="8" t="s">
        <v>12763</v>
      </c>
      <c r="E758" s="6" t="s">
        <v>27</v>
      </c>
      <c r="F758" s="12" t="str">
        <f>IFERROR(__xludf.DUMMYFUNCTION("GOOGLETRANSLATE(B758,""zh_cn"",""vi"")"),"quân đội")</f>
        <v>quân đội</v>
      </c>
      <c r="G758" s="12"/>
      <c r="H758" s="6"/>
      <c r="I758" s="11" t="b">
        <f t="shared" si="2"/>
        <v>0</v>
      </c>
      <c r="J758" s="24"/>
      <c r="K758" s="11" t="b">
        <f t="shared" si="3"/>
        <v>0</v>
      </c>
    </row>
    <row r="759" ht="22.5" customHeight="1">
      <c r="A759" s="12">
        <f t="shared" si="4"/>
        <v>4357</v>
      </c>
      <c r="B759" s="6" t="s">
        <v>12764</v>
      </c>
      <c r="C759" s="7" t="str">
        <f t="shared" si="6"/>
        <v>🔊</v>
      </c>
      <c r="D759" s="8" t="s">
        <v>12765</v>
      </c>
      <c r="E759" s="6" t="s">
        <v>27</v>
      </c>
      <c r="F759" s="12" t="str">
        <f>IFERROR(__xludf.DUMMYFUNCTION("GOOGLETRANSLATE(B759,""zh_cn"",""vi"")"),"lính")</f>
        <v>lính</v>
      </c>
      <c r="G759" s="12"/>
      <c r="H759" s="6"/>
      <c r="I759" s="11" t="b">
        <f t="shared" si="2"/>
        <v>0</v>
      </c>
      <c r="J759" s="24"/>
      <c r="K759" s="11" t="b">
        <f t="shared" si="3"/>
        <v>0</v>
      </c>
    </row>
    <row r="760" ht="22.5" customHeight="1">
      <c r="A760" s="12">
        <f t="shared" si="4"/>
        <v>4358</v>
      </c>
      <c r="B760" s="6" t="s">
        <v>12766</v>
      </c>
      <c r="C760" s="7" t="str">
        <f t="shared" si="6"/>
        <v>🔊</v>
      </c>
      <c r="D760" s="8" t="s">
        <v>12767</v>
      </c>
      <c r="E760" s="6" t="s">
        <v>99</v>
      </c>
      <c r="F760" s="12" t="str">
        <f>IFERROR(__xludf.DUMMYFUNCTION("GOOGLETRANSLATE(B760,""zh_cn"",""vi"")"),"đồng phục")</f>
        <v>đồng phục</v>
      </c>
      <c r="G760" s="12"/>
      <c r="H760" s="6"/>
      <c r="I760" s="11" t="b">
        <f t="shared" si="2"/>
        <v>0</v>
      </c>
      <c r="J760" s="24"/>
      <c r="K760" s="11" t="b">
        <f t="shared" si="3"/>
        <v>0</v>
      </c>
    </row>
    <row r="761" ht="22.5" customHeight="1">
      <c r="A761" s="12">
        <f t="shared" si="4"/>
        <v>4359</v>
      </c>
      <c r="B761" s="6" t="s">
        <v>12768</v>
      </c>
      <c r="C761" s="7" t="str">
        <f t="shared" si="6"/>
        <v>🔊</v>
      </c>
      <c r="D761" s="8" t="s">
        <v>12769</v>
      </c>
      <c r="E761" s="6" t="s">
        <v>13</v>
      </c>
      <c r="F761" s="12" t="str">
        <f>IFERROR(__xludf.DUMMYFUNCTION("GOOGLETRANSLATE(B761,""zh_cn"",""vi"")"),"Hạn chế")</f>
        <v>Hạn chế</v>
      </c>
      <c r="G761" s="12"/>
      <c r="H761" s="6"/>
      <c r="I761" s="11" t="b">
        <f t="shared" si="2"/>
        <v>0</v>
      </c>
      <c r="J761" s="24"/>
      <c r="K761" s="11" t="b">
        <f t="shared" si="3"/>
        <v>0</v>
      </c>
    </row>
    <row r="762" ht="22.5" customHeight="1">
      <c r="A762" s="12">
        <f t="shared" si="4"/>
        <v>4360</v>
      </c>
      <c r="B762" s="6" t="s">
        <v>12770</v>
      </c>
      <c r="C762" s="7" t="str">
        <f t="shared" si="6"/>
        <v>🔊</v>
      </c>
      <c r="D762" s="8" t="s">
        <v>12771</v>
      </c>
      <c r="E762" s="6" t="s">
        <v>13</v>
      </c>
      <c r="F762" s="12" t="str">
        <f>IFERROR(__xludf.DUMMYFUNCTION("GOOGLETRANSLATE(B762,""zh_cn"",""vi"")"),"người tiên phong")</f>
        <v>người tiên phong</v>
      </c>
      <c r="G762" s="12"/>
      <c r="H762" s="6"/>
      <c r="I762" s="11" t="b">
        <f t="shared" si="2"/>
        <v>0</v>
      </c>
      <c r="J762" s="24"/>
      <c r="K762" s="11" t="b">
        <f t="shared" si="3"/>
        <v>0</v>
      </c>
    </row>
    <row r="763" ht="22.5" customHeight="1">
      <c r="A763" s="12">
        <f t="shared" si="4"/>
        <v>4361</v>
      </c>
      <c r="B763" s="6" t="s">
        <v>12772</v>
      </c>
      <c r="C763" s="7" t="str">
        <f t="shared" si="6"/>
        <v>🔊</v>
      </c>
      <c r="D763" s="8" t="s">
        <v>12773</v>
      </c>
      <c r="E763" s="6" t="s">
        <v>27</v>
      </c>
      <c r="F763" s="12" t="str">
        <f>IFERROR(__xludf.DUMMYFUNCTION("GOOGLETRANSLATE(B763,""zh_cn"",""vi"")"),"công tắc")</f>
        <v>công tắc</v>
      </c>
      <c r="G763" s="12"/>
      <c r="H763" s="6"/>
      <c r="I763" s="11" t="b">
        <f t="shared" si="2"/>
        <v>0</v>
      </c>
      <c r="J763" s="24"/>
      <c r="K763" s="11" t="b">
        <f t="shared" si="3"/>
        <v>0</v>
      </c>
    </row>
    <row r="764" ht="22.5" customHeight="1">
      <c r="A764" s="12">
        <f t="shared" si="4"/>
        <v>4362</v>
      </c>
      <c r="B764" s="6" t="s">
        <v>12774</v>
      </c>
      <c r="C764" s="7" t="str">
        <f t="shared" si="6"/>
        <v>🔊</v>
      </c>
      <c r="D764" s="8" t="s">
        <v>12775</v>
      </c>
      <c r="E764" s="6" t="s">
        <v>13</v>
      </c>
      <c r="F764" s="12" t="str">
        <f>IFERROR(__xludf.DUMMYFUNCTION("GOOGLETRANSLATE(B764,""zh_cn"",""vi"")"),"Mở")</f>
        <v>Mở</v>
      </c>
      <c r="G764" s="12"/>
      <c r="H764" s="6"/>
      <c r="I764" s="11" t="b">
        <f t="shared" si="2"/>
        <v>0</v>
      </c>
      <c r="J764" s="24"/>
      <c r="K764" s="11" t="b">
        <f t="shared" si="3"/>
        <v>0</v>
      </c>
    </row>
    <row r="765" ht="22.5" customHeight="1">
      <c r="A765" s="12">
        <f t="shared" si="4"/>
        <v>4363</v>
      </c>
      <c r="B765" s="6" t="s">
        <v>12776</v>
      </c>
      <c r="C765" s="7" t="str">
        <f t="shared" si="6"/>
        <v>🔊</v>
      </c>
      <c r="D765" s="8" t="s">
        <v>12777</v>
      </c>
      <c r="E765" s="6" t="s">
        <v>13</v>
      </c>
      <c r="F765" s="12" t="str">
        <f>IFERROR(__xludf.DUMMYFUNCTION("GOOGLETRANSLATE(B765,""zh_cn"",""vi"")"),"mở")</f>
        <v>mở</v>
      </c>
      <c r="G765" s="12"/>
      <c r="H765" s="6"/>
      <c r="I765" s="11" t="b">
        <f t="shared" si="2"/>
        <v>0</v>
      </c>
      <c r="J765" s="24"/>
      <c r="K765" s="11" t="b">
        <f t="shared" si="3"/>
        <v>0</v>
      </c>
    </row>
    <row r="766" ht="22.5" customHeight="1">
      <c r="A766" s="12">
        <f t="shared" si="4"/>
        <v>4364</v>
      </c>
      <c r="B766" s="6" t="s">
        <v>12778</v>
      </c>
      <c r="C766" s="7" t="str">
        <f t="shared" si="6"/>
        <v>🔊</v>
      </c>
      <c r="D766" s="8" t="s">
        <v>12779</v>
      </c>
      <c r="E766" s="6" t="s">
        <v>232</v>
      </c>
      <c r="F766" s="12" t="str">
        <f>IFERROR(__xludf.DUMMYFUNCTION("GOOGLETRANSLATE(B766,""zh_cn"",""vi"")"),"bắt đầu")</f>
        <v>bắt đầu</v>
      </c>
      <c r="G766" s="12"/>
      <c r="H766" s="6"/>
      <c r="I766" s="11" t="b">
        <f t="shared" si="2"/>
        <v>0</v>
      </c>
      <c r="J766" s="24"/>
      <c r="K766" s="11" t="b">
        <f t="shared" si="3"/>
        <v>0</v>
      </c>
    </row>
    <row r="767" ht="22.5" customHeight="1">
      <c r="A767" s="12">
        <f t="shared" si="4"/>
        <v>4365</v>
      </c>
      <c r="B767" s="6" t="s">
        <v>12780</v>
      </c>
      <c r="C767" s="7" t="str">
        <f t="shared" si="6"/>
        <v>🔊</v>
      </c>
      <c r="D767" s="8" t="s">
        <v>12781</v>
      </c>
      <c r="E767" s="6" t="s">
        <v>13</v>
      </c>
      <c r="F767" s="12" t="str">
        <f>IFERROR(__xludf.DUMMYFUNCTION("GOOGLETRANSLATE(B767,""zh_cn"",""vi"")"),"cắt")</f>
        <v>cắt</v>
      </c>
      <c r="G767" s="12"/>
      <c r="H767" s="6"/>
      <c r="I767" s="11" t="b">
        <f t="shared" si="2"/>
        <v>0</v>
      </c>
      <c r="J767" s="24"/>
      <c r="K767" s="11" t="b">
        <f t="shared" si="3"/>
        <v>0</v>
      </c>
    </row>
    <row r="768" ht="22.5" customHeight="1">
      <c r="A768" s="12">
        <f t="shared" si="4"/>
        <v>4366</v>
      </c>
      <c r="B768" s="6" t="s">
        <v>12782</v>
      </c>
      <c r="C768" s="7" t="str">
        <f t="shared" si="6"/>
        <v>🔊</v>
      </c>
      <c r="D768" s="8" t="s">
        <v>12783</v>
      </c>
      <c r="E768" s="6" t="s">
        <v>13</v>
      </c>
      <c r="F768" s="12" t="str">
        <f>IFERROR(__xludf.DUMMYFUNCTION("GOOGLETRANSLATE(B768,""zh_cn"",""vi"")"),"khinh miệt")</f>
        <v>khinh miệt</v>
      </c>
      <c r="G768" s="12"/>
      <c r="H768" s="6"/>
      <c r="I768" s="11" t="b">
        <f t="shared" si="2"/>
        <v>0</v>
      </c>
      <c r="J768" s="24"/>
      <c r="K768" s="11" t="b">
        <f t="shared" si="3"/>
        <v>0</v>
      </c>
    </row>
    <row r="769" ht="22.5" customHeight="1">
      <c r="A769" s="12">
        <f t="shared" si="4"/>
        <v>4367</v>
      </c>
      <c r="B769" s="6" t="s">
        <v>12784</v>
      </c>
      <c r="C769" s="7" t="str">
        <f t="shared" si="6"/>
        <v>🔊</v>
      </c>
      <c r="D769" s="8" t="s">
        <v>12785</v>
      </c>
      <c r="E769" s="6" t="s">
        <v>13</v>
      </c>
      <c r="F769" s="12" t="str">
        <f>IFERROR(__xludf.DUMMYFUNCTION("GOOGLETRANSLATE(B769,""zh_cn"",""vi"")"),"Xem")</f>
        <v>Xem</v>
      </c>
      <c r="G769" s="12"/>
      <c r="H769" s="6"/>
      <c r="I769" s="11" t="b">
        <f t="shared" si="2"/>
        <v>0</v>
      </c>
      <c r="J769" s="24"/>
      <c r="K769" s="11" t="b">
        <f t="shared" si="3"/>
        <v>0</v>
      </c>
    </row>
    <row r="770" ht="22.5" customHeight="1">
      <c r="A770" s="12">
        <f t="shared" si="4"/>
        <v>4368</v>
      </c>
      <c r="B770" s="6" t="s">
        <v>12786</v>
      </c>
      <c r="C770" s="7" t="str">
        <f t="shared" si="6"/>
        <v>🔊</v>
      </c>
      <c r="D770" s="8" t="s">
        <v>12787</v>
      </c>
      <c r="E770" s="6" t="s">
        <v>13</v>
      </c>
      <c r="F770" s="12" t="str">
        <f>IFERROR(__xludf.DUMMYFUNCTION("GOOGLETRANSLATE(B770,""zh_cn"",""vi"")"),"Tra cứu")</f>
        <v>Tra cứu</v>
      </c>
      <c r="G770" s="12"/>
      <c r="H770" s="6"/>
      <c r="I770" s="11" t="b">
        <f t="shared" si="2"/>
        <v>0</v>
      </c>
      <c r="J770" s="24"/>
      <c r="K770" s="11" t="b">
        <f t="shared" si="3"/>
        <v>0</v>
      </c>
    </row>
    <row r="771" ht="22.5" customHeight="1">
      <c r="A771" s="12">
        <f t="shared" si="4"/>
        <v>4369</v>
      </c>
      <c r="B771" s="6" t="s">
        <v>12788</v>
      </c>
      <c r="C771" s="7" t="str">
        <f t="shared" si="6"/>
        <v>🔊</v>
      </c>
      <c r="D771" s="8" t="s">
        <v>12789</v>
      </c>
      <c r="E771" s="6" t="s">
        <v>13</v>
      </c>
      <c r="F771" s="12" t="str">
        <f>IFERROR(__xludf.DUMMYFUNCTION("GOOGLETRANSLATE(B771,""zh_cn"",""vi"")"),"Phục hồi chức năng")</f>
        <v>Phục hồi chức năng</v>
      </c>
      <c r="G771" s="12"/>
      <c r="H771" s="6"/>
      <c r="I771" s="11" t="b">
        <f t="shared" si="2"/>
        <v>0</v>
      </c>
      <c r="J771" s="24"/>
      <c r="K771" s="11" t="b">
        <f t="shared" si="3"/>
        <v>0</v>
      </c>
    </row>
    <row r="772" ht="22.5" customHeight="1">
      <c r="A772" s="12">
        <f t="shared" si="4"/>
        <v>4370</v>
      </c>
      <c r="B772" s="6" t="s">
        <v>12790</v>
      </c>
      <c r="C772" s="7" t="str">
        <f t="shared" si="6"/>
        <v>🔊</v>
      </c>
      <c r="D772" s="8" t="s">
        <v>12791</v>
      </c>
      <c r="E772" s="6" t="s">
        <v>13</v>
      </c>
      <c r="F772" s="12" t="str">
        <f>IFERROR(__xludf.DUMMYFUNCTION("GOOGLETRANSLATE(B772,""zh_cn"",""vi"")"),"Lạc quan")</f>
        <v>Lạc quan</v>
      </c>
      <c r="G772" s="12"/>
      <c r="H772" s="6"/>
      <c r="I772" s="11" t="b">
        <f t="shared" si="2"/>
        <v>0</v>
      </c>
      <c r="J772" s="24"/>
      <c r="K772" s="11" t="b">
        <f t="shared" si="3"/>
        <v>0</v>
      </c>
    </row>
    <row r="773" ht="22.5" customHeight="1">
      <c r="A773" s="12">
        <f t="shared" si="4"/>
        <v>4371</v>
      </c>
      <c r="B773" s="6" t="s">
        <v>12792</v>
      </c>
      <c r="C773" s="7" t="str">
        <f t="shared" si="6"/>
        <v>🔊</v>
      </c>
      <c r="D773" s="8" t="s">
        <v>12793</v>
      </c>
      <c r="E773" s="6" t="s">
        <v>13</v>
      </c>
      <c r="F773" s="12" t="str">
        <f>IFERROR(__xludf.DUMMYFUNCTION("GOOGLETRANSLATE(B773,""zh_cn"",""vi"")"),"Có vẻ như vậy")</f>
        <v>Có vẻ như vậy</v>
      </c>
      <c r="G773" s="12"/>
      <c r="H773" s="6"/>
      <c r="I773" s="11" t="b">
        <f t="shared" si="2"/>
        <v>0</v>
      </c>
      <c r="J773" s="24"/>
      <c r="K773" s="11" t="b">
        <f t="shared" si="3"/>
        <v>0</v>
      </c>
    </row>
    <row r="774" ht="22.5" customHeight="1">
      <c r="A774" s="12">
        <f t="shared" si="4"/>
        <v>4372</v>
      </c>
      <c r="B774" s="6" t="s">
        <v>12794</v>
      </c>
      <c r="C774" s="7" t="str">
        <f t="shared" si="6"/>
        <v>🔊</v>
      </c>
      <c r="D774" s="8" t="s">
        <v>12795</v>
      </c>
      <c r="E774" s="6" t="s">
        <v>13</v>
      </c>
      <c r="F774" s="12" t="str">
        <f>IFERROR(__xludf.DUMMYFUNCTION("GOOGLETRANSLATE(B774,""zh_cn"",""vi"")"),"Thích")</f>
        <v>Thích</v>
      </c>
      <c r="G774" s="12"/>
      <c r="H774" s="6"/>
      <c r="I774" s="11" t="b">
        <f t="shared" si="2"/>
        <v>0</v>
      </c>
      <c r="J774" s="24"/>
      <c r="K774" s="11" t="b">
        <f t="shared" si="3"/>
        <v>0</v>
      </c>
    </row>
    <row r="775" ht="22.5" customHeight="1">
      <c r="A775" s="12">
        <f t="shared" si="4"/>
        <v>4373</v>
      </c>
      <c r="B775" s="6" t="s">
        <v>12796</v>
      </c>
      <c r="C775" s="7" t="str">
        <f t="shared" si="6"/>
        <v>🔊</v>
      </c>
      <c r="D775" s="8" t="s">
        <v>12795</v>
      </c>
      <c r="E775" s="6" t="s">
        <v>13</v>
      </c>
      <c r="F775" s="12" t="str">
        <f>IFERROR(__xludf.DUMMYFUNCTION("GOOGLETRANSLATE(B775,""zh_cn"",""vi"")"),"giá trị")</f>
        <v>giá trị</v>
      </c>
      <c r="G775" s="12"/>
      <c r="H775" s="6"/>
      <c r="I775" s="11" t="b">
        <f t="shared" si="2"/>
        <v>0</v>
      </c>
      <c r="J775" s="24"/>
      <c r="K775" s="11" t="b">
        <f t="shared" si="3"/>
        <v>0</v>
      </c>
    </row>
    <row r="776" ht="22.5" customHeight="1">
      <c r="A776" s="12">
        <f t="shared" si="4"/>
        <v>4374</v>
      </c>
      <c r="B776" s="6" t="s">
        <v>12797</v>
      </c>
      <c r="C776" s="7" t="str">
        <f t="shared" si="6"/>
        <v>🔊</v>
      </c>
      <c r="D776" s="8" t="s">
        <v>12798</v>
      </c>
      <c r="E776" s="6" t="s">
        <v>13</v>
      </c>
      <c r="F776" s="12" t="str">
        <f>IFERROR(__xludf.DUMMYFUNCTION("GOOGLETRANSLATE(B776,""zh_cn"",""vi"")"),"Cuộc điều tra")</f>
        <v>Cuộc điều tra</v>
      </c>
      <c r="G776" s="12"/>
      <c r="H776" s="6"/>
      <c r="I776" s="11" t="b">
        <f t="shared" si="2"/>
        <v>0</v>
      </c>
      <c r="J776" s="24"/>
      <c r="K776" s="11" t="b">
        <f t="shared" si="3"/>
        <v>0</v>
      </c>
    </row>
    <row r="777" ht="22.5" customHeight="1">
      <c r="A777" s="12">
        <f t="shared" si="4"/>
        <v>4375</v>
      </c>
      <c r="B777" s="6" t="s">
        <v>12799</v>
      </c>
      <c r="C777" s="7" t="str">
        <f t="shared" si="6"/>
        <v>🔊</v>
      </c>
      <c r="D777" s="8" t="s">
        <v>12800</v>
      </c>
      <c r="E777" s="6" t="s">
        <v>232</v>
      </c>
      <c r="F777" s="12" t="str">
        <f>IFERROR(__xludf.DUMMYFUNCTION("GOOGLETRANSLATE(B777,""zh_cn"",""vi"")"),"khảo cổ học")</f>
        <v>khảo cổ học</v>
      </c>
      <c r="G777" s="12"/>
      <c r="H777" s="6"/>
      <c r="I777" s="11" t="b">
        <f t="shared" si="2"/>
        <v>0</v>
      </c>
      <c r="J777" s="24"/>
      <c r="K777" s="11" t="b">
        <f t="shared" si="3"/>
        <v>0</v>
      </c>
    </row>
    <row r="778" ht="22.5" customHeight="1">
      <c r="A778" s="12">
        <f t="shared" si="4"/>
        <v>4376</v>
      </c>
      <c r="B778" s="6" t="s">
        <v>12801</v>
      </c>
      <c r="C778" s="7" t="str">
        <f t="shared" si="6"/>
        <v>🔊</v>
      </c>
      <c r="D778" s="8" t="s">
        <v>12802</v>
      </c>
      <c r="E778" s="6" t="s">
        <v>13</v>
      </c>
      <c r="F778" s="12" t="str">
        <f>IFERROR(__xludf.DUMMYFUNCTION("GOOGLETRANSLATE(B778,""zh_cn"",""vi"")"),"Đánh giá")</f>
        <v>Đánh giá</v>
      </c>
      <c r="G778" s="12"/>
      <c r="H778" s="6"/>
      <c r="I778" s="11" t="b">
        <f t="shared" si="2"/>
        <v>0</v>
      </c>
      <c r="J778" s="24"/>
      <c r="K778" s="11" t="b">
        <f t="shared" si="3"/>
        <v>0</v>
      </c>
    </row>
    <row r="779" ht="22.5" customHeight="1">
      <c r="A779" s="12">
        <f t="shared" si="4"/>
        <v>4377</v>
      </c>
      <c r="B779" s="6" t="s">
        <v>12803</v>
      </c>
      <c r="C779" s="7" t="str">
        <f t="shared" si="6"/>
        <v>🔊</v>
      </c>
      <c r="D779" s="8" t="s">
        <v>12804</v>
      </c>
      <c r="E779" s="6" t="s">
        <v>13</v>
      </c>
      <c r="F779" s="12" t="str">
        <f>IFERROR(__xludf.DUMMYFUNCTION("GOOGLETRANSLATE(B779,""zh_cn"",""vi"")"),"Bài kiểm tra")</f>
        <v>Bài kiểm tra</v>
      </c>
      <c r="G779" s="12"/>
      <c r="H779" s="6"/>
      <c r="I779" s="11" t="b">
        <f t="shared" si="2"/>
        <v>0</v>
      </c>
      <c r="J779" s="24"/>
      <c r="K779" s="11" t="b">
        <f t="shared" si="3"/>
        <v>0</v>
      </c>
    </row>
    <row r="780" ht="22.5" customHeight="1">
      <c r="A780" s="12">
        <f t="shared" si="4"/>
        <v>4378</v>
      </c>
      <c r="B780" s="6" t="s">
        <v>12805</v>
      </c>
      <c r="C780" s="7" t="str">
        <f t="shared" si="6"/>
        <v>🔊</v>
      </c>
      <c r="D780" s="8" t="s">
        <v>12806</v>
      </c>
      <c r="E780" s="6" t="s">
        <v>27</v>
      </c>
      <c r="F780" s="12" t="str">
        <f>IFERROR(__xludf.DUMMYFUNCTION("GOOGLETRANSLATE(B780,""zh_cn"",""vi"")"),"thẻ")</f>
        <v>thẻ</v>
      </c>
      <c r="G780" s="12"/>
      <c r="H780" s="6"/>
      <c r="I780" s="11" t="b">
        <f t="shared" si="2"/>
        <v>0</v>
      </c>
      <c r="J780" s="24"/>
      <c r="K780" s="11" t="b">
        <f t="shared" si="3"/>
        <v>0</v>
      </c>
    </row>
    <row r="781" ht="22.5" customHeight="1">
      <c r="A781" s="12">
        <f t="shared" si="4"/>
        <v>4379</v>
      </c>
      <c r="B781" s="6" t="s">
        <v>12807</v>
      </c>
      <c r="C781" s="7" t="str">
        <f t="shared" si="6"/>
        <v>🔊</v>
      </c>
      <c r="D781" s="8" t="s">
        <v>4724</v>
      </c>
      <c r="E781" s="6" t="s">
        <v>27</v>
      </c>
      <c r="F781" s="12" t="str">
        <f>IFERROR(__xludf.DUMMYFUNCTION("GOOGLETRANSLATE(B781,""zh_cn"",""vi"")"),"phân công")</f>
        <v>phân công</v>
      </c>
      <c r="G781" s="12"/>
      <c r="H781" s="6"/>
      <c r="I781" s="11" t="b">
        <f t="shared" si="2"/>
        <v>0</v>
      </c>
      <c r="J781" s="24"/>
      <c r="K781" s="11" t="b">
        <f t="shared" si="3"/>
        <v>0</v>
      </c>
    </row>
    <row r="782" ht="22.5" customHeight="1">
      <c r="A782" s="12">
        <f t="shared" si="4"/>
        <v>4380</v>
      </c>
      <c r="B782" s="6" t="s">
        <v>12808</v>
      </c>
      <c r="C782" s="7" t="str">
        <f t="shared" si="6"/>
        <v>🔊</v>
      </c>
      <c r="D782" s="8" t="s">
        <v>12809</v>
      </c>
      <c r="E782" s="6" t="s">
        <v>27</v>
      </c>
      <c r="F782" s="12" t="str">
        <f>IFERROR(__xludf.DUMMYFUNCTION("GOOGLETRANSLATE(B782,""zh_cn"",""vi"")"),"xe buýt")</f>
        <v>xe buýt</v>
      </c>
      <c r="G782" s="12"/>
      <c r="H782" s="6"/>
      <c r="I782" s="11" t="b">
        <f t="shared" si="2"/>
        <v>0</v>
      </c>
      <c r="J782" s="24"/>
      <c r="K782" s="11" t="b">
        <f t="shared" si="3"/>
        <v>0</v>
      </c>
    </row>
    <row r="783" ht="22.5" customHeight="1">
      <c r="A783" s="12">
        <f t="shared" si="4"/>
        <v>4381</v>
      </c>
      <c r="B783" s="6" t="s">
        <v>12810</v>
      </c>
      <c r="C783" s="7" t="str">
        <f t="shared" si="6"/>
        <v>🔊</v>
      </c>
      <c r="D783" s="8" t="s">
        <v>12811</v>
      </c>
      <c r="E783" s="6" t="s">
        <v>27</v>
      </c>
      <c r="F783" s="12" t="str">
        <f>IFERROR(__xludf.DUMMYFUNCTION("GOOGLETRANSLATE(B783,""zh_cn"",""vi"")"),"Khoa học viễn tưởng")</f>
        <v>Khoa học viễn tưởng</v>
      </c>
      <c r="G783" s="12"/>
      <c r="H783" s="6"/>
      <c r="I783" s="11" t="b">
        <f t="shared" si="2"/>
        <v>0</v>
      </c>
      <c r="J783" s="24"/>
      <c r="K783" s="11" t="b">
        <f t="shared" si="3"/>
        <v>0</v>
      </c>
    </row>
    <row r="784" ht="22.5" customHeight="1">
      <c r="A784" s="12">
        <f t="shared" si="4"/>
        <v>4382</v>
      </c>
      <c r="B784" s="6" t="s">
        <v>12812</v>
      </c>
      <c r="C784" s="7" t="str">
        <f t="shared" si="6"/>
        <v>🔊</v>
      </c>
      <c r="D784" s="8" t="s">
        <v>12813</v>
      </c>
      <c r="E784" s="6" t="s">
        <v>99</v>
      </c>
      <c r="F784" s="12" t="str">
        <f>IFERROR(__xludf.DUMMYFUNCTION("GOOGLETRANSLATE(B784,""zh_cn"",""vi"")"),"ngon")</f>
        <v>ngon</v>
      </c>
      <c r="G784" s="12"/>
      <c r="H784" s="6"/>
      <c r="I784" s="11" t="b">
        <f t="shared" si="2"/>
        <v>0</v>
      </c>
      <c r="J784" s="24"/>
      <c r="K784" s="11" t="b">
        <f t="shared" si="3"/>
        <v>0</v>
      </c>
    </row>
    <row r="785" ht="22.5" customHeight="1">
      <c r="A785" s="12">
        <f t="shared" si="4"/>
        <v>4383</v>
      </c>
      <c r="B785" s="6" t="s">
        <v>12814</v>
      </c>
      <c r="C785" s="7" t="str">
        <f t="shared" si="6"/>
        <v>🔊</v>
      </c>
      <c r="D785" s="8" t="s">
        <v>12815</v>
      </c>
      <c r="E785" s="6" t="s">
        <v>416</v>
      </c>
      <c r="F785" s="12" t="str">
        <f>IFERROR(__xludf.DUMMYFUNCTION("GOOGLETRANSLATE(B785,""zh_cn"",""vi"")"),"Thương tâm")</f>
        <v>Thương tâm</v>
      </c>
      <c r="G785" s="12"/>
      <c r="H785" s="6"/>
      <c r="I785" s="11" t="b">
        <f t="shared" si="2"/>
        <v>0</v>
      </c>
      <c r="J785" s="24"/>
      <c r="K785" s="11" t="b">
        <f t="shared" si="3"/>
        <v>0</v>
      </c>
    </row>
    <row r="786" ht="22.5" customHeight="1">
      <c r="A786" s="12">
        <f t="shared" si="4"/>
        <v>4384</v>
      </c>
      <c r="B786" s="6" t="s">
        <v>12816</v>
      </c>
      <c r="C786" s="7" t="str">
        <f t="shared" si="6"/>
        <v>🔊</v>
      </c>
      <c r="D786" s="8" t="s">
        <v>12817</v>
      </c>
      <c r="E786" s="6" t="s">
        <v>27</v>
      </c>
      <c r="F786" s="12" t="str">
        <f>IFERROR(__xludf.DUMMYFUNCTION("GOOGLETRANSLATE(B786,""zh_cn"",""vi"")"),"chủ đề")</f>
        <v>chủ đề</v>
      </c>
      <c r="G786" s="12"/>
      <c r="H786" s="6"/>
      <c r="I786" s="11" t="b">
        <f t="shared" si="2"/>
        <v>0</v>
      </c>
      <c r="J786" s="24"/>
      <c r="K786" s="11" t="b">
        <f t="shared" si="3"/>
        <v>0</v>
      </c>
    </row>
    <row r="787" ht="22.5" customHeight="1">
      <c r="A787" s="12">
        <f t="shared" si="4"/>
        <v>4385</v>
      </c>
      <c r="B787" s="6" t="s">
        <v>12818</v>
      </c>
      <c r="C787" s="7" t="str">
        <f t="shared" si="6"/>
        <v>🔊</v>
      </c>
      <c r="D787" s="8" t="s">
        <v>12819</v>
      </c>
      <c r="E787" s="6" t="s">
        <v>13</v>
      </c>
      <c r="F787" s="12" t="str">
        <f>IFERROR(__xludf.DUMMYFUNCTION("GOOGLETRANSLATE(B787,""zh_cn"",""vi"")"),"Ken")</f>
        <v>Ken</v>
      </c>
      <c r="G787" s="12"/>
      <c r="H787" s="6"/>
      <c r="I787" s="11" t="b">
        <f t="shared" si="2"/>
        <v>0</v>
      </c>
      <c r="J787" s="24"/>
      <c r="K787" s="11" t="b">
        <f t="shared" si="3"/>
        <v>0</v>
      </c>
    </row>
    <row r="788" ht="22.5" customHeight="1">
      <c r="A788" s="12">
        <f t="shared" si="4"/>
        <v>4386</v>
      </c>
      <c r="B788" s="6" t="s">
        <v>12820</v>
      </c>
      <c r="C788" s="7" t="str">
        <f t="shared" si="6"/>
        <v>🔊</v>
      </c>
      <c r="D788" s="8" t="s">
        <v>12821</v>
      </c>
      <c r="E788" s="6" t="s">
        <v>13</v>
      </c>
      <c r="F788" s="12" t="str">
        <f>IFERROR(__xludf.DUMMYFUNCTION("GOOGLETRANSLATE(B788,""zh_cn"",""vi"")"),"Khoa học phổ biến")</f>
        <v>Khoa học phổ biến</v>
      </c>
      <c r="G788" s="12"/>
      <c r="H788" s="6"/>
      <c r="I788" s="11" t="b">
        <f t="shared" si="2"/>
        <v>0</v>
      </c>
      <c r="J788" s="24"/>
      <c r="K788" s="11" t="b">
        <f t="shared" si="3"/>
        <v>0</v>
      </c>
    </row>
    <row r="789" ht="22.5" customHeight="1">
      <c r="A789" s="12">
        <f t="shared" si="4"/>
        <v>4387</v>
      </c>
      <c r="B789" s="6" t="s">
        <v>12822</v>
      </c>
      <c r="C789" s="7" t="str">
        <f t="shared" si="6"/>
        <v>🔊</v>
      </c>
      <c r="D789" s="8" t="s">
        <v>12823</v>
      </c>
      <c r="E789" s="6" t="s">
        <v>27</v>
      </c>
      <c r="F789" s="12" t="str">
        <f>IFERROR(__xludf.DUMMYFUNCTION("GOOGLETRANSLATE(B789,""zh_cn"",""vi"")"),"Chủ đề nghiên cứu")</f>
        <v>Chủ đề nghiên cứu</v>
      </c>
      <c r="G789" s="12"/>
      <c r="H789" s="6"/>
      <c r="I789" s="11" t="b">
        <f t="shared" si="2"/>
        <v>0</v>
      </c>
      <c r="J789" s="24"/>
      <c r="K789" s="11" t="b">
        <f t="shared" si="3"/>
        <v>0</v>
      </c>
    </row>
    <row r="790" ht="22.5" customHeight="1">
      <c r="A790" s="12">
        <f t="shared" si="4"/>
        <v>4388</v>
      </c>
      <c r="B790" s="6" t="s">
        <v>12824</v>
      </c>
      <c r="C790" s="7" t="str">
        <f t="shared" si="6"/>
        <v>🔊</v>
      </c>
      <c r="D790" s="8" t="s">
        <v>12825</v>
      </c>
      <c r="E790" s="6" t="s">
        <v>13</v>
      </c>
      <c r="F790" s="12" t="str">
        <f>IFERROR(__xludf.DUMMYFUNCTION("GOOGLETRANSLATE(B790,""zh_cn"",""vi"")"),"háo hức")</f>
        <v>háo hức</v>
      </c>
      <c r="G790" s="12"/>
      <c r="H790" s="6"/>
      <c r="I790" s="11" t="b">
        <f t="shared" si="2"/>
        <v>0</v>
      </c>
      <c r="J790" s="24"/>
      <c r="K790" s="11" t="b">
        <f t="shared" si="3"/>
        <v>0</v>
      </c>
    </row>
    <row r="791" ht="22.5" customHeight="1">
      <c r="A791" s="12">
        <f t="shared" si="4"/>
        <v>4389</v>
      </c>
      <c r="B791" s="6" t="s">
        <v>12826</v>
      </c>
      <c r="C791" s="7" t="str">
        <f t="shared" si="6"/>
        <v>🔊</v>
      </c>
      <c r="D791" s="8" t="s">
        <v>12827</v>
      </c>
      <c r="E791" s="6" t="s">
        <v>99</v>
      </c>
      <c r="F791" s="12" t="str">
        <f>IFERROR(__xludf.DUMMYFUNCTION("GOOGLETRANSLATE(B791,""zh_cn"",""vi"")"),"khả thi")</f>
        <v>khả thi</v>
      </c>
      <c r="G791" s="12"/>
      <c r="H791" s="6"/>
      <c r="I791" s="11" t="b">
        <f t="shared" si="2"/>
        <v>0</v>
      </c>
      <c r="J791" s="24"/>
      <c r="K791" s="11" t="b">
        <f t="shared" si="3"/>
        <v>0</v>
      </c>
    </row>
    <row r="792" ht="22.5" customHeight="1">
      <c r="A792" s="12">
        <f t="shared" si="4"/>
        <v>4390</v>
      </c>
      <c r="B792" s="6" t="s">
        <v>12828</v>
      </c>
      <c r="C792" s="7" t="str">
        <f t="shared" si="6"/>
        <v>🔊</v>
      </c>
      <c r="D792" s="8" t="s">
        <v>12829</v>
      </c>
      <c r="E792" s="6" t="s">
        <v>27</v>
      </c>
      <c r="F792" s="12" t="str">
        <f>IFERROR(__xludf.DUMMYFUNCTION("GOOGLETRANSLATE(B792,""zh_cn"",""vi"")"),"không gian")</f>
        <v>không gian</v>
      </c>
      <c r="G792" s="12"/>
      <c r="H792" s="6"/>
      <c r="I792" s="11" t="b">
        <f t="shared" si="2"/>
        <v>0</v>
      </c>
      <c r="J792" s="24"/>
      <c r="K792" s="11" t="b">
        <f t="shared" si="3"/>
        <v>0</v>
      </c>
    </row>
    <row r="793" ht="22.5" customHeight="1">
      <c r="A793" s="12">
        <f t="shared" si="4"/>
        <v>4391</v>
      </c>
      <c r="B793" s="6" t="s">
        <v>12830</v>
      </c>
      <c r="C793" s="7" t="str">
        <f t="shared" si="6"/>
        <v>🔊</v>
      </c>
      <c r="D793" s="8" t="s">
        <v>12831</v>
      </c>
      <c r="E793" s="6" t="s">
        <v>99</v>
      </c>
      <c r="F793" s="12" t="str">
        <f>IFERROR(__xludf.DUMMYFUNCTION("GOOGLETRANSLATE(B793,""zh_cn"",""vi"")"),"nỗi sợ")</f>
        <v>nỗi sợ</v>
      </c>
      <c r="G793" s="12"/>
      <c r="H793" s="6"/>
      <c r="I793" s="11" t="b">
        <f t="shared" si="2"/>
        <v>0</v>
      </c>
      <c r="J793" s="24"/>
      <c r="K793" s="11" t="b">
        <f t="shared" si="3"/>
        <v>0</v>
      </c>
    </row>
    <row r="794" ht="22.5" customHeight="1">
      <c r="A794" s="12">
        <f t="shared" si="4"/>
        <v>4392</v>
      </c>
      <c r="B794" s="6" t="s">
        <v>12832</v>
      </c>
      <c r="C794" s="7" t="str">
        <f t="shared" si="6"/>
        <v>🔊</v>
      </c>
      <c r="D794" s="8" t="s">
        <v>12833</v>
      </c>
      <c r="E794" s="6" t="s">
        <v>1164</v>
      </c>
      <c r="F794" s="12" t="str">
        <f>IFERROR(__xludf.DUMMYFUNCTION("GOOGLETRANSLATE(B794,""zh_cn"",""vi"")"),"nhàn rỗi")</f>
        <v>nhàn rỗi</v>
      </c>
      <c r="G794" s="12"/>
      <c r="H794" s="6"/>
      <c r="I794" s="11" t="b">
        <f t="shared" si="2"/>
        <v>0</v>
      </c>
      <c r="J794" s="24"/>
      <c r="K794" s="11" t="b">
        <f t="shared" si="3"/>
        <v>0</v>
      </c>
    </row>
    <row r="795" ht="22.5" customHeight="1">
      <c r="A795" s="12">
        <f t="shared" si="4"/>
        <v>4393</v>
      </c>
      <c r="B795" s="6" t="s">
        <v>12834</v>
      </c>
      <c r="C795" s="7" t="str">
        <f t="shared" si="6"/>
        <v>🔊</v>
      </c>
      <c r="D795" s="8" t="s">
        <v>12835</v>
      </c>
      <c r="E795" s="6" t="s">
        <v>232</v>
      </c>
      <c r="F795" s="12" t="str">
        <f>IFERROR(__xludf.DUMMYFUNCTION("GOOGLETRANSLATE(B795,""zh_cn"",""vi"")"),"khóa")</f>
        <v>khóa</v>
      </c>
      <c r="G795" s="12"/>
      <c r="H795" s="6"/>
      <c r="I795" s="11" t="b">
        <f t="shared" si="2"/>
        <v>0</v>
      </c>
      <c r="J795" s="24"/>
      <c r="K795" s="11" t="b">
        <f t="shared" si="3"/>
        <v>0</v>
      </c>
    </row>
    <row r="796" ht="22.5" customHeight="1">
      <c r="A796" s="12">
        <f t="shared" si="4"/>
        <v>4394</v>
      </c>
      <c r="B796" s="6" t="s">
        <v>12836</v>
      </c>
      <c r="C796" s="7" t="str">
        <f t="shared" si="6"/>
        <v>🔊</v>
      </c>
      <c r="D796" s="8" t="s">
        <v>12837</v>
      </c>
      <c r="E796" s="6" t="s">
        <v>27</v>
      </c>
      <c r="F796" s="12" t="str">
        <f>IFERROR(__xludf.DUMMYFUNCTION("GOOGLETRANSLATE(B796,""zh_cn"",""vi"")"),"nếm")</f>
        <v>nếm</v>
      </c>
      <c r="G796" s="12"/>
      <c r="H796" s="6"/>
      <c r="I796" s="11" t="b">
        <f t="shared" si="2"/>
        <v>0</v>
      </c>
      <c r="J796" s="24"/>
      <c r="K796" s="11" t="b">
        <f t="shared" si="3"/>
        <v>0</v>
      </c>
    </row>
    <row r="797" ht="22.5" customHeight="1">
      <c r="A797" s="12">
        <f t="shared" si="4"/>
        <v>4395</v>
      </c>
      <c r="B797" s="6" t="s">
        <v>12838</v>
      </c>
      <c r="C797" s="7" t="str">
        <f t="shared" si="6"/>
        <v>🔊</v>
      </c>
      <c r="D797" s="8" t="s">
        <v>12839</v>
      </c>
      <c r="E797" s="6" t="s">
        <v>27</v>
      </c>
      <c r="F797" s="12" t="str">
        <f>IFERROR(__xludf.DUMMYFUNCTION("GOOGLETRANSLATE(B797,""zh_cn"",""vi"")"),"khẩu hiệu")</f>
        <v>khẩu hiệu</v>
      </c>
      <c r="G797" s="12"/>
      <c r="H797" s="6"/>
      <c r="I797" s="11" t="b">
        <f t="shared" si="2"/>
        <v>0</v>
      </c>
      <c r="J797" s="24"/>
      <c r="K797" s="11" t="b">
        <f t="shared" si="3"/>
        <v>0</v>
      </c>
    </row>
    <row r="798" ht="22.5" customHeight="1">
      <c r="A798" s="12">
        <f t="shared" si="4"/>
        <v>4396</v>
      </c>
      <c r="B798" s="6" t="s">
        <v>12840</v>
      </c>
      <c r="C798" s="7" t="str">
        <f t="shared" si="6"/>
        <v>🔊</v>
      </c>
      <c r="D798" s="8" t="s">
        <v>12841</v>
      </c>
      <c r="E798" s="6" t="s">
        <v>27</v>
      </c>
      <c r="F798" s="12" t="str">
        <f>IFERROR(__xludf.DUMMYFUNCTION("GOOGLETRANSLATE(B798,""zh_cn"",""vi"")"),"khoang miệng")</f>
        <v>khoang miệng</v>
      </c>
      <c r="G798" s="12"/>
      <c r="H798" s="6"/>
      <c r="I798" s="11" t="b">
        <f t="shared" si="2"/>
        <v>0</v>
      </c>
      <c r="J798" s="24"/>
      <c r="K798" s="11" t="b">
        <f t="shared" si="3"/>
        <v>0</v>
      </c>
    </row>
    <row r="799" ht="22.5" customHeight="1">
      <c r="A799" s="12">
        <f t="shared" si="4"/>
        <v>4397</v>
      </c>
      <c r="B799" s="6" t="s">
        <v>12842</v>
      </c>
      <c r="C799" s="7" t="str">
        <f t="shared" si="6"/>
        <v>🔊</v>
      </c>
      <c r="D799" s="8" t="s">
        <v>12843</v>
      </c>
      <c r="E799" s="6" t="s">
        <v>3430</v>
      </c>
      <c r="F799" s="12" t="str">
        <f>IFERROR(__xludf.DUMMYFUNCTION("GOOGLETRANSLATE(B799,""zh_cn"",""vi"")"),"miệng")</f>
        <v>miệng</v>
      </c>
      <c r="G799" s="12"/>
      <c r="H799" s="6"/>
      <c r="I799" s="11" t="b">
        <f t="shared" si="2"/>
        <v>0</v>
      </c>
      <c r="J799" s="24"/>
      <c r="K799" s="11" t="b">
        <f t="shared" si="3"/>
        <v>0</v>
      </c>
    </row>
    <row r="800" ht="22.5" customHeight="1">
      <c r="A800" s="12">
        <f t="shared" si="4"/>
        <v>4398</v>
      </c>
      <c r="B800" s="6" t="s">
        <v>12844</v>
      </c>
      <c r="C800" s="7" t="str">
        <f t="shared" si="6"/>
        <v>🔊</v>
      </c>
      <c r="D800" s="8" t="s">
        <v>8605</v>
      </c>
      <c r="E800" s="6" t="s">
        <v>99</v>
      </c>
      <c r="F800" s="12" t="str">
        <f>IFERROR(__xludf.DUMMYFUNCTION("GOOGLETRANSLATE(B800,""zh_cn"",""vi"")"),"mát mẻ")</f>
        <v>mát mẻ</v>
      </c>
      <c r="G800" s="12"/>
      <c r="H800" s="6"/>
      <c r="I800" s="11" t="b">
        <f t="shared" si="2"/>
        <v>0</v>
      </c>
      <c r="J800" s="24"/>
      <c r="K800" s="11" t="b">
        <f t="shared" si="3"/>
        <v>0</v>
      </c>
    </row>
    <row r="801" ht="22.5" customHeight="1">
      <c r="A801" s="12">
        <f t="shared" si="4"/>
        <v>4399</v>
      </c>
      <c r="B801" s="6" t="s">
        <v>12845</v>
      </c>
      <c r="C801" s="7" t="str">
        <f t="shared" si="6"/>
        <v>🔊</v>
      </c>
      <c r="D801" s="8" t="s">
        <v>12846</v>
      </c>
      <c r="E801" s="6" t="s">
        <v>13</v>
      </c>
      <c r="F801" s="12" t="str">
        <f>IFERROR(__xludf.DUMMYFUNCTION("GOOGLETRANSLATE(B801,""zh_cn"",""vi"")"),"khoe khoan")</f>
        <v>khoe khoan</v>
      </c>
      <c r="G801" s="12"/>
      <c r="H801" s="6"/>
      <c r="I801" s="11" t="b">
        <f t="shared" si="2"/>
        <v>0</v>
      </c>
      <c r="J801" s="24"/>
      <c r="K801" s="11" t="b">
        <f t="shared" si="3"/>
        <v>0</v>
      </c>
    </row>
    <row r="802" ht="22.5" customHeight="1">
      <c r="A802" s="12">
        <f t="shared" si="4"/>
        <v>4400</v>
      </c>
      <c r="B802" s="6" t="s">
        <v>12847</v>
      </c>
      <c r="C802" s="7" t="str">
        <f t="shared" si="6"/>
        <v>🔊</v>
      </c>
      <c r="D802" s="8" t="s">
        <v>12848</v>
      </c>
      <c r="E802" s="6" t="s">
        <v>27</v>
      </c>
      <c r="F802" s="12" t="str">
        <f>IFERROR(__xludf.DUMMYFUNCTION("GOOGLETRANSLATE(B802,""zh_cn"",""vi"")"),"Kế toán")</f>
        <v>Kế toán</v>
      </c>
      <c r="G802" s="12"/>
      <c r="H802" s="6"/>
      <c r="I802" s="11" t="b">
        <f t="shared" si="2"/>
        <v>0</v>
      </c>
      <c r="J802" s="24"/>
      <c r="K802" s="11" t="b">
        <f t="shared" si="3"/>
        <v>0</v>
      </c>
    </row>
    <row r="803" ht="22.5" customHeight="1">
      <c r="A803" s="12">
        <f t="shared" si="4"/>
        <v>4401</v>
      </c>
      <c r="B803" s="6" t="s">
        <v>12849</v>
      </c>
      <c r="C803" s="7" t="str">
        <f t="shared" si="6"/>
        <v>🔊</v>
      </c>
      <c r="D803" s="8" t="s">
        <v>12850</v>
      </c>
      <c r="E803" s="6" t="s">
        <v>99</v>
      </c>
      <c r="F803" s="12" t="str">
        <f>IFERROR(__xludf.DUMMYFUNCTION("GOOGLETRANSLATE(B803,""zh_cn"",""vi"")"),"Nhanh")</f>
        <v>Nhanh</v>
      </c>
      <c r="G803" s="12"/>
      <c r="H803" s="6"/>
      <c r="I803" s="11" t="b">
        <f t="shared" si="2"/>
        <v>0</v>
      </c>
      <c r="J803" s="24"/>
      <c r="K803" s="11" t="b">
        <f t="shared" si="3"/>
        <v>0</v>
      </c>
    </row>
    <row r="804" ht="22.5" customHeight="1">
      <c r="A804" s="12">
        <f t="shared" si="4"/>
        <v>4402</v>
      </c>
      <c r="B804" s="6" t="s">
        <v>12851</v>
      </c>
      <c r="C804" s="7" t="str">
        <f t="shared" si="6"/>
        <v>🔊</v>
      </c>
      <c r="D804" s="8" t="s">
        <v>12852</v>
      </c>
      <c r="E804" s="6" t="s">
        <v>13</v>
      </c>
      <c r="F804" s="12" t="str">
        <f>IFERROR(__xludf.DUMMYFUNCTION("GOOGLETRANSLATE(B804,""zh_cn"",""vi"")"),"khen")</f>
        <v>khen</v>
      </c>
      <c r="G804" s="12"/>
      <c r="H804" s="6"/>
      <c r="I804" s="11" t="b">
        <f t="shared" si="2"/>
        <v>0</v>
      </c>
      <c r="J804" s="24"/>
      <c r="K804" s="11" t="b">
        <f t="shared" si="3"/>
        <v>0</v>
      </c>
    </row>
    <row r="805" ht="22.5" customHeight="1">
      <c r="A805" s="12">
        <f t="shared" si="4"/>
        <v>4403</v>
      </c>
      <c r="B805" s="6" t="s">
        <v>12853</v>
      </c>
      <c r="C805" s="1" t="s">
        <v>2</v>
      </c>
      <c r="D805" s="8" t="s">
        <v>12854</v>
      </c>
      <c r="E805" s="6" t="s">
        <v>259</v>
      </c>
      <c r="F805" s="12" t="str">
        <f>IFERROR(__xludf.DUMMYFUNCTION("GOOGLETRANSLATE(B805,""zh_cn"",""vi"")"),"sự chi trả")</f>
        <v>sự chi trả</v>
      </c>
      <c r="G805" s="12"/>
      <c r="H805" s="6"/>
      <c r="I805" s="11" t="b">
        <f t="shared" si="2"/>
        <v>0</v>
      </c>
      <c r="J805" s="24"/>
      <c r="K805" s="11" t="b">
        <f t="shared" si="3"/>
        <v>0</v>
      </c>
    </row>
    <row r="806" ht="22.5" customHeight="1">
      <c r="A806" s="12">
        <f t="shared" si="4"/>
        <v>4404</v>
      </c>
      <c r="B806" s="6" t="s">
        <v>12855</v>
      </c>
      <c r="C806" s="7" t="str">
        <f t="shared" ref="C806:C1802" si="7">HYPERLINK("https://translate.google.com/translate_tts?ie=UTF-8&amp;client=tw-ob&amp;tl=zh-CN&amp;q="&amp;ENCODEURL(B806),"🔊")</f>
        <v>🔊</v>
      </c>
      <c r="D806" s="8" t="s">
        <v>12856</v>
      </c>
      <c r="E806" s="6" t="s">
        <v>27</v>
      </c>
      <c r="F806" s="12" t="str">
        <f>IFERROR(__xludf.DUMMYFUNCTION("GOOGLETRANSLATE(B806,""zh_cn"",""vi"")"),"hình dạng")</f>
        <v>hình dạng</v>
      </c>
      <c r="G806" s="12"/>
      <c r="H806" s="6"/>
      <c r="I806" s="11" t="b">
        <f t="shared" si="2"/>
        <v>0</v>
      </c>
      <c r="J806" s="24"/>
      <c r="K806" s="11" t="b">
        <f t="shared" si="3"/>
        <v>0</v>
      </c>
    </row>
    <row r="807" ht="22.5" customHeight="1">
      <c r="A807" s="12">
        <f t="shared" si="4"/>
        <v>4405</v>
      </c>
      <c r="B807" s="6" t="s">
        <v>12857</v>
      </c>
      <c r="C807" s="7" t="str">
        <f t="shared" si="7"/>
        <v>🔊</v>
      </c>
      <c r="D807" s="8" t="s">
        <v>12858</v>
      </c>
      <c r="E807" s="6" t="s">
        <v>99</v>
      </c>
      <c r="F807" s="12" t="str">
        <f>IFERROR(__xludf.DUMMYFUNCTION("GOOGLETRANSLATE(B807,""zh_cn"",""vi"")"),"nói quá")</f>
        <v>nói quá</v>
      </c>
      <c r="G807" s="12"/>
      <c r="H807" s="6"/>
      <c r="I807" s="11" t="b">
        <f t="shared" si="2"/>
        <v>0</v>
      </c>
      <c r="J807" s="24"/>
      <c r="K807" s="11" t="b">
        <f t="shared" si="3"/>
        <v>0</v>
      </c>
    </row>
    <row r="808" ht="22.5" customHeight="1">
      <c r="A808" s="12">
        <f t="shared" si="4"/>
        <v>4406</v>
      </c>
      <c r="B808" s="6" t="s">
        <v>12859</v>
      </c>
      <c r="C808" s="7" t="str">
        <f t="shared" si="7"/>
        <v>🔊</v>
      </c>
      <c r="D808" s="8" t="s">
        <v>12860</v>
      </c>
      <c r="E808" s="6" t="s">
        <v>13</v>
      </c>
      <c r="F808" s="12" t="str">
        <f>IFERROR(__xludf.DUMMYFUNCTION("GOOGLETRANSLATE(B808,""zh_cn"",""vi"")"),"Sự mất mát")</f>
        <v>Sự mất mát</v>
      </c>
      <c r="G808" s="12"/>
      <c r="H808" s="6"/>
      <c r="I808" s="11" t="b">
        <f t="shared" si="2"/>
        <v>0</v>
      </c>
      <c r="J808" s="24"/>
      <c r="K808" s="11" t="b">
        <f t="shared" si="3"/>
        <v>0</v>
      </c>
    </row>
    <row r="809" ht="22.5" customHeight="1">
      <c r="A809" s="12">
        <f t="shared" si="4"/>
        <v>4407</v>
      </c>
      <c r="B809" s="6" t="s">
        <v>12861</v>
      </c>
      <c r="C809" s="7" t="str">
        <f t="shared" si="7"/>
        <v>🔊</v>
      </c>
      <c r="D809" s="8" t="s">
        <v>12862</v>
      </c>
      <c r="E809" s="6" t="s">
        <v>13</v>
      </c>
      <c r="F809" s="12" t="str">
        <f>IFERROR(__xludf.DUMMYFUNCTION("GOOGLETRANSLATE(B809,""zh_cn"",""vi"")"),"rắc rối")</f>
        <v>rắc rối</v>
      </c>
      <c r="G809" s="12"/>
      <c r="H809" s="6"/>
      <c r="I809" s="11" t="b">
        <f t="shared" si="2"/>
        <v>0</v>
      </c>
      <c r="J809" s="24"/>
      <c r="K809" s="11" t="b">
        <f t="shared" si="3"/>
        <v>0</v>
      </c>
    </row>
    <row r="810" ht="22.5" customHeight="1">
      <c r="A810" s="12">
        <f t="shared" si="4"/>
        <v>4408</v>
      </c>
      <c r="B810" s="6" t="s">
        <v>12863</v>
      </c>
      <c r="C810" s="7" t="str">
        <f t="shared" si="7"/>
        <v>🔊</v>
      </c>
      <c r="D810" s="8" t="s">
        <v>12864</v>
      </c>
      <c r="E810" s="6" t="s">
        <v>13</v>
      </c>
      <c r="F810" s="12" t="str">
        <f>IFERROR(__xludf.DUMMYFUNCTION("GOOGLETRANSLATE(B810,""zh_cn"",""vi"")"),"Mở rộng")</f>
        <v>Mở rộng</v>
      </c>
      <c r="G810" s="12"/>
      <c r="H810" s="6"/>
      <c r="I810" s="11" t="b">
        <f t="shared" si="2"/>
        <v>0</v>
      </c>
      <c r="J810" s="24"/>
      <c r="K810" s="11" t="b">
        <f t="shared" si="3"/>
        <v>0</v>
      </c>
    </row>
    <row r="811" ht="22.5" customHeight="1">
      <c r="A811" s="12">
        <f t="shared" si="4"/>
        <v>4409</v>
      </c>
      <c r="B811" s="6" t="s">
        <v>12865</v>
      </c>
      <c r="C811" s="7" t="str">
        <f t="shared" si="7"/>
        <v>🔊</v>
      </c>
      <c r="D811" s="8" t="s">
        <v>12866</v>
      </c>
      <c r="E811" s="6" t="s">
        <v>99</v>
      </c>
      <c r="F811" s="12" t="str">
        <f>IFERROR(__xludf.DUMMYFUNCTION("GOOGLETRANSLATE(B811,""zh_cn"",""vi"")"),"đần độn")</f>
        <v>đần độn</v>
      </c>
      <c r="G811" s="12"/>
      <c r="H811" s="6"/>
      <c r="I811" s="11" t="b">
        <f t="shared" si="2"/>
        <v>0</v>
      </c>
      <c r="J811" s="24"/>
      <c r="K811" s="11" t="b">
        <f t="shared" si="3"/>
        <v>0</v>
      </c>
    </row>
    <row r="812" ht="22.5" customHeight="1">
      <c r="A812" s="12">
        <f t="shared" si="4"/>
        <v>4410</v>
      </c>
      <c r="B812" s="6" t="s">
        <v>12867</v>
      </c>
      <c r="C812" s="7" t="str">
        <f t="shared" si="7"/>
        <v>🔊</v>
      </c>
      <c r="D812" s="8" t="s">
        <v>12868</v>
      </c>
      <c r="E812" s="6" t="s">
        <v>18</v>
      </c>
      <c r="F812" s="12" t="str">
        <f>IFERROR(__xludf.DUMMYFUNCTION("GOOGLETRANSLATE(B812,""zh_cn"",""vi"")"),"La")</f>
        <v>La</v>
      </c>
      <c r="G812" s="12"/>
      <c r="H812" s="6"/>
      <c r="I812" s="11" t="b">
        <f t="shared" si="2"/>
        <v>0</v>
      </c>
      <c r="J812" s="24"/>
      <c r="K812" s="11" t="b">
        <f t="shared" si="3"/>
        <v>0</v>
      </c>
    </row>
    <row r="813" ht="22.5" customHeight="1">
      <c r="A813" s="12">
        <f t="shared" si="4"/>
        <v>4411</v>
      </c>
      <c r="B813" s="6" t="s">
        <v>4931</v>
      </c>
      <c r="C813" s="7" t="str">
        <f t="shared" si="7"/>
        <v>🔊</v>
      </c>
      <c r="D813" s="8" t="s">
        <v>4795</v>
      </c>
      <c r="E813" s="6" t="s">
        <v>13</v>
      </c>
      <c r="F813" s="12" t="str">
        <f>IFERROR(__xludf.DUMMYFUNCTION("GOOGLETRANSLATE(B813,""zh_cn"",""vi"")"),"ngã")</f>
        <v>ngã</v>
      </c>
      <c r="G813" s="12"/>
      <c r="H813" s="6"/>
      <c r="I813" s="11" t="b">
        <f t="shared" si="2"/>
        <v>0</v>
      </c>
      <c r="J813" s="24"/>
      <c r="K813" s="11" t="b">
        <f t="shared" si="3"/>
        <v>0</v>
      </c>
    </row>
    <row r="814" ht="22.5" customHeight="1">
      <c r="A814" s="12">
        <f t="shared" si="4"/>
        <v>4412</v>
      </c>
      <c r="B814" s="6" t="s">
        <v>12869</v>
      </c>
      <c r="C814" s="7" t="str">
        <f t="shared" si="7"/>
        <v>🔊</v>
      </c>
      <c r="D814" s="8" t="s">
        <v>12870</v>
      </c>
      <c r="E814" s="6" t="s">
        <v>416</v>
      </c>
      <c r="F814" s="12" t="str">
        <f>IFERROR(__xludf.DUMMYFUNCTION("GOOGLETRANSLATE(B814,""zh_cn"",""vi"")"),"phụ thuộc")</f>
        <v>phụ thuộc</v>
      </c>
      <c r="G814" s="12"/>
      <c r="H814" s="6"/>
      <c r="I814" s="11" t="b">
        <f t="shared" si="2"/>
        <v>0</v>
      </c>
      <c r="J814" s="24"/>
      <c r="K814" s="11" t="b">
        <f t="shared" si="3"/>
        <v>0</v>
      </c>
    </row>
    <row r="815" ht="22.5" customHeight="1">
      <c r="A815" s="12">
        <f t="shared" si="4"/>
        <v>4413</v>
      </c>
      <c r="B815" s="6" t="s">
        <v>12871</v>
      </c>
      <c r="C815" s="7" t="str">
        <f t="shared" si="7"/>
        <v>🔊</v>
      </c>
      <c r="D815" s="8" t="s">
        <v>12872</v>
      </c>
      <c r="E815" s="6" t="s">
        <v>13</v>
      </c>
      <c r="F815" s="12" t="str">
        <f>IFERROR(__xludf.DUMMYFUNCTION("GOOGLETRANSLATE(B815,""zh_cn"",""vi"")"),"sự đến")</f>
        <v>sự đến</v>
      </c>
      <c r="G815" s="12"/>
      <c r="H815" s="6"/>
      <c r="I815" s="11" t="b">
        <f t="shared" si="2"/>
        <v>0</v>
      </c>
      <c r="J815" s="24"/>
      <c r="K815" s="11" t="b">
        <f t="shared" si="3"/>
        <v>0</v>
      </c>
    </row>
    <row r="816" ht="22.5" customHeight="1">
      <c r="A816" s="12">
        <f t="shared" si="4"/>
        <v>4414</v>
      </c>
      <c r="B816" s="6" t="s">
        <v>12873</v>
      </c>
      <c r="C816" s="7" t="str">
        <f t="shared" si="7"/>
        <v>🔊</v>
      </c>
      <c r="D816" s="8" t="s">
        <v>12874</v>
      </c>
      <c r="E816" s="6" t="s">
        <v>13</v>
      </c>
      <c r="F816" s="12" t="str">
        <f>IFERROR(__xludf.DUMMYFUNCTION("GOOGLETRANSLATE(B816,""zh_cn"",""vi"")"),"đến và đi")</f>
        <v>đến và đi</v>
      </c>
      <c r="G816" s="12"/>
      <c r="H816" s="6"/>
      <c r="I816" s="11" t="b">
        <f t="shared" si="2"/>
        <v>0</v>
      </c>
      <c r="J816" s="24"/>
      <c r="K816" s="11" t="b">
        <f t="shared" si="3"/>
        <v>0</v>
      </c>
    </row>
    <row r="817" ht="22.5" customHeight="1">
      <c r="A817" s="12">
        <f t="shared" si="4"/>
        <v>4415</v>
      </c>
      <c r="B817" s="6" t="s">
        <v>12875</v>
      </c>
      <c r="C817" s="7" t="str">
        <f t="shared" si="7"/>
        <v>🔊</v>
      </c>
      <c r="D817" s="8" t="s">
        <v>12876</v>
      </c>
      <c r="E817" s="6" t="s">
        <v>27</v>
      </c>
      <c r="F817" s="12" t="str">
        <f>IFERROR(__xludf.DUMMYFUNCTION("GOOGLETRANSLATE(B817,""zh_cn"",""vi"")"),"ớt")</f>
        <v>ớt</v>
      </c>
      <c r="G817" s="12"/>
      <c r="H817" s="6"/>
      <c r="I817" s="11" t="b">
        <f t="shared" si="2"/>
        <v>0</v>
      </c>
      <c r="J817" s="24"/>
      <c r="K817" s="11" t="b">
        <f t="shared" si="3"/>
        <v>0</v>
      </c>
    </row>
    <row r="818" ht="22.5" customHeight="1">
      <c r="A818" s="12">
        <f t="shared" si="4"/>
        <v>4416</v>
      </c>
      <c r="B818" s="6" t="s">
        <v>12877</v>
      </c>
      <c r="C818" s="7" t="str">
        <f t="shared" si="7"/>
        <v>🔊</v>
      </c>
      <c r="D818" s="8" t="s">
        <v>2500</v>
      </c>
      <c r="E818" s="6" t="s">
        <v>13</v>
      </c>
      <c r="F818" s="12" t="str">
        <f>IFERROR(__xludf.DUMMYFUNCTION("GOOGLETRANSLATE(B818,""zh_cn"",""vi"")"),"thanh")</f>
        <v>thanh</v>
      </c>
      <c r="G818" s="12"/>
      <c r="H818" s="6"/>
      <c r="I818" s="11" t="b">
        <f t="shared" si="2"/>
        <v>0</v>
      </c>
      <c r="J818" s="24"/>
      <c r="K818" s="11" t="b">
        <f t="shared" si="3"/>
        <v>0</v>
      </c>
    </row>
    <row r="819" ht="22.5" customHeight="1">
      <c r="A819" s="12">
        <f t="shared" si="4"/>
        <v>4417</v>
      </c>
      <c r="B819" s="6" t="s">
        <v>12878</v>
      </c>
      <c r="C819" s="7" t="str">
        <f t="shared" si="7"/>
        <v>🔊</v>
      </c>
      <c r="D819" s="8" t="s">
        <v>2500</v>
      </c>
      <c r="E819" s="6" t="s">
        <v>27</v>
      </c>
      <c r="F819" s="12" t="str">
        <f>IFERROR(__xludf.DUMMYFUNCTION("GOOGLETRANSLATE(B819,""zh_cn"",""vi"")"),"cột")</f>
        <v>cột</v>
      </c>
      <c r="G819" s="12"/>
      <c r="H819" s="6"/>
      <c r="I819" s="11" t="b">
        <f t="shared" si="2"/>
        <v>0</v>
      </c>
      <c r="J819" s="24"/>
      <c r="K819" s="11" t="b">
        <f t="shared" si="3"/>
        <v>0</v>
      </c>
    </row>
    <row r="820" ht="22.5" customHeight="1">
      <c r="A820" s="12">
        <f t="shared" si="4"/>
        <v>4418</v>
      </c>
      <c r="B820" s="6" t="s">
        <v>12879</v>
      </c>
      <c r="C820" s="7" t="str">
        <f t="shared" si="7"/>
        <v>🔊</v>
      </c>
      <c r="D820" s="8" t="s">
        <v>12880</v>
      </c>
      <c r="E820" s="6" t="s">
        <v>99</v>
      </c>
      <c r="F820" s="12" t="str">
        <f>IFERROR(__xludf.DUMMYFUNCTION("GOOGLETRANSLATE(B820,""zh_cn"",""vi"")"),"thối rữa")</f>
        <v>thối rữa</v>
      </c>
      <c r="G820" s="12"/>
      <c r="H820" s="6"/>
      <c r="I820" s="11" t="b">
        <f t="shared" si="2"/>
        <v>0</v>
      </c>
      <c r="J820" s="24"/>
      <c r="K820" s="11" t="b">
        <f t="shared" si="3"/>
        <v>0</v>
      </c>
    </row>
    <row r="821" ht="22.5" customHeight="1">
      <c r="A821" s="12">
        <f t="shared" si="4"/>
        <v>4419</v>
      </c>
      <c r="B821" s="6" t="s">
        <v>12881</v>
      </c>
      <c r="C821" s="7" t="str">
        <f t="shared" si="7"/>
        <v>🔊</v>
      </c>
      <c r="D821" s="8" t="s">
        <v>12882</v>
      </c>
      <c r="E821" s="6" t="s">
        <v>27</v>
      </c>
      <c r="F821" s="12" t="str">
        <f>IFERROR(__xludf.DUMMYFUNCTION("GOOGLETRANSLATE(B821,""zh_cn"",""vi"")"),"Sói")</f>
        <v>Sói</v>
      </c>
      <c r="G821" s="12"/>
      <c r="H821" s="6"/>
      <c r="I821" s="11" t="b">
        <f t="shared" si="2"/>
        <v>0</v>
      </c>
      <c r="J821" s="24"/>
      <c r="K821" s="11" t="b">
        <f t="shared" si="3"/>
        <v>0</v>
      </c>
    </row>
    <row r="822" ht="22.5" customHeight="1">
      <c r="A822" s="12">
        <f t="shared" si="4"/>
        <v>4420</v>
      </c>
      <c r="B822" s="6" t="s">
        <v>12883</v>
      </c>
      <c r="C822" s="7" t="str">
        <f t="shared" si="7"/>
        <v>🔊</v>
      </c>
      <c r="D822" s="8" t="s">
        <v>12884</v>
      </c>
      <c r="E822" s="6" t="s">
        <v>13</v>
      </c>
      <c r="F822" s="12" t="str">
        <f>IFERROR(__xludf.DUMMYFUNCTION("GOOGLETRANSLATE(B822,""zh_cn"",""vi"")"),"Đọc to")</f>
        <v>Đọc to</v>
      </c>
      <c r="G822" s="12"/>
      <c r="H822" s="6"/>
      <c r="I822" s="11" t="b">
        <f t="shared" si="2"/>
        <v>0</v>
      </c>
      <c r="J822" s="24"/>
      <c r="K822" s="11" t="b">
        <f t="shared" si="3"/>
        <v>0</v>
      </c>
    </row>
    <row r="823" ht="22.5" customHeight="1">
      <c r="A823" s="12">
        <f t="shared" si="4"/>
        <v>4421</v>
      </c>
      <c r="B823" s="6" t="s">
        <v>12885</v>
      </c>
      <c r="C823" s="7" t="str">
        <f t="shared" si="7"/>
        <v>🔊</v>
      </c>
      <c r="D823" s="8" t="s">
        <v>12886</v>
      </c>
      <c r="E823" s="6" t="s">
        <v>27</v>
      </c>
      <c r="F823" s="12" t="str">
        <f>IFERROR(__xludf.DUMMYFUNCTION("GOOGLETRANSLATE(B823,""zh_cn"",""vi"")"),"hoa lan")</f>
        <v>hoa lan</v>
      </c>
      <c r="G823" s="12"/>
      <c r="H823" s="6"/>
      <c r="I823" s="11" t="b">
        <f t="shared" si="2"/>
        <v>0</v>
      </c>
      <c r="J823" s="24"/>
      <c r="K823" s="11" t="b">
        <f t="shared" si="3"/>
        <v>0</v>
      </c>
    </row>
    <row r="824" ht="22.5" customHeight="1">
      <c r="A824" s="12">
        <f t="shared" si="4"/>
        <v>4422</v>
      </c>
      <c r="B824" s="6" t="s">
        <v>12887</v>
      </c>
      <c r="C824" s="7" t="str">
        <f t="shared" si="7"/>
        <v>🔊</v>
      </c>
      <c r="D824" s="8" t="s">
        <v>12888</v>
      </c>
      <c r="E824" s="6" t="s">
        <v>3430</v>
      </c>
      <c r="F824" s="12" t="str">
        <f>IFERROR(__xludf.DUMMYFUNCTION("GOOGLETRANSLATE(B824,""zh_cn"",""vi"")"),"nhà tù")</f>
        <v>nhà tù</v>
      </c>
      <c r="G824" s="12"/>
      <c r="H824" s="6"/>
      <c r="I824" s="11" t="b">
        <f t="shared" si="2"/>
        <v>0</v>
      </c>
      <c r="J824" s="24"/>
      <c r="K824" s="11" t="b">
        <f t="shared" si="3"/>
        <v>0</v>
      </c>
    </row>
    <row r="825" ht="22.5" customHeight="1">
      <c r="A825" s="12">
        <f t="shared" si="4"/>
        <v>4423</v>
      </c>
      <c r="B825" s="6" t="s">
        <v>12889</v>
      </c>
      <c r="C825" s="7" t="str">
        <f t="shared" si="7"/>
        <v>🔊</v>
      </c>
      <c r="D825" s="8" t="s">
        <v>12890</v>
      </c>
      <c r="E825" s="6" t="s">
        <v>27</v>
      </c>
      <c r="F825" s="12" t="str">
        <f>IFERROR(__xludf.DUMMYFUNCTION("GOOGLETRANSLATE(B825,""zh_cn"",""vi"")"),"lực lượng lao động")</f>
        <v>lực lượng lao động</v>
      </c>
      <c r="G825" s="12"/>
      <c r="H825" s="6"/>
      <c r="I825" s="11" t="b">
        <f t="shared" si="2"/>
        <v>0</v>
      </c>
      <c r="J825" s="24"/>
      <c r="K825" s="11" t="b">
        <f t="shared" si="3"/>
        <v>0</v>
      </c>
    </row>
    <row r="826" ht="22.5" customHeight="1">
      <c r="A826" s="12">
        <f t="shared" si="4"/>
        <v>4424</v>
      </c>
      <c r="B826" s="6" t="s">
        <v>12891</v>
      </c>
      <c r="C826" s="7" t="str">
        <f t="shared" si="7"/>
        <v>🔊</v>
      </c>
      <c r="D826" s="8" t="s">
        <v>12892</v>
      </c>
      <c r="E826" s="6" t="s">
        <v>99</v>
      </c>
      <c r="F826" s="12" t="str">
        <f>IFERROR(__xludf.DUMMYFUNCTION("GOOGLETRANSLATE(B826,""zh_cn"",""vi"")"),"trung thực")</f>
        <v>trung thực</v>
      </c>
      <c r="G826" s="12"/>
      <c r="H826" s="6"/>
      <c r="I826" s="11" t="b">
        <f t="shared" si="2"/>
        <v>0</v>
      </c>
      <c r="J826" s="24"/>
      <c r="K826" s="11" t="b">
        <f t="shared" si="3"/>
        <v>0</v>
      </c>
    </row>
    <row r="827" ht="22.5" customHeight="1">
      <c r="A827" s="12">
        <f t="shared" si="4"/>
        <v>4425</v>
      </c>
      <c r="B827" s="6" t="s">
        <v>12893</v>
      </c>
      <c r="C827" s="7" t="str">
        <f t="shared" si="7"/>
        <v>🔊</v>
      </c>
      <c r="D827" s="8" t="s">
        <v>12894</v>
      </c>
      <c r="E827" s="6" t="s">
        <v>27</v>
      </c>
      <c r="F827" s="12" t="str">
        <f>IFERROR(__xludf.DUMMYFUNCTION("GOOGLETRANSLATE(B827,""zh_cn"",""vi"")"),"chuột")</f>
        <v>chuột</v>
      </c>
      <c r="G827" s="12"/>
      <c r="H827" s="6"/>
      <c r="I827" s="11" t="b">
        <f t="shared" si="2"/>
        <v>0</v>
      </c>
      <c r="J827" s="24"/>
      <c r="K827" s="11" t="b">
        <f t="shared" si="3"/>
        <v>0</v>
      </c>
    </row>
    <row r="828" ht="22.5" customHeight="1">
      <c r="A828" s="12">
        <f t="shared" si="4"/>
        <v>4426</v>
      </c>
      <c r="B828" s="6" t="s">
        <v>12895</v>
      </c>
      <c r="C828" s="7" t="str">
        <f t="shared" si="7"/>
        <v>🔊</v>
      </c>
      <c r="D828" s="8" t="s">
        <v>12896</v>
      </c>
      <c r="E828" s="6" t="s">
        <v>27</v>
      </c>
      <c r="F828" s="12" t="str">
        <f>IFERROR(__xludf.DUMMYFUNCTION("GOOGLETRANSLATE(B828,""zh_cn"",""vi"")"),"bà cụ")</f>
        <v>bà cụ</v>
      </c>
      <c r="G828" s="12"/>
      <c r="H828" s="6"/>
      <c r="I828" s="11" t="b">
        <f t="shared" si="2"/>
        <v>0</v>
      </c>
      <c r="J828" s="24"/>
      <c r="K828" s="11" t="b">
        <f t="shared" si="3"/>
        <v>0</v>
      </c>
    </row>
    <row r="829" ht="22.5" customHeight="1">
      <c r="A829" s="12">
        <f t="shared" si="4"/>
        <v>4427</v>
      </c>
      <c r="B829" s="6" t="s">
        <v>12897</v>
      </c>
      <c r="C829" s="7" t="str">
        <f t="shared" si="7"/>
        <v>🔊</v>
      </c>
      <c r="D829" s="8" t="s">
        <v>12898</v>
      </c>
      <c r="E829" s="6" t="s">
        <v>27</v>
      </c>
      <c r="F829" s="12" t="str">
        <f>IFERROR(__xludf.DUMMYFUNCTION("GOOGLETRANSLATE(B829,""zh_cn"",""vi"")"),"sấm sét")</f>
        <v>sấm sét</v>
      </c>
      <c r="G829" s="12"/>
      <c r="H829" s="6"/>
      <c r="I829" s="11" t="b">
        <f t="shared" si="2"/>
        <v>0</v>
      </c>
      <c r="J829" s="24"/>
      <c r="K829" s="11" t="b">
        <f t="shared" si="3"/>
        <v>0</v>
      </c>
    </row>
    <row r="830" ht="22.5" customHeight="1">
      <c r="A830" s="12">
        <f t="shared" si="4"/>
        <v>4428</v>
      </c>
      <c r="B830" s="6" t="s">
        <v>12899</v>
      </c>
      <c r="C830" s="7" t="str">
        <f t="shared" si="7"/>
        <v>🔊</v>
      </c>
      <c r="D830" s="8" t="s">
        <v>12900</v>
      </c>
      <c r="E830" s="6" t="s">
        <v>27</v>
      </c>
      <c r="F830" s="12" t="str">
        <f>IFERROR(__xludf.DUMMYFUNCTION("GOOGLETRANSLATE(B830,""zh_cn"",""vi"")"),"loại")</f>
        <v>loại</v>
      </c>
      <c r="G830" s="12"/>
      <c r="H830" s="6"/>
      <c r="I830" s="11" t="b">
        <f t="shared" si="2"/>
        <v>0</v>
      </c>
      <c r="J830" s="24"/>
      <c r="K830" s="11" t="b">
        <f t="shared" si="3"/>
        <v>0</v>
      </c>
    </row>
    <row r="831" ht="22.5" customHeight="1">
      <c r="A831" s="12">
        <f t="shared" si="4"/>
        <v>4429</v>
      </c>
      <c r="B831" s="6" t="s">
        <v>12901</v>
      </c>
      <c r="C831" s="7" t="str">
        <f t="shared" si="7"/>
        <v>🔊</v>
      </c>
      <c r="D831" s="8" t="s">
        <v>12902</v>
      </c>
      <c r="E831" s="6" t="s">
        <v>13</v>
      </c>
      <c r="F831" s="12" t="str">
        <f>IFERROR(__xludf.DUMMYFUNCTION("GOOGLETRANSLATE(B831,""zh_cn"",""vi"")"),"vui mừng")</f>
        <v>vui mừng</v>
      </c>
      <c r="G831" s="12"/>
      <c r="H831" s="6"/>
      <c r="I831" s="11" t="b">
        <f t="shared" si="2"/>
        <v>0</v>
      </c>
      <c r="J831" s="24"/>
      <c r="K831" s="11" t="b">
        <f t="shared" si="3"/>
        <v>0</v>
      </c>
    </row>
    <row r="832" ht="22.5" customHeight="1">
      <c r="A832" s="12">
        <f t="shared" si="4"/>
        <v>4430</v>
      </c>
      <c r="B832" s="6" t="s">
        <v>12903</v>
      </c>
      <c r="C832" s="7" t="str">
        <f t="shared" si="7"/>
        <v>🔊</v>
      </c>
      <c r="D832" s="8" t="s">
        <v>8669</v>
      </c>
      <c r="E832" s="6" t="s">
        <v>13</v>
      </c>
      <c r="F832" s="12" t="str">
        <f>IFERROR(__xludf.DUMMYFUNCTION("GOOGLETRANSLATE(B832,""zh_cn"",""vi"")"),"đứng")</f>
        <v>đứng</v>
      </c>
      <c r="G832" s="12"/>
      <c r="H832" s="6"/>
      <c r="I832" s="11" t="b">
        <f t="shared" si="2"/>
        <v>0</v>
      </c>
      <c r="J832" s="24"/>
      <c r="K832" s="11" t="b">
        <f t="shared" si="3"/>
        <v>0</v>
      </c>
    </row>
    <row r="833" ht="22.5" customHeight="1">
      <c r="A833" s="12">
        <f t="shared" si="4"/>
        <v>4431</v>
      </c>
      <c r="B833" s="6" t="s">
        <v>12904</v>
      </c>
      <c r="C833" s="7" t="str">
        <f t="shared" si="7"/>
        <v>🔊</v>
      </c>
      <c r="D833" s="8" t="s">
        <v>8669</v>
      </c>
      <c r="E833" s="6" t="s">
        <v>259</v>
      </c>
      <c r="F833" s="12" t="str">
        <f>IFERROR(__xludf.DUMMYFUNCTION("GOOGLETRANSLATE(B833,""zh_cn"",""vi"")"),"ngũ cốc")</f>
        <v>ngũ cốc</v>
      </c>
      <c r="G833" s="12"/>
      <c r="H833" s="6"/>
      <c r="I833" s="11" t="b">
        <f t="shared" si="2"/>
        <v>0</v>
      </c>
      <c r="J833" s="24"/>
      <c r="K833" s="11" t="b">
        <f t="shared" si="3"/>
        <v>0</v>
      </c>
    </row>
    <row r="834" ht="22.5" customHeight="1">
      <c r="A834" s="12">
        <f t="shared" si="4"/>
        <v>4432</v>
      </c>
      <c r="B834" s="6" t="s">
        <v>12905</v>
      </c>
      <c r="C834" s="7" t="str">
        <f t="shared" si="7"/>
        <v>🔊</v>
      </c>
      <c r="D834" s="8" t="s">
        <v>390</v>
      </c>
      <c r="E834" s="6" t="s">
        <v>57</v>
      </c>
      <c r="F834" s="12" t="str">
        <f>IFERROR(__xludf.DUMMYFUNCTION("GOOGLETRANSLATE(B834,""zh_cn"",""vi"")"),"lý do")</f>
        <v>lý do</v>
      </c>
      <c r="G834" s="12"/>
      <c r="H834" s="6"/>
      <c r="I834" s="11" t="b">
        <f t="shared" si="2"/>
        <v>0</v>
      </c>
      <c r="J834" s="24"/>
      <c r="K834" s="11" t="b">
        <f t="shared" si="3"/>
        <v>0</v>
      </c>
    </row>
    <row r="835" ht="22.5" customHeight="1">
      <c r="A835" s="12">
        <f t="shared" si="4"/>
        <v>4433</v>
      </c>
      <c r="B835" s="6" t="s">
        <v>12906</v>
      </c>
      <c r="C835" s="7" t="str">
        <f t="shared" si="7"/>
        <v>🔊</v>
      </c>
      <c r="D835" s="8" t="s">
        <v>2518</v>
      </c>
      <c r="E835" s="6" t="s">
        <v>13</v>
      </c>
      <c r="F835" s="12" t="str">
        <f>IFERROR(__xludf.DUMMYFUNCTION("GOOGLETRANSLATE(B835,""zh_cn"",""vi"")"),"không khí")</f>
        <v>không khí</v>
      </c>
      <c r="G835" s="12"/>
      <c r="H835" s="6"/>
      <c r="I835" s="11" t="b">
        <f t="shared" si="2"/>
        <v>0</v>
      </c>
      <c r="J835" s="24"/>
      <c r="K835" s="11" t="b">
        <f t="shared" si="3"/>
        <v>0</v>
      </c>
    </row>
    <row r="836" ht="22.5" customHeight="1">
      <c r="A836" s="12">
        <f t="shared" si="4"/>
        <v>4434</v>
      </c>
      <c r="B836" s="6" t="s">
        <v>12907</v>
      </c>
      <c r="C836" s="7" t="str">
        <f t="shared" si="7"/>
        <v>🔊</v>
      </c>
      <c r="D836" s="8" t="s">
        <v>12908</v>
      </c>
      <c r="E836" s="6" t="s">
        <v>27</v>
      </c>
      <c r="F836" s="12" t="str">
        <f>IFERROR(__xludf.DUMMYFUNCTION("GOOGLETRANSLATE(B836,""zh_cn"",""vi"")"),"Qua eo biển")</f>
        <v>Qua eo biển</v>
      </c>
      <c r="G836" s="12"/>
      <c r="H836" s="6"/>
      <c r="I836" s="11" t="b">
        <f t="shared" si="2"/>
        <v>0</v>
      </c>
      <c r="J836" s="24"/>
      <c r="K836" s="11" t="b">
        <f t="shared" si="3"/>
        <v>0</v>
      </c>
    </row>
    <row r="837" ht="22.5" customHeight="1">
      <c r="A837" s="12">
        <f t="shared" si="4"/>
        <v>4435</v>
      </c>
      <c r="B837" s="6" t="s">
        <v>12909</v>
      </c>
      <c r="C837" s="7" t="str">
        <f t="shared" si="7"/>
        <v>🔊</v>
      </c>
      <c r="D837" s="8" t="s">
        <v>12910</v>
      </c>
      <c r="E837" s="6" t="s">
        <v>27</v>
      </c>
      <c r="F837" s="12" t="str">
        <f>IFERROR(__xludf.DUMMYFUNCTION("GOOGLETRANSLATE(B837,""zh_cn"",""vi"")"),"cực")</f>
        <v>cực</v>
      </c>
      <c r="G837" s="12"/>
      <c r="H837" s="6"/>
      <c r="I837" s="11" t="b">
        <f t="shared" si="2"/>
        <v>0</v>
      </c>
      <c r="J837" s="24"/>
      <c r="K837" s="11" t="b">
        <f t="shared" si="3"/>
        <v>0</v>
      </c>
    </row>
    <row r="838" ht="22.5" customHeight="1">
      <c r="A838" s="12">
        <f t="shared" si="4"/>
        <v>4436</v>
      </c>
      <c r="B838" s="6" t="s">
        <v>12911</v>
      </c>
      <c r="C838" s="7" t="str">
        <f t="shared" si="7"/>
        <v>🔊</v>
      </c>
      <c r="D838" s="8" t="s">
        <v>12912</v>
      </c>
      <c r="E838" s="6" t="s">
        <v>27</v>
      </c>
      <c r="F838" s="12" t="str">
        <f>IFERROR(__xludf.DUMMYFUNCTION("GOOGLETRANSLATE(B838,""zh_cn"",""vi"")"),"Liên Hợp Quốc")</f>
        <v>Liên Hợp Quốc</v>
      </c>
      <c r="G838" s="12"/>
      <c r="H838" s="6"/>
      <c r="I838" s="11" t="b">
        <f t="shared" si="2"/>
        <v>0</v>
      </c>
      <c r="J838" s="24"/>
      <c r="K838" s="11" t="b">
        <f t="shared" si="3"/>
        <v>0</v>
      </c>
    </row>
    <row r="839" ht="22.5" customHeight="1">
      <c r="A839" s="12">
        <f t="shared" si="4"/>
        <v>4437</v>
      </c>
      <c r="B839" s="6" t="s">
        <v>12913</v>
      </c>
      <c r="C839" s="7" t="str">
        <f t="shared" si="7"/>
        <v>🔊</v>
      </c>
      <c r="D839" s="8" t="s">
        <v>12914</v>
      </c>
      <c r="E839" s="6" t="s">
        <v>13</v>
      </c>
      <c r="F839" s="12" t="str">
        <f>IFERROR(__xludf.DUMMYFUNCTION("GOOGLETRANSLATE(B839,""zh_cn"",""vi"")"),"Liên kết")</f>
        <v>Liên kết</v>
      </c>
      <c r="G839" s="12"/>
      <c r="H839" s="6"/>
      <c r="I839" s="11" t="b">
        <f t="shared" si="2"/>
        <v>0</v>
      </c>
      <c r="J839" s="24"/>
      <c r="K839" s="11" t="b">
        <f t="shared" si="3"/>
        <v>0</v>
      </c>
    </row>
    <row r="840" ht="22.5" customHeight="1">
      <c r="A840" s="12">
        <f t="shared" si="4"/>
        <v>4438</v>
      </c>
      <c r="B840" s="6" t="s">
        <v>12915</v>
      </c>
      <c r="C840" s="7" t="str">
        <f t="shared" si="7"/>
        <v>🔊</v>
      </c>
      <c r="D840" s="8" t="s">
        <v>12916</v>
      </c>
      <c r="E840" s="6" t="s">
        <v>13</v>
      </c>
      <c r="F840" s="12" t="str">
        <f>IFERROR(__xludf.DUMMYFUNCTION("GOOGLETRANSLATE(B840,""zh_cn"",""vi"")"),"kết nối mạng")</f>
        <v>kết nối mạng</v>
      </c>
      <c r="G840" s="12"/>
      <c r="H840" s="6"/>
      <c r="I840" s="11" t="b">
        <f t="shared" si="2"/>
        <v>0</v>
      </c>
      <c r="J840" s="24"/>
      <c r="K840" s="11" t="b">
        <f t="shared" si="3"/>
        <v>0</v>
      </c>
    </row>
    <row r="841" ht="22.5" customHeight="1">
      <c r="A841" s="12">
        <f t="shared" si="4"/>
        <v>4439</v>
      </c>
      <c r="B841" s="6" t="s">
        <v>12917</v>
      </c>
      <c r="C841" s="7" t="str">
        <f t="shared" si="7"/>
        <v>🔊</v>
      </c>
      <c r="D841" s="8" t="s">
        <v>12918</v>
      </c>
      <c r="E841" s="6" t="s">
        <v>13</v>
      </c>
      <c r="F841" s="12" t="str">
        <f>IFERROR(__xludf.DUMMYFUNCTION("GOOGLETRANSLATE(B841,""zh_cn"",""vi"")"),"Lenovo")</f>
        <v>Lenovo</v>
      </c>
      <c r="G841" s="12"/>
      <c r="H841" s="6"/>
      <c r="I841" s="11" t="b">
        <f t="shared" si="2"/>
        <v>0</v>
      </c>
      <c r="J841" s="24"/>
      <c r="K841" s="11" t="b">
        <f t="shared" si="3"/>
        <v>0</v>
      </c>
    </row>
    <row r="842" ht="22.5" customHeight="1">
      <c r="A842" s="12">
        <f t="shared" si="4"/>
        <v>4440</v>
      </c>
      <c r="B842" s="6" t="s">
        <v>12919</v>
      </c>
      <c r="C842" s="7" t="str">
        <f t="shared" si="7"/>
        <v>🔊</v>
      </c>
      <c r="D842" s="8" t="s">
        <v>12920</v>
      </c>
      <c r="E842" s="6" t="s">
        <v>27</v>
      </c>
      <c r="F842" s="12" t="str">
        <f>IFERROR(__xludf.DUMMYFUNCTION("GOOGLETRANSLATE(B842,""zh_cn"",""vi"")"),"Vật liệu 1")</f>
        <v>Vật liệu 1</v>
      </c>
      <c r="G842" s="12"/>
      <c r="H842" s="6"/>
      <c r="I842" s="11" t="b">
        <f t="shared" si="2"/>
        <v>0</v>
      </c>
      <c r="J842" s="24"/>
      <c r="K842" s="11" t="b">
        <f t="shared" si="3"/>
        <v>0</v>
      </c>
    </row>
    <row r="843" ht="22.5" customHeight="1">
      <c r="A843" s="12">
        <f t="shared" si="4"/>
        <v>4441</v>
      </c>
      <c r="B843" s="6" t="s">
        <v>12921</v>
      </c>
      <c r="C843" s="7" t="str">
        <f t="shared" si="7"/>
        <v>🔊</v>
      </c>
      <c r="D843" s="8" t="s">
        <v>12920</v>
      </c>
      <c r="E843" s="6" t="s">
        <v>13</v>
      </c>
      <c r="F843" s="12" t="str">
        <f>IFERROR(__xludf.DUMMYFUNCTION("GOOGLETRANSLATE(B843,""zh_cn"",""vi"")"),"Vật liệu 2")</f>
        <v>Vật liệu 2</v>
      </c>
      <c r="G843" s="12"/>
      <c r="H843" s="6"/>
      <c r="I843" s="11" t="b">
        <f t="shared" si="2"/>
        <v>0</v>
      </c>
      <c r="J843" s="24"/>
      <c r="K843" s="11" t="b">
        <f t="shared" si="3"/>
        <v>0</v>
      </c>
    </row>
    <row r="844" ht="22.5" customHeight="1">
      <c r="A844" s="12">
        <f t="shared" si="4"/>
        <v>4442</v>
      </c>
      <c r="B844" s="6" t="s">
        <v>12922</v>
      </c>
      <c r="C844" s="7" t="str">
        <f t="shared" si="7"/>
        <v>🔊</v>
      </c>
      <c r="D844" s="8" t="s">
        <v>12923</v>
      </c>
      <c r="E844" s="6" t="s">
        <v>13</v>
      </c>
      <c r="F844" s="12" t="str">
        <f>IFERROR(__xludf.DUMMYFUNCTION("GOOGLETRANSLATE(B844,""zh_cn"",""vi"")"),"Quản lý tài chính")</f>
        <v>Quản lý tài chính</v>
      </c>
      <c r="G844" s="12"/>
      <c r="H844" s="6"/>
      <c r="I844" s="11" t="b">
        <f t="shared" si="2"/>
        <v>0</v>
      </c>
      <c r="J844" s="24"/>
      <c r="K844" s="11" t="b">
        <f t="shared" si="3"/>
        <v>0</v>
      </c>
    </row>
    <row r="845" ht="22.5" customHeight="1">
      <c r="A845" s="12">
        <f t="shared" si="4"/>
        <v>4443</v>
      </c>
      <c r="B845" s="6" t="s">
        <v>12924</v>
      </c>
      <c r="C845" s="7" t="str">
        <f t="shared" si="7"/>
        <v>🔊</v>
      </c>
      <c r="D845" s="8" t="s">
        <v>12925</v>
      </c>
      <c r="E845" s="6" t="s">
        <v>27</v>
      </c>
      <c r="F845" s="12" t="str">
        <f>IFERROR(__xludf.DUMMYFUNCTION("GOOGLETRANSLATE(B845,""zh_cn"",""vi"")"),"chức vụ")</f>
        <v>chức vụ</v>
      </c>
      <c r="G845" s="12"/>
      <c r="H845" s="6"/>
      <c r="I845" s="11" t="b">
        <f t="shared" si="2"/>
        <v>0</v>
      </c>
      <c r="J845" s="24"/>
      <c r="K845" s="11" t="b">
        <f t="shared" si="3"/>
        <v>0</v>
      </c>
    </row>
    <row r="846" ht="22.5" customHeight="1">
      <c r="A846" s="12">
        <f t="shared" si="4"/>
        <v>4444</v>
      </c>
      <c r="B846" s="6" t="s">
        <v>12926</v>
      </c>
      <c r="C846" s="7" t="str">
        <f t="shared" si="7"/>
        <v>🔊</v>
      </c>
      <c r="D846" s="8" t="s">
        <v>12927</v>
      </c>
      <c r="E846" s="6" t="s">
        <v>27</v>
      </c>
      <c r="F846" s="12" t="str">
        <f>IFERROR(__xludf.DUMMYFUNCTION("GOOGLETRANSLATE(B846,""zh_cn"",""vi"")"),"Sức mạnh")</f>
        <v>Sức mạnh</v>
      </c>
      <c r="G846" s="12"/>
      <c r="H846" s="6"/>
      <c r="I846" s="11" t="b">
        <f t="shared" si="2"/>
        <v>0</v>
      </c>
      <c r="J846" s="24"/>
      <c r="K846" s="11" t="b">
        <f t="shared" si="3"/>
        <v>0</v>
      </c>
    </row>
    <row r="847" ht="22.5" customHeight="1">
      <c r="A847" s="12">
        <f t="shared" si="4"/>
        <v>4445</v>
      </c>
      <c r="B847" s="6" t="s">
        <v>12928</v>
      </c>
      <c r="C847" s="7" t="str">
        <f t="shared" si="7"/>
        <v>🔊</v>
      </c>
      <c r="D847" s="8" t="s">
        <v>12929</v>
      </c>
      <c r="E847" s="6" t="s">
        <v>13</v>
      </c>
      <c r="F847" s="12" t="str">
        <f>IFERROR(__xludf.DUMMYFUNCTION("GOOGLETRANSLATE(B847,""zh_cn"",""vi"")"),"Kinh nghiệm")</f>
        <v>Kinh nghiệm</v>
      </c>
      <c r="G847" s="12"/>
      <c r="H847" s="6"/>
      <c r="I847" s="11" t="b">
        <f t="shared" si="2"/>
        <v>0</v>
      </c>
      <c r="J847" s="24"/>
      <c r="K847" s="11" t="b">
        <f t="shared" si="3"/>
        <v>0</v>
      </c>
    </row>
    <row r="848" ht="22.5" customHeight="1">
      <c r="A848" s="12">
        <f t="shared" si="4"/>
        <v>4446</v>
      </c>
      <c r="B848" s="6" t="s">
        <v>12930</v>
      </c>
      <c r="C848" s="7" t="str">
        <f t="shared" si="7"/>
        <v>🔊</v>
      </c>
      <c r="D848" s="8" t="s">
        <v>12931</v>
      </c>
      <c r="E848" s="6" t="s">
        <v>27</v>
      </c>
      <c r="F848" s="12" t="str">
        <f>IFERROR(__xludf.DUMMYFUNCTION("GOOGLETRANSLATE(B848,""zh_cn"",""vi"")"),"khoa học")</f>
        <v>khoa học</v>
      </c>
      <c r="G848" s="12"/>
      <c r="H848" s="6"/>
      <c r="I848" s="11" t="b">
        <f t="shared" si="2"/>
        <v>0</v>
      </c>
      <c r="J848" s="24"/>
      <c r="K848" s="11" t="b">
        <f t="shared" si="3"/>
        <v>0</v>
      </c>
    </row>
    <row r="849" ht="22.5" customHeight="1">
      <c r="A849" s="12">
        <f t="shared" si="4"/>
        <v>4447</v>
      </c>
      <c r="B849" s="6" t="s">
        <v>12932</v>
      </c>
      <c r="C849" s="7" t="str">
        <f t="shared" si="7"/>
        <v>🔊</v>
      </c>
      <c r="D849" s="8" t="s">
        <v>12933</v>
      </c>
      <c r="E849" s="6" t="s">
        <v>13</v>
      </c>
      <c r="F849" s="12" t="str">
        <f>IFERROR(__xludf.DUMMYFUNCTION("GOOGLETRANSLATE(B849,""zh_cn"",""vi"")"),"Lin")</f>
        <v>Lin</v>
      </c>
      <c r="G849" s="12"/>
      <c r="H849" s="6"/>
      <c r="I849" s="11" t="b">
        <f t="shared" si="2"/>
        <v>0</v>
      </c>
      <c r="J849" s="24"/>
      <c r="K849" s="11" t="b">
        <f t="shared" si="3"/>
        <v>0</v>
      </c>
    </row>
    <row r="850" ht="22.5" customHeight="1">
      <c r="A850" s="12">
        <f t="shared" si="4"/>
        <v>4448</v>
      </c>
      <c r="B850" s="6" t="s">
        <v>12934</v>
      </c>
      <c r="C850" s="7" t="str">
        <f t="shared" si="7"/>
        <v>🔊</v>
      </c>
      <c r="D850" s="8" t="s">
        <v>12935</v>
      </c>
      <c r="E850" s="6" t="s">
        <v>27</v>
      </c>
      <c r="F850" s="12" t="str">
        <f>IFERROR(__xludf.DUMMYFUNCTION("GOOGLETRANSLATE(B850,""zh_cn"",""vi"")"),"sáng sớm")</f>
        <v>sáng sớm</v>
      </c>
      <c r="G850" s="12"/>
      <c r="H850" s="6"/>
      <c r="I850" s="11" t="b">
        <f t="shared" si="2"/>
        <v>0</v>
      </c>
      <c r="J850" s="24"/>
      <c r="K850" s="11" t="b">
        <f t="shared" si="3"/>
        <v>0</v>
      </c>
    </row>
    <row r="851" ht="22.5" customHeight="1">
      <c r="A851" s="12">
        <f t="shared" si="4"/>
        <v>4449</v>
      </c>
      <c r="B851" s="6" t="s">
        <v>12936</v>
      </c>
      <c r="C851" s="7" t="str">
        <f t="shared" si="7"/>
        <v>🔊</v>
      </c>
      <c r="D851" s="8" t="s">
        <v>12937</v>
      </c>
      <c r="E851" s="6" t="s">
        <v>27</v>
      </c>
      <c r="F851" s="12" t="str">
        <f>IFERROR(__xludf.DUMMYFUNCTION("GOOGLETRANSLATE(B851,""zh_cn"",""vi"")"),"trong những năm qua")</f>
        <v>trong những năm qua</v>
      </c>
      <c r="G851" s="12"/>
      <c r="H851" s="6"/>
      <c r="I851" s="11" t="b">
        <f t="shared" si="2"/>
        <v>0</v>
      </c>
      <c r="J851" s="24"/>
      <c r="K851" s="11" t="b">
        <f t="shared" si="3"/>
        <v>0</v>
      </c>
    </row>
    <row r="852" ht="22.5" customHeight="1">
      <c r="A852" s="12">
        <f t="shared" si="4"/>
        <v>4450</v>
      </c>
      <c r="B852" s="6" t="s">
        <v>12938</v>
      </c>
      <c r="C852" s="7" t="str">
        <f t="shared" si="7"/>
        <v>🔊</v>
      </c>
      <c r="D852" s="8" t="s">
        <v>12939</v>
      </c>
      <c r="E852" s="6" t="s">
        <v>27</v>
      </c>
      <c r="F852" s="12" t="str">
        <f>IFERROR(__xludf.DUMMYFUNCTION("GOOGLETRANSLATE(B852,""zh_cn"",""vi"")"),"ý tưởng")</f>
        <v>ý tưởng</v>
      </c>
      <c r="G852" s="12"/>
      <c r="H852" s="6"/>
      <c r="I852" s="11" t="b">
        <f t="shared" si="2"/>
        <v>0</v>
      </c>
      <c r="J852" s="24"/>
      <c r="K852" s="11" t="b">
        <f t="shared" si="3"/>
        <v>0</v>
      </c>
    </row>
    <row r="853" ht="22.5" customHeight="1">
      <c r="A853" s="12">
        <f t="shared" si="4"/>
        <v>4451</v>
      </c>
      <c r="B853" s="6" t="s">
        <v>12940</v>
      </c>
      <c r="C853" s="7" t="str">
        <f t="shared" si="7"/>
        <v>🔊</v>
      </c>
      <c r="D853" s="8" t="s">
        <v>12941</v>
      </c>
      <c r="E853" s="6" t="s">
        <v>27</v>
      </c>
      <c r="F853" s="12" t="str">
        <f>IFERROR(__xludf.DUMMYFUNCTION("GOOGLETRANSLATE(B853,""zh_cn"",""vi"")"),"quá trình")</f>
        <v>quá trình</v>
      </c>
      <c r="G853" s="12"/>
      <c r="H853" s="6"/>
      <c r="I853" s="11" t="b">
        <f t="shared" si="2"/>
        <v>0</v>
      </c>
      <c r="J853" s="24"/>
      <c r="K853" s="11" t="b">
        <f t="shared" si="3"/>
        <v>0</v>
      </c>
    </row>
    <row r="854" ht="22.5" customHeight="1">
      <c r="A854" s="12">
        <f t="shared" si="4"/>
        <v>4452</v>
      </c>
      <c r="B854" s="6" t="s">
        <v>12942</v>
      </c>
      <c r="C854" s="7" t="str">
        <f t="shared" si="7"/>
        <v>🔊</v>
      </c>
      <c r="D854" s="8" t="s">
        <v>12943</v>
      </c>
      <c r="E854" s="6" t="s">
        <v>13</v>
      </c>
      <c r="F854" s="12" t="str">
        <f>IFERROR(__xludf.DUMMYFUNCTION("GOOGLETRANSLATE(B854,""zh_cn"",""vi"")"),"chảy")</f>
        <v>chảy</v>
      </c>
      <c r="G854" s="12"/>
      <c r="H854" s="6"/>
      <c r="I854" s="11" t="b">
        <f t="shared" si="2"/>
        <v>0</v>
      </c>
      <c r="J854" s="24"/>
      <c r="K854" s="11" t="b">
        <f t="shared" si="3"/>
        <v>0</v>
      </c>
    </row>
    <row r="855" ht="22.5" customHeight="1">
      <c r="A855" s="12">
        <f t="shared" si="4"/>
        <v>4453</v>
      </c>
      <c r="B855" s="6" t="s">
        <v>12944</v>
      </c>
      <c r="C855" s="7" t="str">
        <f t="shared" si="7"/>
        <v>🔊</v>
      </c>
      <c r="D855" s="8" t="s">
        <v>12945</v>
      </c>
      <c r="E855" s="6" t="s">
        <v>27</v>
      </c>
      <c r="F855" s="12" t="str">
        <f>IFERROR(__xludf.DUMMYFUNCTION("GOOGLETRANSLATE(B855,""zh_cn"",""vi"")"),"Trình duyệt")</f>
        <v>Trình duyệt</v>
      </c>
      <c r="G855" s="12"/>
      <c r="H855" s="6"/>
      <c r="I855" s="11" t="b">
        <f t="shared" si="2"/>
        <v>0</v>
      </c>
      <c r="J855" s="24"/>
      <c r="K855" s="11" t="b">
        <f t="shared" si="3"/>
        <v>0</v>
      </c>
    </row>
    <row r="856" ht="22.5" customHeight="1">
      <c r="A856" s="12">
        <f t="shared" si="4"/>
        <v>4454</v>
      </c>
      <c r="B856" s="6" t="s">
        <v>12946</v>
      </c>
      <c r="C856" s="7" t="str">
        <f t="shared" si="7"/>
        <v>🔊</v>
      </c>
      <c r="D856" s="8" t="s">
        <v>12947</v>
      </c>
      <c r="E856" s="6" t="s">
        <v>27</v>
      </c>
      <c r="F856" s="12" t="str">
        <f>IFERROR(__xludf.DUMMYFUNCTION("GOOGLETRANSLATE(B856,""zh_cn"",""vi"")"),"chảy")</f>
        <v>chảy</v>
      </c>
      <c r="G856" s="12"/>
      <c r="H856" s="6"/>
      <c r="I856" s="11" t="b">
        <f t="shared" si="2"/>
        <v>0</v>
      </c>
      <c r="J856" s="24"/>
      <c r="K856" s="11" t="b">
        <f t="shared" si="3"/>
        <v>0</v>
      </c>
    </row>
    <row r="857" ht="22.5" customHeight="1">
      <c r="A857" s="12">
        <f t="shared" si="4"/>
        <v>4455</v>
      </c>
      <c r="B857" s="6" t="s">
        <v>12948</v>
      </c>
      <c r="C857" s="7" t="str">
        <f t="shared" si="7"/>
        <v>🔊</v>
      </c>
      <c r="D857" s="8" t="s">
        <v>12949</v>
      </c>
      <c r="E857" s="6" t="s">
        <v>13</v>
      </c>
      <c r="F857" s="12" t="str">
        <f>IFERROR(__xludf.DUMMYFUNCTION("GOOGLETRANSLATE(B857,""zh_cn"",""vi"")"),"Dòng chảy vào")</f>
        <v>Dòng chảy vào</v>
      </c>
      <c r="G857" s="12"/>
      <c r="H857" s="6"/>
      <c r="I857" s="11" t="b">
        <f t="shared" si="2"/>
        <v>0</v>
      </c>
      <c r="J857" s="24"/>
      <c r="K857" s="11" t="b">
        <f t="shared" si="3"/>
        <v>0</v>
      </c>
    </row>
    <row r="858" ht="22.5" customHeight="1">
      <c r="A858" s="12">
        <f t="shared" si="4"/>
        <v>4456</v>
      </c>
      <c r="B858" s="6" t="s">
        <v>12950</v>
      </c>
      <c r="C858" s="7" t="str">
        <f t="shared" si="7"/>
        <v>🔊</v>
      </c>
      <c r="D858" s="8" t="s">
        <v>12951</v>
      </c>
      <c r="E858" s="6" t="s">
        <v>13</v>
      </c>
      <c r="F858" s="12" t="str">
        <f>IFERROR(__xludf.DUMMYFUNCTION("GOOGLETRANSLATE(B858,""zh_cn"",""vi"")"),"Tuần hoàn")</f>
        <v>Tuần hoàn</v>
      </c>
      <c r="G858" s="12"/>
      <c r="H858" s="6"/>
      <c r="I858" s="11" t="b">
        <f t="shared" si="2"/>
        <v>0</v>
      </c>
      <c r="J858" s="24"/>
      <c r="K858" s="11" t="b">
        <f t="shared" si="3"/>
        <v>0</v>
      </c>
    </row>
    <row r="859" ht="22.5" customHeight="1">
      <c r="A859" s="12">
        <f t="shared" si="4"/>
        <v>4457</v>
      </c>
      <c r="B859" s="6" t="s">
        <v>12952</v>
      </c>
      <c r="C859" s="7" t="str">
        <f t="shared" si="7"/>
        <v>🔊</v>
      </c>
      <c r="D859" s="8" t="s">
        <v>12953</v>
      </c>
      <c r="E859" s="6" t="s">
        <v>232</v>
      </c>
      <c r="F859" s="12" t="str">
        <f>IFERROR(__xludf.DUMMYFUNCTION("GOOGLETRANSLATE(B859,""zh_cn"",""vi"")"),"ngoại lệ")</f>
        <v>ngoại lệ</v>
      </c>
      <c r="G859" s="12"/>
      <c r="H859" s="6"/>
      <c r="I859" s="11" t="b">
        <f t="shared" si="2"/>
        <v>0</v>
      </c>
      <c r="J859" s="24"/>
      <c r="K859" s="11" t="b">
        <f t="shared" si="3"/>
        <v>0</v>
      </c>
    </row>
    <row r="860" ht="22.5" customHeight="1">
      <c r="A860" s="12">
        <f t="shared" si="4"/>
        <v>4458</v>
      </c>
      <c r="B860" s="6" t="s">
        <v>12954</v>
      </c>
      <c r="C860" s="7" t="str">
        <f t="shared" si="7"/>
        <v>🔊</v>
      </c>
      <c r="D860" s="8" t="s">
        <v>12955</v>
      </c>
      <c r="E860" s="6" t="s">
        <v>27</v>
      </c>
      <c r="F860" s="12" t="str">
        <f>IFERROR(__xludf.DUMMYFUNCTION("GOOGLETRANSLATE(B860,""zh_cn"",""vi"")"),"Quan tâm")</f>
        <v>Quan tâm</v>
      </c>
      <c r="G860" s="12"/>
      <c r="H860" s="6"/>
      <c r="I860" s="11" t="b">
        <f t="shared" si="2"/>
        <v>0</v>
      </c>
      <c r="J860" s="24"/>
      <c r="K860" s="11" t="b">
        <f t="shared" si="3"/>
        <v>0</v>
      </c>
    </row>
    <row r="861" ht="22.5" customHeight="1">
      <c r="A861" s="12">
        <f t="shared" si="4"/>
        <v>4459</v>
      </c>
      <c r="B861" s="6" t="s">
        <v>12956</v>
      </c>
      <c r="C861" s="7" t="str">
        <f t="shared" si="7"/>
        <v>🔊</v>
      </c>
      <c r="D861" s="8" t="s">
        <v>12957</v>
      </c>
      <c r="E861" s="6" t="s">
        <v>1164</v>
      </c>
      <c r="F861" s="12" t="str">
        <f>IFERROR(__xludf.DUMMYFUNCTION("GOOGLETRANSLATE(B861,""zh_cn"",""vi"")"),"lý do")</f>
        <v>lý do</v>
      </c>
      <c r="G861" s="12"/>
      <c r="H861" s="6"/>
      <c r="I861" s="11" t="b">
        <f t="shared" si="2"/>
        <v>0</v>
      </c>
      <c r="J861" s="24"/>
      <c r="K861" s="11" t="b">
        <f t="shared" si="3"/>
        <v>0</v>
      </c>
    </row>
    <row r="862" ht="22.5" customHeight="1">
      <c r="A862" s="12">
        <f t="shared" si="4"/>
        <v>4460</v>
      </c>
      <c r="B862" s="6" t="s">
        <v>12958</v>
      </c>
      <c r="C862" s="7" t="str">
        <f t="shared" si="7"/>
        <v>🔊</v>
      </c>
      <c r="D862" s="8" t="s">
        <v>8782</v>
      </c>
      <c r="E862" s="6" t="s">
        <v>13</v>
      </c>
      <c r="F862" s="12" t="str">
        <f>IFERROR(__xludf.DUMMYFUNCTION("GOOGLETRANSLATE(B862,""zh_cn"",""vi"")"),"sương")</f>
        <v>sương</v>
      </c>
      <c r="G862" s="12"/>
      <c r="H862" s="6"/>
      <c r="I862" s="11" t="b">
        <f t="shared" si="2"/>
        <v>0</v>
      </c>
      <c r="J862" s="24"/>
      <c r="K862" s="11" t="b">
        <f t="shared" si="3"/>
        <v>0</v>
      </c>
    </row>
    <row r="863" ht="22.5" customHeight="1">
      <c r="A863" s="12">
        <f t="shared" si="4"/>
        <v>4461</v>
      </c>
      <c r="B863" s="6" t="s">
        <v>12959</v>
      </c>
      <c r="C863" s="7" t="str">
        <f t="shared" si="7"/>
        <v>🔊</v>
      </c>
      <c r="D863" s="8" t="s">
        <v>12960</v>
      </c>
      <c r="E863" s="6" t="s">
        <v>27</v>
      </c>
      <c r="F863" s="12" t="str">
        <f>IFERROR(__xludf.DUMMYFUNCTION("GOOGLETRANSLATE(B863,""zh_cn"",""vi"")"),"hành lang")</f>
        <v>hành lang</v>
      </c>
      <c r="G863" s="12"/>
      <c r="H863" s="6"/>
      <c r="I863" s="11" t="b">
        <f t="shared" si="2"/>
        <v>0</v>
      </c>
      <c r="J863" s="24"/>
      <c r="K863" s="11" t="b">
        <f t="shared" si="3"/>
        <v>0</v>
      </c>
    </row>
    <row r="864" ht="22.5" customHeight="1">
      <c r="A864" s="12">
        <f t="shared" si="4"/>
        <v>4462</v>
      </c>
      <c r="B864" s="6" t="s">
        <v>12961</v>
      </c>
      <c r="C864" s="7" t="str">
        <f t="shared" si="7"/>
        <v>🔊</v>
      </c>
      <c r="D864" s="8" t="s">
        <v>12962</v>
      </c>
      <c r="E864" s="6" t="s">
        <v>27</v>
      </c>
      <c r="F864" s="12" t="str">
        <f>IFERROR(__xludf.DUMMYFUNCTION("GOOGLETRANSLATE(B864,""zh_cn"",""vi"")"),"Lỗ hổng")</f>
        <v>Lỗ hổng</v>
      </c>
      <c r="G864" s="12"/>
      <c r="H864" s="6"/>
      <c r="I864" s="11" t="b">
        <f t="shared" si="2"/>
        <v>0</v>
      </c>
      <c r="J864" s="24"/>
      <c r="K864" s="11" t="b">
        <f t="shared" si="3"/>
        <v>0</v>
      </c>
    </row>
    <row r="865" ht="22.5" customHeight="1">
      <c r="A865" s="12">
        <f t="shared" si="4"/>
        <v>4463</v>
      </c>
      <c r="B865" s="6" t="s">
        <v>12963</v>
      </c>
      <c r="C865" s="7" t="str">
        <f t="shared" si="7"/>
        <v>🔊</v>
      </c>
      <c r="D865" s="8" t="s">
        <v>1339</v>
      </c>
      <c r="E865" s="6" t="s">
        <v>13</v>
      </c>
      <c r="F865" s="12" t="str">
        <f>IFERROR(__xludf.DUMMYFUNCTION("GOOGLETRANSLATE(B865,""zh_cn"",""vi"")"),"Lu 1")</f>
        <v>Lu 1</v>
      </c>
      <c r="G865" s="12"/>
      <c r="H865" s="6"/>
      <c r="I865" s="11" t="b">
        <f t="shared" si="2"/>
        <v>0</v>
      </c>
      <c r="J865" s="24"/>
      <c r="K865" s="11" t="b">
        <f t="shared" si="3"/>
        <v>0</v>
      </c>
    </row>
    <row r="866" ht="22.5" customHeight="1">
      <c r="A866" s="12">
        <f t="shared" si="4"/>
        <v>4464</v>
      </c>
      <c r="B866" s="6" t="s">
        <v>12964</v>
      </c>
      <c r="C866" s="7" t="str">
        <f t="shared" si="7"/>
        <v>🔊</v>
      </c>
      <c r="D866" s="8" t="s">
        <v>12965</v>
      </c>
      <c r="E866" s="6" t="s">
        <v>437</v>
      </c>
      <c r="F866" s="12" t="str">
        <f>IFERROR(__xludf.DUMMYFUNCTION("GOOGLETRANSLATE(B866,""zh_cn"",""vi"")"),"Tỷ lệ")</f>
        <v>Tỷ lệ</v>
      </c>
      <c r="G866" s="12"/>
      <c r="H866" s="6"/>
      <c r="I866" s="11" t="b">
        <f t="shared" si="2"/>
        <v>0</v>
      </c>
      <c r="J866" s="24"/>
      <c r="K866" s="11" t="b">
        <f t="shared" si="3"/>
        <v>0</v>
      </c>
    </row>
    <row r="867" ht="22.5" customHeight="1">
      <c r="A867" s="12">
        <f t="shared" si="4"/>
        <v>4465</v>
      </c>
      <c r="B867" s="6" t="s">
        <v>12966</v>
      </c>
      <c r="C867" s="7" t="str">
        <f t="shared" si="7"/>
        <v>🔊</v>
      </c>
      <c r="D867" s="8" t="s">
        <v>12967</v>
      </c>
      <c r="E867" s="6" t="s">
        <v>27</v>
      </c>
      <c r="F867" s="12" t="str">
        <f>IFERROR(__xludf.DUMMYFUNCTION("GOOGLETRANSLATE(B867,""zh_cn"",""vi"")"),"hành trình")</f>
        <v>hành trình</v>
      </c>
      <c r="G867" s="12"/>
      <c r="H867" s="6"/>
      <c r="I867" s="11" t="b">
        <f t="shared" si="2"/>
        <v>0</v>
      </c>
      <c r="J867" s="24"/>
      <c r="K867" s="11" t="b">
        <f t="shared" si="3"/>
        <v>0</v>
      </c>
    </row>
    <row r="868" ht="22.5" customHeight="1">
      <c r="A868" s="12">
        <f t="shared" si="4"/>
        <v>4466</v>
      </c>
      <c r="B868" s="6" t="s">
        <v>12968</v>
      </c>
      <c r="C868" s="7" t="str">
        <f t="shared" si="7"/>
        <v>🔊</v>
      </c>
      <c r="D868" s="8" t="s">
        <v>12969</v>
      </c>
      <c r="E868" s="6" t="s">
        <v>27</v>
      </c>
      <c r="F868" s="12" t="str">
        <f>IFERROR(__xludf.DUMMYFUNCTION("GOOGLETRANSLATE(B868,""zh_cn"",""vi"")"),"hành trình")</f>
        <v>hành trình</v>
      </c>
      <c r="G868" s="12"/>
      <c r="H868" s="6"/>
      <c r="I868" s="11" t="b">
        <f t="shared" si="2"/>
        <v>0</v>
      </c>
      <c r="J868" s="24"/>
      <c r="K868" s="11" t="b">
        <f t="shared" si="3"/>
        <v>0</v>
      </c>
    </row>
    <row r="869" ht="22.5" customHeight="1">
      <c r="A869" s="12">
        <f t="shared" si="4"/>
        <v>4467</v>
      </c>
      <c r="B869" s="6" t="s">
        <v>12970</v>
      </c>
      <c r="C869" s="7" t="str">
        <f t="shared" si="7"/>
        <v>🔊</v>
      </c>
      <c r="D869" s="8" t="s">
        <v>12971</v>
      </c>
      <c r="E869" s="6" t="s">
        <v>13</v>
      </c>
      <c r="F869" s="12" t="str">
        <f>IFERROR(__xludf.DUMMYFUNCTION("GOOGLETRANSLATE(B869,""zh_cn"",""vi"")"),"Cây xanh")</f>
        <v>Cây xanh</v>
      </c>
      <c r="G869" s="12"/>
      <c r="H869" s="6"/>
      <c r="I869" s="11" t="b">
        <f t="shared" si="2"/>
        <v>0</v>
      </c>
      <c r="J869" s="24"/>
      <c r="K869" s="11" t="b">
        <f t="shared" si="3"/>
        <v>0</v>
      </c>
    </row>
    <row r="870" ht="22.5" customHeight="1">
      <c r="A870" s="12">
        <f t="shared" si="4"/>
        <v>4468</v>
      </c>
      <c r="B870" s="6" t="s">
        <v>12972</v>
      </c>
      <c r="C870" s="7" t="str">
        <f t="shared" si="7"/>
        <v>🔊</v>
      </c>
      <c r="D870" s="8" t="s">
        <v>12973</v>
      </c>
      <c r="E870" s="6" t="s">
        <v>27</v>
      </c>
      <c r="F870" s="12" t="str">
        <f>IFERROR(__xludf.DUMMYFUNCTION("GOOGLETRANSLATE(B870,""zh_cn"",""vi"")"),"Tình trạng đường xá")</f>
        <v>Tình trạng đường xá</v>
      </c>
      <c r="G870" s="12"/>
      <c r="H870" s="6"/>
      <c r="I870" s="11" t="b">
        <f t="shared" si="2"/>
        <v>0</v>
      </c>
      <c r="J870" s="24"/>
      <c r="K870" s="11" t="b">
        <f t="shared" si="3"/>
        <v>0</v>
      </c>
    </row>
    <row r="871" ht="22.5" customHeight="1">
      <c r="A871" s="12">
        <f t="shared" si="4"/>
        <v>4469</v>
      </c>
      <c r="B871" s="6" t="s">
        <v>12974</v>
      </c>
      <c r="C871" s="7" t="str">
        <f t="shared" si="7"/>
        <v>🔊</v>
      </c>
      <c r="D871" s="8" t="s">
        <v>12975</v>
      </c>
      <c r="E871" s="6" t="s">
        <v>27</v>
      </c>
      <c r="F871" s="12" t="str">
        <f>IFERROR(__xludf.DUMMYFUNCTION("GOOGLETRANSLATE(B871,""zh_cn"",""vi"")"),"vỉa hè")</f>
        <v>vỉa hè</v>
      </c>
      <c r="G871" s="12"/>
      <c r="H871" s="6"/>
      <c r="I871" s="11" t="b">
        <f t="shared" si="2"/>
        <v>0</v>
      </c>
      <c r="J871" s="24"/>
      <c r="K871" s="11" t="b">
        <f t="shared" si="3"/>
        <v>0</v>
      </c>
    </row>
    <row r="872" ht="22.5" customHeight="1">
      <c r="A872" s="12">
        <f t="shared" si="4"/>
        <v>4470</v>
      </c>
      <c r="B872" s="6" t="s">
        <v>12976</v>
      </c>
      <c r="C872" s="7" t="str">
        <f t="shared" si="7"/>
        <v>🔊</v>
      </c>
      <c r="D872" s="8" t="s">
        <v>12977</v>
      </c>
      <c r="E872" s="6" t="s">
        <v>771</v>
      </c>
      <c r="F872" s="12" t="str">
        <f>IFERROR(__xludf.DUMMYFUNCTION("GOOGLETRANSLATE(B872,""zh_cn"",""vi"")"),"bánh xe")</f>
        <v>bánh xe</v>
      </c>
      <c r="G872" s="12"/>
      <c r="H872" s="6"/>
      <c r="I872" s="11" t="b">
        <f t="shared" si="2"/>
        <v>0</v>
      </c>
      <c r="J872" s="24"/>
      <c r="K872" s="11" t="b">
        <f t="shared" si="3"/>
        <v>0</v>
      </c>
    </row>
    <row r="873" ht="22.5" customHeight="1">
      <c r="A873" s="12">
        <f t="shared" si="4"/>
        <v>4471</v>
      </c>
      <c r="B873" s="6" t="s">
        <v>12978</v>
      </c>
      <c r="C873" s="7" t="str">
        <f t="shared" si="7"/>
        <v>🔊</v>
      </c>
      <c r="D873" s="8" t="s">
        <v>12979</v>
      </c>
      <c r="E873" s="6" t="s">
        <v>27</v>
      </c>
      <c r="F873" s="12" t="str">
        <f>IFERROR(__xludf.DUMMYFUNCTION("GOOGLETRANSLATE(B873,""zh_cn"",""vi"")"),"tàu thuyền")</f>
        <v>tàu thuyền</v>
      </c>
      <c r="G873" s="12"/>
      <c r="H873" s="6"/>
      <c r="I873" s="11" t="b">
        <f t="shared" si="2"/>
        <v>0</v>
      </c>
      <c r="J873" s="24"/>
      <c r="K873" s="11" t="b">
        <f t="shared" si="3"/>
        <v>0</v>
      </c>
    </row>
    <row r="874" ht="22.5" customHeight="1">
      <c r="A874" s="12">
        <f t="shared" si="4"/>
        <v>4472</v>
      </c>
      <c r="B874" s="6" t="s">
        <v>12980</v>
      </c>
      <c r="C874" s="7" t="str">
        <f t="shared" si="7"/>
        <v>🔊</v>
      </c>
      <c r="D874" s="8" t="s">
        <v>12981</v>
      </c>
      <c r="E874" s="6" t="s">
        <v>13</v>
      </c>
      <c r="F874" s="12" t="str">
        <f>IFERROR(__xludf.DUMMYFUNCTION("GOOGLETRANSLATE(B874,""zh_cn"",""vi"")"),"xoay")</f>
        <v>xoay</v>
      </c>
      <c r="G874" s="12"/>
      <c r="H874" s="6"/>
      <c r="I874" s="11" t="b">
        <f t="shared" si="2"/>
        <v>0</v>
      </c>
      <c r="J874" s="24"/>
      <c r="K874" s="11" t="b">
        <f t="shared" si="3"/>
        <v>0</v>
      </c>
    </row>
    <row r="875" ht="22.5" customHeight="1">
      <c r="A875" s="12">
        <f t="shared" si="4"/>
        <v>4473</v>
      </c>
      <c r="B875" s="6" t="s">
        <v>12982</v>
      </c>
      <c r="C875" s="7" t="str">
        <f t="shared" si="7"/>
        <v>🔊</v>
      </c>
      <c r="D875" s="8" t="s">
        <v>12983</v>
      </c>
      <c r="E875" s="6" t="s">
        <v>27</v>
      </c>
      <c r="F875" s="12" t="str">
        <f>IFERROR(__xludf.DUMMYFUNCTION("GOOGLETRANSLATE(B875,""zh_cn"",""vi"")"),"diễn đàn")</f>
        <v>diễn đàn</v>
      </c>
      <c r="G875" s="12"/>
      <c r="H875" s="6"/>
      <c r="I875" s="11" t="b">
        <f t="shared" si="2"/>
        <v>0</v>
      </c>
      <c r="J875" s="24"/>
      <c r="K875" s="11" t="b">
        <f t="shared" si="3"/>
        <v>0</v>
      </c>
    </row>
    <row r="876" ht="22.5" customHeight="1">
      <c r="A876" s="12">
        <f t="shared" si="4"/>
        <v>4474</v>
      </c>
      <c r="B876" s="6" t="s">
        <v>12984</v>
      </c>
      <c r="C876" s="7" t="str">
        <f t="shared" si="7"/>
        <v>🔊</v>
      </c>
      <c r="D876" s="8" t="s">
        <v>12985</v>
      </c>
      <c r="E876" s="6" t="s">
        <v>27</v>
      </c>
      <c r="F876" s="12" t="str">
        <f>IFERROR(__xludf.DUMMYFUNCTION("GOOGLETRANSLATE(B876,""zh_cn"",""vi"")"),"xe lăn")</f>
        <v>xe lăn</v>
      </c>
      <c r="G876" s="12"/>
      <c r="H876" s="6"/>
      <c r="I876" s="11" t="b">
        <f t="shared" si="2"/>
        <v>0</v>
      </c>
      <c r="J876" s="24"/>
      <c r="K876" s="11" t="b">
        <f t="shared" si="3"/>
        <v>0</v>
      </c>
    </row>
    <row r="877" ht="22.5" customHeight="1">
      <c r="A877" s="12">
        <f t="shared" si="4"/>
        <v>4475</v>
      </c>
      <c r="B877" s="6" t="s">
        <v>12986</v>
      </c>
      <c r="C877" s="7" t="str">
        <f t="shared" si="7"/>
        <v>🔊</v>
      </c>
      <c r="D877" s="8" t="s">
        <v>12987</v>
      </c>
      <c r="E877" s="6" t="s">
        <v>27</v>
      </c>
      <c r="F877" s="12" t="str">
        <f>IFERROR(__xludf.DUMMYFUNCTION("GOOGLETRANSLATE(B877,""zh_cn"",""vi"")"),"bánh xe")</f>
        <v>bánh xe</v>
      </c>
      <c r="G877" s="12"/>
      <c r="H877" s="6"/>
      <c r="I877" s="11" t="b">
        <f t="shared" si="2"/>
        <v>0</v>
      </c>
      <c r="J877" s="24"/>
      <c r="K877" s="11" t="b">
        <f t="shared" si="3"/>
        <v>0</v>
      </c>
    </row>
    <row r="878" ht="22.5" customHeight="1">
      <c r="A878" s="12">
        <f t="shared" si="4"/>
        <v>4476</v>
      </c>
      <c r="B878" s="6" t="s">
        <v>12988</v>
      </c>
      <c r="C878" s="7" t="str">
        <f t="shared" si="7"/>
        <v>🔊</v>
      </c>
      <c r="D878" s="8" t="s">
        <v>12989</v>
      </c>
      <c r="E878" s="6" t="s">
        <v>13</v>
      </c>
      <c r="F878" s="12" t="str">
        <f>IFERROR(__xludf.DUMMYFUNCTION("GOOGLETRANSLATE(B878,""zh_cn"",""vi"")"),"Hạ cánh")</f>
        <v>Hạ cánh</v>
      </c>
      <c r="G878" s="12"/>
      <c r="H878" s="6"/>
      <c r="I878" s="11" t="b">
        <f t="shared" si="2"/>
        <v>0</v>
      </c>
      <c r="J878" s="24"/>
      <c r="K878" s="11" t="b">
        <f t="shared" si="3"/>
        <v>0</v>
      </c>
    </row>
    <row r="879" ht="22.5" customHeight="1">
      <c r="A879" s="12">
        <f t="shared" si="4"/>
        <v>4477</v>
      </c>
      <c r="B879" s="6" t="s">
        <v>12990</v>
      </c>
      <c r="C879" s="7" t="str">
        <f t="shared" si="7"/>
        <v>🔊</v>
      </c>
      <c r="D879" s="8" t="s">
        <v>12991</v>
      </c>
      <c r="E879" s="6" t="s">
        <v>368</v>
      </c>
      <c r="F879" s="12" t="str">
        <f>IFERROR(__xludf.DUMMYFUNCTION("GOOGLETRANSLATE(B879,""zh_cn"",""vi"")"),"phía sau")</f>
        <v>phía sau</v>
      </c>
      <c r="G879" s="12"/>
      <c r="H879" s="6"/>
      <c r="I879" s="11" t="b">
        <f t="shared" si="2"/>
        <v>0</v>
      </c>
      <c r="J879" s="24"/>
      <c r="K879" s="11" t="b">
        <f t="shared" si="3"/>
        <v>0</v>
      </c>
    </row>
    <row r="880" ht="22.5" customHeight="1">
      <c r="A880" s="12">
        <f t="shared" si="4"/>
        <v>4478</v>
      </c>
      <c r="B880" s="6" t="s">
        <v>12992</v>
      </c>
      <c r="C880" s="7" t="str">
        <f t="shared" si="7"/>
        <v>🔊</v>
      </c>
      <c r="D880" s="8" t="s">
        <v>12993</v>
      </c>
      <c r="E880" s="6" t="s">
        <v>27</v>
      </c>
      <c r="F880" s="12" t="str">
        <f>IFERROR(__xludf.DUMMYFUNCTION("GOOGLETRANSLATE(B880,""zh_cn"",""vi"")"),"Hành trình")</f>
        <v>Hành trình</v>
      </c>
      <c r="G880" s="12"/>
      <c r="H880" s="6"/>
      <c r="I880" s="11" t="b">
        <f t="shared" si="2"/>
        <v>0</v>
      </c>
      <c r="J880" s="24"/>
      <c r="K880" s="11" t="b">
        <f t="shared" si="3"/>
        <v>0</v>
      </c>
    </row>
    <row r="881" ht="22.5" customHeight="1">
      <c r="A881" s="12">
        <f t="shared" si="4"/>
        <v>4479</v>
      </c>
      <c r="B881" s="6" t="s">
        <v>12994</v>
      </c>
      <c r="C881" s="7" t="str">
        <f t="shared" si="7"/>
        <v>🔊</v>
      </c>
      <c r="D881" s="8" t="s">
        <v>12995</v>
      </c>
      <c r="E881" s="6" t="s">
        <v>232</v>
      </c>
      <c r="F881" s="12" t="str">
        <f>IFERROR(__xludf.DUMMYFUNCTION("GOOGLETRANSLATE(B881,""zh_cn"",""vi"")"),"Băng hình")</f>
        <v>Băng hình</v>
      </c>
      <c r="G881" s="12"/>
      <c r="H881" s="6"/>
      <c r="I881" s="11" t="b">
        <f t="shared" si="2"/>
        <v>0</v>
      </c>
      <c r="J881" s="24"/>
      <c r="K881" s="11" t="b">
        <f t="shared" si="3"/>
        <v>0</v>
      </c>
    </row>
    <row r="882" ht="22.5" customHeight="1">
      <c r="A882" s="12">
        <f t="shared" si="4"/>
        <v>4480</v>
      </c>
      <c r="B882" s="6" t="s">
        <v>12996</v>
      </c>
      <c r="C882" s="7" t="str">
        <f t="shared" si="7"/>
        <v>🔊</v>
      </c>
      <c r="D882" s="8" t="s">
        <v>4939</v>
      </c>
      <c r="E882" s="6" t="s">
        <v>13</v>
      </c>
      <c r="F882" s="12" t="str">
        <f>IFERROR(__xludf.DUMMYFUNCTION("GOOGLETRANSLATE(B882,""zh_cn"",""vi"")"),"hoàn thành")</f>
        <v>hoàn thành</v>
      </c>
      <c r="G882" s="12"/>
      <c r="H882" s="6"/>
      <c r="I882" s="11" t="b">
        <f t="shared" si="2"/>
        <v>0</v>
      </c>
      <c r="J882" s="24"/>
      <c r="K882" s="11" t="b">
        <f t="shared" si="3"/>
        <v>0</v>
      </c>
    </row>
    <row r="883" ht="22.5" customHeight="1">
      <c r="A883" s="12">
        <f t="shared" si="4"/>
        <v>4481</v>
      </c>
      <c r="B883" s="6" t="s">
        <v>12997</v>
      </c>
      <c r="C883" s="7" t="str">
        <f t="shared" si="7"/>
        <v>🔊</v>
      </c>
      <c r="D883" s="8" t="s">
        <v>12998</v>
      </c>
      <c r="E883" s="6" t="s">
        <v>13</v>
      </c>
      <c r="F883" s="12" t="str">
        <f>IFERROR(__xludf.DUMMYFUNCTION("GOOGLETRANSLATE(B883,""zh_cn"",""vi"")"),"Tuyển dụng")</f>
        <v>Tuyển dụng</v>
      </c>
      <c r="G883" s="12"/>
      <c r="H883" s="6"/>
      <c r="I883" s="11" t="b">
        <f t="shared" si="2"/>
        <v>0</v>
      </c>
      <c r="J883" s="24"/>
      <c r="K883" s="11" t="b">
        <f t="shared" si="3"/>
        <v>0</v>
      </c>
    </row>
    <row r="884" ht="22.5" customHeight="1">
      <c r="A884" s="12">
        <f t="shared" si="4"/>
        <v>4482</v>
      </c>
      <c r="B884" s="6" t="s">
        <v>12999</v>
      </c>
      <c r="C884" s="7" t="str">
        <f t="shared" si="7"/>
        <v>🔊</v>
      </c>
      <c r="D884" s="8" t="s">
        <v>13000</v>
      </c>
      <c r="E884" s="6" t="s">
        <v>13</v>
      </c>
      <c r="F884" s="12" t="str">
        <f>IFERROR(__xludf.DUMMYFUNCTION("GOOGLETRANSLATE(B884,""zh_cn"",""vi"")"),"Ghi âm")</f>
        <v>Ghi âm</v>
      </c>
      <c r="G884" s="12"/>
      <c r="H884" s="6"/>
      <c r="I884" s="11" t="b">
        <f t="shared" si="2"/>
        <v>0</v>
      </c>
      <c r="J884" s="24"/>
      <c r="K884" s="11" t="b">
        <f t="shared" si="3"/>
        <v>0</v>
      </c>
    </row>
    <row r="885" ht="22.5" customHeight="1">
      <c r="A885" s="12">
        <f t="shared" si="4"/>
        <v>4483</v>
      </c>
      <c r="B885" s="6" t="s">
        <v>13001</v>
      </c>
      <c r="C885" s="7" t="str">
        <f t="shared" si="7"/>
        <v>🔊</v>
      </c>
      <c r="D885" s="8" t="s">
        <v>402</v>
      </c>
      <c r="E885" s="6" t="s">
        <v>18</v>
      </c>
      <c r="F885" s="12" t="str">
        <f>IFERROR(__xludf.DUMMYFUNCTION("GOOGLETRANSLATE(B885,""zh_cn"",""vi"")"),"Tốt")</f>
        <v>Tốt</v>
      </c>
      <c r="G885" s="12"/>
      <c r="H885" s="6"/>
      <c r="I885" s="11" t="b">
        <f t="shared" si="2"/>
        <v>0</v>
      </c>
      <c r="J885" s="24"/>
      <c r="K885" s="11" t="b">
        <f t="shared" si="3"/>
        <v>0</v>
      </c>
    </row>
    <row r="886" ht="22.5" customHeight="1">
      <c r="A886" s="12">
        <f t="shared" si="4"/>
        <v>4484</v>
      </c>
      <c r="B886" s="6" t="s">
        <v>13002</v>
      </c>
      <c r="C886" s="7" t="str">
        <f t="shared" si="7"/>
        <v>🔊</v>
      </c>
      <c r="D886" s="8" t="s">
        <v>13003</v>
      </c>
      <c r="E886" s="6" t="s">
        <v>99</v>
      </c>
      <c r="F886" s="12" t="str">
        <f>IFERROR(__xludf.DUMMYFUNCTION("GOOGLETRANSLATE(B886,""zh_cn"",""vi"")"),"bất cẩn")</f>
        <v>bất cẩn</v>
      </c>
      <c r="G886" s="12"/>
      <c r="H886" s="6"/>
      <c r="I886" s="11" t="b">
        <f t="shared" si="2"/>
        <v>0</v>
      </c>
      <c r="J886" s="24"/>
      <c r="K886" s="11" t="b">
        <f t="shared" si="3"/>
        <v>0</v>
      </c>
    </row>
    <row r="887" ht="22.5" customHeight="1">
      <c r="A887" s="12">
        <f t="shared" si="4"/>
        <v>4485</v>
      </c>
      <c r="B887" s="6" t="s">
        <v>13004</v>
      </c>
      <c r="C887" s="7" t="str">
        <f t="shared" si="7"/>
        <v>🔊</v>
      </c>
      <c r="D887" s="8" t="s">
        <v>13005</v>
      </c>
      <c r="E887" s="6" t="s">
        <v>13</v>
      </c>
      <c r="F887" s="12" t="str">
        <f>IFERROR(__xludf.DUMMYFUNCTION("GOOGLETRANSLATE(B887,""zh_cn"",""vi"")"),"Chôn")</f>
        <v>Chôn</v>
      </c>
      <c r="G887" s="12"/>
      <c r="H887" s="6"/>
      <c r="I887" s="11" t="b">
        <f t="shared" si="2"/>
        <v>0</v>
      </c>
      <c r="J887" s="24"/>
      <c r="K887" s="11" t="b">
        <f t="shared" si="3"/>
        <v>0</v>
      </c>
    </row>
    <row r="888" ht="22.5" customHeight="1">
      <c r="A888" s="12">
        <f t="shared" si="4"/>
        <v>4486</v>
      </c>
      <c r="B888" s="6" t="s">
        <v>13006</v>
      </c>
      <c r="C888" s="7" t="str">
        <f t="shared" si="7"/>
        <v>🔊</v>
      </c>
      <c r="D888" s="8" t="s">
        <v>406</v>
      </c>
      <c r="E888" s="6" t="s">
        <v>13</v>
      </c>
      <c r="F888" s="12" t="str">
        <f>IFERROR(__xludf.DUMMYFUNCTION("GOOGLETRANSLATE(B888,""zh_cn"",""vi"")"),"Mai")</f>
        <v>Mai</v>
      </c>
      <c r="G888" s="12"/>
      <c r="H888" s="6"/>
      <c r="I888" s="11" t="b">
        <f t="shared" si="2"/>
        <v>0</v>
      </c>
      <c r="J888" s="24"/>
      <c r="K888" s="11" t="b">
        <f t="shared" si="3"/>
        <v>0</v>
      </c>
    </row>
    <row r="889" ht="22.5" customHeight="1">
      <c r="A889" s="12">
        <f t="shared" si="4"/>
        <v>4487</v>
      </c>
      <c r="B889" s="6" t="s">
        <v>13007</v>
      </c>
      <c r="C889" s="7" t="str">
        <f t="shared" si="7"/>
        <v>🔊</v>
      </c>
      <c r="D889" s="8" t="s">
        <v>13008</v>
      </c>
      <c r="E889" s="6" t="s">
        <v>27</v>
      </c>
      <c r="F889" s="12" t="str">
        <f>IFERROR(__xludf.DUMMYFUNCTION("GOOGLETRANSLATE(B889,""zh_cn"",""vi"")"),"micro")</f>
        <v>micro</v>
      </c>
      <c r="G889" s="12"/>
      <c r="H889" s="6"/>
      <c r="I889" s="11" t="b">
        <f t="shared" si="2"/>
        <v>0</v>
      </c>
      <c r="J889" s="24"/>
      <c r="K889" s="11" t="b">
        <f t="shared" si="3"/>
        <v>0</v>
      </c>
    </row>
    <row r="890" ht="22.5" customHeight="1">
      <c r="A890" s="12">
        <f t="shared" si="4"/>
        <v>4488</v>
      </c>
      <c r="B890" s="6" t="s">
        <v>13009</v>
      </c>
      <c r="C890" s="7" t="str">
        <f t="shared" si="7"/>
        <v>🔊</v>
      </c>
      <c r="D890" s="8" t="s">
        <v>13010</v>
      </c>
      <c r="E890" s="6" t="s">
        <v>99</v>
      </c>
      <c r="F890" s="12" t="str">
        <f>IFERROR(__xludf.DUMMYFUNCTION("GOOGLETRANSLATE(B890,""zh_cn"",""vi"")"),"Dài")</f>
        <v>Dài</v>
      </c>
      <c r="G890" s="12"/>
      <c r="H890" s="6"/>
      <c r="I890" s="11" t="b">
        <f t="shared" si="2"/>
        <v>0</v>
      </c>
      <c r="J890" s="24"/>
      <c r="K890" s="11" t="b">
        <f t="shared" si="3"/>
        <v>0</v>
      </c>
    </row>
    <row r="891" ht="22.5" customHeight="1">
      <c r="A891" s="12">
        <f t="shared" si="4"/>
        <v>4489</v>
      </c>
      <c r="B891" s="6" t="s">
        <v>13011</v>
      </c>
      <c r="C891" s="7" t="str">
        <f t="shared" si="7"/>
        <v>🔊</v>
      </c>
      <c r="D891" s="8" t="s">
        <v>13012</v>
      </c>
      <c r="E891" s="6" t="s">
        <v>27</v>
      </c>
      <c r="F891" s="12" t="str">
        <f>IFERROR(__xludf.DUMMYFUNCTION("GOOGLETRANSLATE(B891,""zh_cn"",""vi"")"),"mù")</f>
        <v>mù</v>
      </c>
      <c r="G891" s="12"/>
      <c r="H891" s="6"/>
      <c r="I891" s="11" t="b">
        <f t="shared" si="2"/>
        <v>0</v>
      </c>
      <c r="J891" s="24"/>
      <c r="K891" s="11" t="b">
        <f t="shared" si="3"/>
        <v>0</v>
      </c>
    </row>
    <row r="892" ht="22.5" customHeight="1">
      <c r="A892" s="12">
        <f t="shared" si="4"/>
        <v>4490</v>
      </c>
      <c r="B892" s="6" t="s">
        <v>13013</v>
      </c>
      <c r="C892" s="7" t="str">
        <f t="shared" si="7"/>
        <v>🔊</v>
      </c>
      <c r="D892" s="8" t="s">
        <v>13014</v>
      </c>
      <c r="E892" s="6" t="s">
        <v>27</v>
      </c>
      <c r="F892" s="12" t="str">
        <f>IFERROR(__xludf.DUMMYFUNCTION("GOOGLETRANSLATE(B892,""zh_cn"",""vi"")"),"truyện tranh")</f>
        <v>truyện tranh</v>
      </c>
      <c r="G892" s="12"/>
      <c r="H892" s="6"/>
      <c r="I892" s="11" t="b">
        <f t="shared" si="2"/>
        <v>0</v>
      </c>
      <c r="J892" s="24"/>
      <c r="K892" s="11" t="b">
        <f t="shared" si="3"/>
        <v>0</v>
      </c>
    </row>
    <row r="893" ht="22.5" customHeight="1">
      <c r="A893" s="12">
        <f t="shared" si="4"/>
        <v>4491</v>
      </c>
      <c r="B893" s="6" t="s">
        <v>13015</v>
      </c>
      <c r="C893" s="7" t="str">
        <f t="shared" si="7"/>
        <v>🔊</v>
      </c>
      <c r="D893" s="8" t="s">
        <v>13016</v>
      </c>
      <c r="E893" s="6" t="s">
        <v>13</v>
      </c>
      <c r="F893" s="12" t="str">
        <f>IFERROR(__xludf.DUMMYFUNCTION("GOOGLETRANSLATE(B893,""zh_cn"",""vi"")"),"Can đảm")</f>
        <v>Can đảm</v>
      </c>
      <c r="G893" s="12"/>
      <c r="H893" s="6"/>
      <c r="I893" s="11" t="b">
        <f t="shared" si="2"/>
        <v>0</v>
      </c>
      <c r="J893" s="24"/>
      <c r="K893" s="11" t="b">
        <f t="shared" si="3"/>
        <v>0</v>
      </c>
    </row>
    <row r="894" ht="22.5" customHeight="1">
      <c r="A894" s="12">
        <f t="shared" si="4"/>
        <v>4492</v>
      </c>
      <c r="B894" s="6" t="s">
        <v>13017</v>
      </c>
      <c r="C894" s="7" t="str">
        <f t="shared" si="7"/>
        <v>🔊</v>
      </c>
      <c r="D894" s="8" t="s">
        <v>13018</v>
      </c>
      <c r="E894" s="6" t="s">
        <v>13</v>
      </c>
      <c r="F894" s="12" t="str">
        <f>IFERROR(__xludf.DUMMYFUNCTION("GOOGLETRANSLATE(B894,""zh_cn"",""vi"")"),"cuộc phiêu lưu")</f>
        <v>cuộc phiêu lưu</v>
      </c>
      <c r="G894" s="12"/>
      <c r="H894" s="6"/>
      <c r="I894" s="11" t="b">
        <f t="shared" si="2"/>
        <v>0</v>
      </c>
      <c r="J894" s="24"/>
      <c r="K894" s="11" t="b">
        <f t="shared" si="3"/>
        <v>0</v>
      </c>
    </row>
    <row r="895" ht="22.5" customHeight="1">
      <c r="A895" s="12">
        <f t="shared" si="4"/>
        <v>4493</v>
      </c>
      <c r="B895" s="6" t="s">
        <v>13019</v>
      </c>
      <c r="C895" s="7" t="str">
        <f t="shared" si="7"/>
        <v>🔊</v>
      </c>
      <c r="D895" s="8" t="s">
        <v>13020</v>
      </c>
      <c r="E895" s="6" t="s">
        <v>27</v>
      </c>
      <c r="F895" s="12" t="str">
        <f>IFERROR(__xludf.DUMMYFUNCTION("GOOGLETRANSLATE(B895,""zh_cn"",""vi"")"),"giao dịch")</f>
        <v>giao dịch</v>
      </c>
      <c r="G895" s="12"/>
      <c r="H895" s="6"/>
      <c r="I895" s="11" t="b">
        <f t="shared" si="2"/>
        <v>0</v>
      </c>
      <c r="J895" s="24"/>
      <c r="K895" s="11" t="b">
        <f t="shared" si="3"/>
        <v>0</v>
      </c>
    </row>
    <row r="896" ht="22.5" customHeight="1">
      <c r="A896" s="12">
        <f t="shared" si="4"/>
        <v>4494</v>
      </c>
      <c r="B896" s="6" t="s">
        <v>13021</v>
      </c>
      <c r="C896" s="7" t="str">
        <f t="shared" si="7"/>
        <v>🔊</v>
      </c>
      <c r="D896" s="8" t="s">
        <v>13022</v>
      </c>
      <c r="E896" s="6" t="s">
        <v>27</v>
      </c>
      <c r="F896" s="12" t="str">
        <f>IFERROR(__xludf.DUMMYFUNCTION("GOOGLETRANSLATE(B896,""zh_cn"",""vi"")"),"đê")</f>
        <v>đê</v>
      </c>
      <c r="G896" s="12"/>
      <c r="H896" s="6"/>
      <c r="I896" s="11" t="b">
        <f t="shared" si="2"/>
        <v>0</v>
      </c>
      <c r="J896" s="24"/>
      <c r="K896" s="11" t="b">
        <f t="shared" si="3"/>
        <v>0</v>
      </c>
    </row>
    <row r="897" ht="22.5" customHeight="1">
      <c r="A897" s="12">
        <f t="shared" si="4"/>
        <v>4495</v>
      </c>
      <c r="B897" s="6" t="s">
        <v>13023</v>
      </c>
      <c r="C897" s="7" t="str">
        <f t="shared" si="7"/>
        <v>🔊</v>
      </c>
      <c r="D897" s="8" t="s">
        <v>13024</v>
      </c>
      <c r="E897" s="6" t="s">
        <v>27</v>
      </c>
      <c r="F897" s="12" t="str">
        <f>IFERROR(__xludf.DUMMYFUNCTION("GOOGLETRANSLATE(B897,""zh_cn"",""vi"")"),"Kiến")</f>
        <v>Kiến</v>
      </c>
      <c r="G897" s="12"/>
      <c r="H897" s="6"/>
      <c r="I897" s="11" t="b">
        <f t="shared" si="2"/>
        <v>0</v>
      </c>
      <c r="J897" s="24"/>
      <c r="K897" s="11" t="b">
        <f t="shared" si="3"/>
        <v>0</v>
      </c>
    </row>
    <row r="898" ht="22.5" customHeight="1">
      <c r="A898" s="12">
        <f t="shared" si="4"/>
        <v>4496</v>
      </c>
      <c r="B898" s="6" t="s">
        <v>13025</v>
      </c>
      <c r="C898" s="7" t="str">
        <f t="shared" si="7"/>
        <v>🔊</v>
      </c>
      <c r="D898" s="8" t="s">
        <v>13026</v>
      </c>
      <c r="E898" s="6" t="s">
        <v>27</v>
      </c>
      <c r="F898" s="12" t="str">
        <f>IFERROR(__xludf.DUMMYFUNCTION("GOOGLETRANSLATE(B898,""zh_cn"",""vi"")"),"than đá")</f>
        <v>than đá</v>
      </c>
      <c r="G898" s="12"/>
      <c r="H898" s="6"/>
      <c r="I898" s="11" t="b">
        <f t="shared" si="2"/>
        <v>0</v>
      </c>
      <c r="J898" s="24"/>
      <c r="K898" s="11" t="b">
        <f t="shared" si="3"/>
        <v>0</v>
      </c>
    </row>
    <row r="899" ht="22.5" customHeight="1">
      <c r="A899" s="12">
        <f t="shared" si="4"/>
        <v>4497</v>
      </c>
      <c r="B899" s="6" t="s">
        <v>13027</v>
      </c>
      <c r="C899" s="7" t="str">
        <f t="shared" si="7"/>
        <v>🔊</v>
      </c>
      <c r="D899" s="8" t="s">
        <v>13028</v>
      </c>
      <c r="E899" s="6" t="s">
        <v>99</v>
      </c>
      <c r="F899" s="12" t="str">
        <f>IFERROR(__xludf.DUMMYFUNCTION("GOOGLETRANSLATE(B899,""zh_cn"",""vi"")"),"Đẹp mắt")</f>
        <v>Đẹp mắt</v>
      </c>
      <c r="G899" s="12"/>
      <c r="H899" s="6"/>
      <c r="I899" s="11" t="b">
        <f t="shared" si="2"/>
        <v>0</v>
      </c>
      <c r="J899" s="24"/>
      <c r="K899" s="11" t="b">
        <f t="shared" si="3"/>
        <v>0</v>
      </c>
    </row>
    <row r="900" ht="22.5" customHeight="1">
      <c r="A900" s="12">
        <f t="shared" si="4"/>
        <v>4498</v>
      </c>
      <c r="B900" s="6" t="s">
        <v>13029</v>
      </c>
      <c r="C900" s="7" t="str">
        <f t="shared" si="7"/>
        <v>🔊</v>
      </c>
      <c r="D900" s="8" t="s">
        <v>13030</v>
      </c>
      <c r="E900" s="6" t="s">
        <v>27</v>
      </c>
      <c r="F900" s="12" t="str">
        <f>IFERROR(__xludf.DUMMYFUNCTION("GOOGLETRANSLATE(B900,""zh_cn"",""vi"")"),"quả mận ngực")</f>
        <v>quả mận ngực</v>
      </c>
      <c r="G900" s="12"/>
      <c r="H900" s="6"/>
      <c r="I900" s="11" t="b">
        <f t="shared" si="2"/>
        <v>0</v>
      </c>
      <c r="J900" s="24"/>
      <c r="K900" s="11" t="b">
        <f t="shared" si="3"/>
        <v>0</v>
      </c>
    </row>
    <row r="901" ht="22.5" customHeight="1">
      <c r="A901" s="12">
        <f t="shared" si="4"/>
        <v>4499</v>
      </c>
      <c r="B901" s="6" t="s">
        <v>13031</v>
      </c>
      <c r="C901" s="7" t="str">
        <f t="shared" si="7"/>
        <v>🔊</v>
      </c>
      <c r="D901" s="8" t="s">
        <v>13032</v>
      </c>
      <c r="E901" s="6" t="s">
        <v>27</v>
      </c>
      <c r="F901" s="12" t="str">
        <f>IFERROR(__xludf.DUMMYFUNCTION("GOOGLETRANSLATE(B901,""zh_cn"",""vi"")"),"Lông mày")</f>
        <v>Lông mày</v>
      </c>
      <c r="G901" s="12"/>
      <c r="H901" s="6"/>
      <c r="I901" s="11" t="b">
        <f t="shared" si="2"/>
        <v>0</v>
      </c>
      <c r="J901" s="24"/>
      <c r="K901" s="11" t="b">
        <f t="shared" si="3"/>
        <v>0</v>
      </c>
    </row>
    <row r="902" ht="22.5" customHeight="1">
      <c r="A902" s="12">
        <f t="shared" si="4"/>
        <v>4500</v>
      </c>
      <c r="B902" s="6" t="s">
        <v>13033</v>
      </c>
      <c r="C902" s="7" t="str">
        <f t="shared" si="7"/>
        <v>🔊</v>
      </c>
      <c r="D902" s="8" t="s">
        <v>13034</v>
      </c>
      <c r="E902" s="6" t="s">
        <v>99</v>
      </c>
      <c r="F902" s="12" t="str">
        <f>IFERROR(__xludf.DUMMYFUNCTION("GOOGLETRANSLATE(B902,""zh_cn"",""vi"")"),"dày đặc")</f>
        <v>dày đặc</v>
      </c>
      <c r="G902" s="12"/>
      <c r="H902" s="6"/>
      <c r="I902" s="11" t="b">
        <f t="shared" si="2"/>
        <v>0</v>
      </c>
      <c r="J902" s="24"/>
      <c r="K902" s="11" t="b">
        <f t="shared" si="3"/>
        <v>0</v>
      </c>
    </row>
    <row r="903" ht="22.5" customHeight="1">
      <c r="A903" s="12">
        <f t="shared" si="4"/>
        <v>4501</v>
      </c>
      <c r="B903" s="6" t="s">
        <v>13035</v>
      </c>
      <c r="C903" s="7" t="str">
        <f t="shared" si="7"/>
        <v>🔊</v>
      </c>
      <c r="D903" s="8" t="s">
        <v>13036</v>
      </c>
      <c r="E903" s="6" t="s">
        <v>27</v>
      </c>
      <c r="F903" s="12" t="str">
        <f>IFERROR(__xludf.DUMMYFUNCTION("GOOGLETRANSLATE(B903,""zh_cn"",""vi"")"),"bông")</f>
        <v>bông</v>
      </c>
      <c r="G903" s="12"/>
      <c r="H903" s="6"/>
      <c r="I903" s="11" t="b">
        <f t="shared" si="2"/>
        <v>0</v>
      </c>
      <c r="J903" s="24"/>
      <c r="K903" s="11" t="b">
        <f t="shared" si="3"/>
        <v>0</v>
      </c>
    </row>
    <row r="904" ht="22.5" customHeight="1">
      <c r="A904" s="12">
        <f t="shared" si="4"/>
        <v>4502</v>
      </c>
      <c r="B904" s="6" t="s">
        <v>13037</v>
      </c>
      <c r="C904" s="7" t="str">
        <f t="shared" si="7"/>
        <v>🔊</v>
      </c>
      <c r="D904" s="8" t="s">
        <v>13038</v>
      </c>
      <c r="E904" s="6" t="s">
        <v>13</v>
      </c>
      <c r="F904" s="12" t="str">
        <f>IFERROR(__xludf.DUMMYFUNCTION("GOOGLETRANSLATE(B904,""zh_cn"",""vi"")"),"miễn trừ")</f>
        <v>miễn trừ</v>
      </c>
      <c r="G904" s="12"/>
      <c r="H904" s="6"/>
      <c r="I904" s="11" t="b">
        <f t="shared" si="2"/>
        <v>0</v>
      </c>
      <c r="J904" s="24"/>
      <c r="K904" s="11" t="b">
        <f t="shared" si="3"/>
        <v>0</v>
      </c>
    </row>
    <row r="905" ht="22.5" customHeight="1">
      <c r="A905" s="12">
        <f t="shared" si="4"/>
        <v>4503</v>
      </c>
      <c r="B905" s="6" t="s">
        <v>13039</v>
      </c>
      <c r="C905" s="7" t="str">
        <f t="shared" si="7"/>
        <v>🔊</v>
      </c>
      <c r="D905" s="8" t="s">
        <v>13040</v>
      </c>
      <c r="E905" s="6" t="s">
        <v>27</v>
      </c>
      <c r="F905" s="12" t="str">
        <f>IFERROR(__xludf.DUMMYFUNCTION("GOOGLETRANSLATE(B905,""zh_cn"",""vi"")"),"khuôn mặt")</f>
        <v>khuôn mặt</v>
      </c>
      <c r="G905" s="12"/>
      <c r="H905" s="6"/>
      <c r="I905" s="11" t="b">
        <f t="shared" si="2"/>
        <v>0</v>
      </c>
      <c r="J905" s="24"/>
      <c r="K905" s="11" t="b">
        <f t="shared" si="3"/>
        <v>0</v>
      </c>
    </row>
    <row r="906" ht="22.5" customHeight="1">
      <c r="A906" s="12">
        <f t="shared" si="4"/>
        <v>4504</v>
      </c>
      <c r="B906" s="6" t="s">
        <v>13041</v>
      </c>
      <c r="C906" s="7" t="str">
        <f t="shared" si="7"/>
        <v>🔊</v>
      </c>
      <c r="D906" s="8" t="s">
        <v>13042</v>
      </c>
      <c r="E906" s="6" t="s">
        <v>27</v>
      </c>
      <c r="F906" s="12" t="str">
        <f>IFERROR(__xludf.DUMMYFUNCTION("GOOGLETRANSLATE(B906,""zh_cn"",""vi"")"),"bột mì")</f>
        <v>bột mì</v>
      </c>
      <c r="G906" s="12"/>
      <c r="H906" s="6"/>
      <c r="I906" s="11" t="b">
        <f t="shared" si="2"/>
        <v>0</v>
      </c>
      <c r="J906" s="24"/>
      <c r="K906" s="11" t="b">
        <f t="shared" si="3"/>
        <v>0</v>
      </c>
    </row>
    <row r="907" ht="22.5" customHeight="1">
      <c r="A907" s="12">
        <f t="shared" si="4"/>
        <v>4505</v>
      </c>
      <c r="B907" s="6" t="s">
        <v>13043</v>
      </c>
      <c r="C907" s="7" t="str">
        <f t="shared" si="7"/>
        <v>🔊</v>
      </c>
      <c r="D907" s="8" t="s">
        <v>13044</v>
      </c>
      <c r="E907" s="6" t="s">
        <v>416</v>
      </c>
      <c r="F907" s="12" t="str">
        <f>IFERROR(__xludf.DUMMYFUNCTION("GOOGLETRANSLATE(B907,""zh_cn"",""vi"")"),"miễn cưỡng")</f>
        <v>miễn cưỡng</v>
      </c>
      <c r="G907" s="12"/>
      <c r="H907" s="6"/>
      <c r="I907" s="11" t="b">
        <f t="shared" si="2"/>
        <v>0</v>
      </c>
      <c r="J907" s="24"/>
      <c r="K907" s="11" t="b">
        <f t="shared" si="3"/>
        <v>0</v>
      </c>
    </row>
    <row r="908" ht="22.5" customHeight="1">
      <c r="A908" s="12">
        <f t="shared" si="4"/>
        <v>4506</v>
      </c>
      <c r="B908" s="6" t="s">
        <v>13045</v>
      </c>
      <c r="C908" s="7" t="str">
        <f t="shared" si="7"/>
        <v>🔊</v>
      </c>
      <c r="D908" s="8" t="s">
        <v>13046</v>
      </c>
      <c r="E908" s="6" t="s">
        <v>13</v>
      </c>
      <c r="F908" s="12" t="str">
        <f>IFERROR(__xludf.DUMMYFUNCTION("GOOGLETRANSLATE(B908,""zh_cn"",""vi"")"),"miễn thuế")</f>
        <v>miễn thuế</v>
      </c>
      <c r="G908" s="12"/>
      <c r="H908" s="6"/>
      <c r="I908" s="11" t="b">
        <f t="shared" si="2"/>
        <v>0</v>
      </c>
      <c r="J908" s="24"/>
      <c r="K908" s="11" t="b">
        <f t="shared" si="3"/>
        <v>0</v>
      </c>
    </row>
    <row r="909" ht="22.5" customHeight="1">
      <c r="A909" s="12">
        <f t="shared" si="4"/>
        <v>4507</v>
      </c>
      <c r="B909" s="6" t="s">
        <v>13047</v>
      </c>
      <c r="C909" s="7" t="str">
        <f t="shared" si="7"/>
        <v>🔊</v>
      </c>
      <c r="D909" s="8" t="s">
        <v>13048</v>
      </c>
      <c r="E909" s="6" t="s">
        <v>13</v>
      </c>
      <c r="F909" s="12" t="str">
        <f>IFERROR(__xludf.DUMMYFUNCTION("GOOGLETRANSLATE(B909,""zh_cn"",""vi"")"),"miễn dịch")</f>
        <v>miễn dịch</v>
      </c>
      <c r="G909" s="12"/>
      <c r="H909" s="6"/>
      <c r="I909" s="11" t="b">
        <f t="shared" si="2"/>
        <v>0</v>
      </c>
      <c r="J909" s="24"/>
      <c r="K909" s="11" t="b">
        <f t="shared" si="3"/>
        <v>0</v>
      </c>
    </row>
    <row r="910" ht="22.5" customHeight="1">
      <c r="A910" s="12">
        <f t="shared" si="4"/>
        <v>4508</v>
      </c>
      <c r="B910" s="6" t="s">
        <v>13049</v>
      </c>
      <c r="C910" s="7" t="str">
        <f t="shared" si="7"/>
        <v>🔊</v>
      </c>
      <c r="D910" s="8" t="s">
        <v>13050</v>
      </c>
      <c r="E910" s="6" t="s">
        <v>27</v>
      </c>
      <c r="F910" s="12" t="str">
        <f>IFERROR(__xludf.DUMMYFUNCTION("GOOGLETRANSLATE(B910,""zh_cn"",""vi"")"),"khuôn mặt")</f>
        <v>khuôn mặt</v>
      </c>
      <c r="G910" s="12"/>
      <c r="H910" s="6"/>
      <c r="I910" s="11" t="b">
        <f t="shared" si="2"/>
        <v>0</v>
      </c>
      <c r="J910" s="24"/>
      <c r="K910" s="11" t="b">
        <f t="shared" si="3"/>
        <v>0</v>
      </c>
    </row>
    <row r="911" ht="22.5" customHeight="1">
      <c r="A911" s="12">
        <f t="shared" si="4"/>
        <v>4509</v>
      </c>
      <c r="B911" s="6" t="s">
        <v>13051</v>
      </c>
      <c r="C911" s="7" t="str">
        <f t="shared" si="7"/>
        <v>🔊</v>
      </c>
      <c r="D911" s="8" t="s">
        <v>13052</v>
      </c>
      <c r="E911" s="6" t="s">
        <v>99</v>
      </c>
      <c r="F911" s="12" t="str">
        <f>IFERROR(__xludf.DUMMYFUNCTION("GOOGLETRANSLATE(B911,""zh_cn"",""vi"")"),"tuyệt vời")</f>
        <v>tuyệt vời</v>
      </c>
      <c r="G911" s="12"/>
      <c r="H911" s="6"/>
      <c r="I911" s="11" t="b">
        <f t="shared" si="2"/>
        <v>0</v>
      </c>
      <c r="J911" s="24"/>
      <c r="K911" s="11" t="b">
        <f t="shared" si="3"/>
        <v>0</v>
      </c>
    </row>
    <row r="912" ht="22.5" customHeight="1">
      <c r="A912" s="12">
        <f t="shared" si="4"/>
        <v>4510</v>
      </c>
      <c r="B912" s="6" t="s">
        <v>13053</v>
      </c>
      <c r="C912" s="7" t="str">
        <f t="shared" si="7"/>
        <v>🔊</v>
      </c>
      <c r="D912" s="8" t="s">
        <v>13054</v>
      </c>
      <c r="E912" s="6" t="s">
        <v>13</v>
      </c>
      <c r="F912" s="12" t="str">
        <f>IFERROR(__xludf.DUMMYFUNCTION("GOOGLETRANSLATE(B912,""zh_cn"",""vi"")"),"Mô tả")</f>
        <v>Mô tả</v>
      </c>
      <c r="G912" s="12"/>
      <c r="H912" s="6"/>
      <c r="I912" s="11" t="b">
        <f t="shared" si="2"/>
        <v>0</v>
      </c>
      <c r="J912" s="24"/>
      <c r="K912" s="11" t="b">
        <f t="shared" si="3"/>
        <v>0</v>
      </c>
    </row>
    <row r="913" ht="22.5" customHeight="1">
      <c r="A913" s="12">
        <f t="shared" si="4"/>
        <v>4511</v>
      </c>
      <c r="B913" s="6" t="s">
        <v>13055</v>
      </c>
      <c r="C913" s="7" t="str">
        <f t="shared" si="7"/>
        <v>🔊</v>
      </c>
      <c r="D913" s="8" t="s">
        <v>13056</v>
      </c>
      <c r="E913" s="6" t="s">
        <v>13</v>
      </c>
      <c r="F913" s="12" t="str">
        <f>IFERROR(__xludf.DUMMYFUNCTION("GOOGLETRANSLATE(B913,""zh_cn"",""vi"")"),"Sự miêu tả")</f>
        <v>Sự miêu tả</v>
      </c>
      <c r="G913" s="12"/>
      <c r="H913" s="6"/>
      <c r="I913" s="11" t="b">
        <f t="shared" si="2"/>
        <v>0</v>
      </c>
      <c r="J913" s="24"/>
      <c r="K913" s="11" t="b">
        <f t="shared" si="3"/>
        <v>0</v>
      </c>
    </row>
    <row r="914" ht="22.5" customHeight="1">
      <c r="A914" s="12">
        <f t="shared" si="4"/>
        <v>4512</v>
      </c>
      <c r="B914" s="6" t="s">
        <v>13057</v>
      </c>
      <c r="C914" s="7" t="str">
        <f t="shared" si="7"/>
        <v>🔊</v>
      </c>
      <c r="D914" s="8" t="s">
        <v>13058</v>
      </c>
      <c r="E914" s="6" t="s">
        <v>13</v>
      </c>
      <c r="F914" s="12" t="str">
        <f>IFERROR(__xludf.DUMMYFUNCTION("GOOGLETRANSLATE(B914,""zh_cn"",""vi"")"),"trang điểm")</f>
        <v>trang điểm</v>
      </c>
      <c r="G914" s="12"/>
      <c r="H914" s="6"/>
      <c r="I914" s="11" t="b">
        <f t="shared" si="2"/>
        <v>0</v>
      </c>
      <c r="J914" s="24"/>
      <c r="K914" s="11" t="b">
        <f t="shared" si="3"/>
        <v>0</v>
      </c>
    </row>
    <row r="915" ht="22.5" customHeight="1">
      <c r="A915" s="12">
        <f t="shared" si="4"/>
        <v>4513</v>
      </c>
      <c r="B915" s="6" t="s">
        <v>13059</v>
      </c>
      <c r="C915" s="7" t="str">
        <f t="shared" si="7"/>
        <v>🔊</v>
      </c>
      <c r="D915" s="8" t="s">
        <v>13060</v>
      </c>
      <c r="E915" s="6" t="s">
        <v>27</v>
      </c>
      <c r="F915" s="12" t="str">
        <f>IFERROR(__xludf.DUMMYFUNCTION("GOOGLETRANSLATE(B915,""zh_cn"",""vi"")"),"Tỉ trọng")</f>
        <v>Tỉ trọng</v>
      </c>
      <c r="G915" s="12"/>
      <c r="H915" s="6"/>
      <c r="I915" s="11" t="b">
        <f t="shared" si="2"/>
        <v>0</v>
      </c>
      <c r="J915" s="24"/>
      <c r="K915" s="11" t="b">
        <f t="shared" si="3"/>
        <v>0</v>
      </c>
    </row>
    <row r="916" ht="22.5" customHeight="1">
      <c r="A916" s="12">
        <f t="shared" si="4"/>
        <v>4514</v>
      </c>
      <c r="B916" s="6" t="s">
        <v>13061</v>
      </c>
      <c r="C916" s="7" t="str">
        <f t="shared" si="7"/>
        <v>🔊</v>
      </c>
      <c r="D916" s="8" t="s">
        <v>13062</v>
      </c>
      <c r="E916" s="6" t="s">
        <v>13</v>
      </c>
      <c r="F916" s="12" t="str">
        <f>IFERROR(__xludf.DUMMYFUNCTION("GOOGLETRANSLATE(B916,""zh_cn"",""vi"")"),"Sự tuyệt chủng")</f>
        <v>Sự tuyệt chủng</v>
      </c>
      <c r="G916" s="12"/>
      <c r="H916" s="6"/>
      <c r="I916" s="11" t="b">
        <f t="shared" si="2"/>
        <v>0</v>
      </c>
      <c r="J916" s="24"/>
      <c r="K916" s="11" t="b">
        <f t="shared" si="3"/>
        <v>0</v>
      </c>
    </row>
    <row r="917" ht="22.5" customHeight="1">
      <c r="A917" s="12">
        <f t="shared" si="4"/>
        <v>4515</v>
      </c>
      <c r="B917" s="6" t="s">
        <v>13063</v>
      </c>
      <c r="C917" s="7" t="str">
        <f t="shared" si="7"/>
        <v>🔊</v>
      </c>
      <c r="D917" s="8" t="s">
        <v>13064</v>
      </c>
      <c r="E917" s="6" t="s">
        <v>27</v>
      </c>
      <c r="F917" s="12" t="str">
        <f>IFERROR(__xludf.DUMMYFUNCTION("GOOGLETRANSLATE(B917,""zh_cn"",""vi"")"),"con ong")</f>
        <v>con ong</v>
      </c>
      <c r="G917" s="12"/>
      <c r="H917" s="6"/>
      <c r="I917" s="11" t="b">
        <f t="shared" si="2"/>
        <v>0</v>
      </c>
      <c r="J917" s="24"/>
      <c r="K917" s="11" t="b">
        <f t="shared" si="3"/>
        <v>0</v>
      </c>
    </row>
    <row r="918" ht="22.5" customHeight="1">
      <c r="A918" s="12">
        <f t="shared" si="4"/>
        <v>4516</v>
      </c>
      <c r="B918" s="6" t="s">
        <v>13065</v>
      </c>
      <c r="C918" s="7" t="str">
        <f t="shared" si="7"/>
        <v>🔊</v>
      </c>
      <c r="D918" s="8" t="s">
        <v>13066</v>
      </c>
      <c r="E918" s="6" t="s">
        <v>368</v>
      </c>
      <c r="F918" s="12" t="str">
        <f>IFERROR(__xludf.DUMMYFUNCTION("GOOGLETRANSLATE(B918,""zh_cn"",""vi"")"),"dày đặc")</f>
        <v>dày đặc</v>
      </c>
      <c r="G918" s="12"/>
      <c r="H918" s="6"/>
      <c r="I918" s="11" t="b">
        <f t="shared" si="2"/>
        <v>0</v>
      </c>
      <c r="J918" s="24"/>
      <c r="K918" s="11" t="b">
        <f t="shared" si="3"/>
        <v>0</v>
      </c>
    </row>
    <row r="919" ht="22.5" customHeight="1">
      <c r="A919" s="12">
        <f t="shared" si="4"/>
        <v>4517</v>
      </c>
      <c r="B919" s="6" t="s">
        <v>13067</v>
      </c>
      <c r="C919" s="7" t="str">
        <f t="shared" si="7"/>
        <v>🔊</v>
      </c>
      <c r="D919" s="8" t="s">
        <v>13068</v>
      </c>
      <c r="E919" s="6" t="s">
        <v>27</v>
      </c>
      <c r="F919" s="12" t="str">
        <f>IFERROR(__xludf.DUMMYFUNCTION("GOOGLETRANSLATE(B919,""zh_cn"",""vi"")"),"Hạn ngạch")</f>
        <v>Hạn ngạch</v>
      </c>
      <c r="G919" s="12"/>
      <c r="H919" s="6"/>
      <c r="I919" s="11" t="b">
        <f t="shared" si="2"/>
        <v>0</v>
      </c>
      <c r="J919" s="24"/>
      <c r="K919" s="11" t="b">
        <f t="shared" si="3"/>
        <v>0</v>
      </c>
    </row>
    <row r="920" ht="22.5" customHeight="1">
      <c r="A920" s="12">
        <f t="shared" si="4"/>
        <v>4518</v>
      </c>
      <c r="B920" s="6" t="s">
        <v>13069</v>
      </c>
      <c r="C920" s="7" t="str">
        <f t="shared" si="7"/>
        <v>🔊</v>
      </c>
      <c r="D920" s="8" t="s">
        <v>13070</v>
      </c>
      <c r="E920" s="6" t="s">
        <v>27</v>
      </c>
      <c r="F920" s="12" t="str">
        <f>IFERROR(__xludf.DUMMYFUNCTION("GOOGLETRANSLATE(B920,""zh_cn"",""vi"")"),"bài hát dân ca")</f>
        <v>bài hát dân ca</v>
      </c>
      <c r="G920" s="12"/>
      <c r="H920" s="6"/>
      <c r="I920" s="11" t="b">
        <f t="shared" si="2"/>
        <v>0</v>
      </c>
      <c r="J920" s="24"/>
      <c r="K920" s="11" t="b">
        <f t="shared" si="3"/>
        <v>0</v>
      </c>
    </row>
    <row r="921" ht="22.5" customHeight="1">
      <c r="A921" s="12">
        <f t="shared" si="4"/>
        <v>4519</v>
      </c>
      <c r="B921" s="6" t="s">
        <v>13071</v>
      </c>
      <c r="C921" s="7" t="str">
        <f t="shared" si="7"/>
        <v>🔊</v>
      </c>
      <c r="D921" s="8" t="s">
        <v>13072</v>
      </c>
      <c r="E921" s="6" t="s">
        <v>99</v>
      </c>
      <c r="F921" s="12" t="str">
        <f>IFERROR(__xludf.DUMMYFUNCTION("GOOGLETRANSLATE(B921,""zh_cn"",""vi"")"),"Sáng")</f>
        <v>Sáng</v>
      </c>
      <c r="G921" s="12"/>
      <c r="H921" s="6"/>
      <c r="I921" s="11" t="b">
        <f t="shared" si="2"/>
        <v>0</v>
      </c>
      <c r="J921" s="24"/>
      <c r="K921" s="11" t="b">
        <f t="shared" si="3"/>
        <v>0</v>
      </c>
    </row>
    <row r="922" ht="22.5" customHeight="1">
      <c r="A922" s="12">
        <f t="shared" si="4"/>
        <v>4520</v>
      </c>
      <c r="B922" s="6" t="s">
        <v>13073</v>
      </c>
      <c r="C922" s="7" t="str">
        <f t="shared" si="7"/>
        <v>🔊</v>
      </c>
      <c r="D922" s="8" t="s">
        <v>13074</v>
      </c>
      <c r="E922" s="6" t="s">
        <v>232</v>
      </c>
      <c r="F922" s="12" t="str">
        <f>IFERROR(__xludf.DUMMYFUNCTION("GOOGLETRANSLATE(B922,""zh_cn"",""vi"")"),"Đặt hàng")</f>
        <v>Đặt hàng</v>
      </c>
      <c r="G922" s="12"/>
      <c r="H922" s="6"/>
      <c r="I922" s="11" t="b">
        <f t="shared" si="2"/>
        <v>0</v>
      </c>
      <c r="J922" s="24"/>
      <c r="K922" s="11" t="b">
        <f t="shared" si="3"/>
        <v>0</v>
      </c>
    </row>
    <row r="923" ht="22.5" customHeight="1">
      <c r="A923" s="12">
        <f t="shared" si="4"/>
        <v>4521</v>
      </c>
      <c r="B923" s="6" t="s">
        <v>13075</v>
      </c>
      <c r="C923" s="7" t="str">
        <f t="shared" si="7"/>
        <v>🔊</v>
      </c>
      <c r="D923" s="8" t="s">
        <v>13076</v>
      </c>
      <c r="E923" s="6" t="s">
        <v>61</v>
      </c>
      <c r="F923" s="12" t="str">
        <f>IFERROR(__xludf.DUMMYFUNCTION("GOOGLETRANSLATE(B923,""zh_cn"",""vi"")"),"Minh Minh")</f>
        <v>Minh Minh</v>
      </c>
      <c r="G923" s="12"/>
      <c r="H923" s="6"/>
      <c r="I923" s="11" t="b">
        <f t="shared" si="2"/>
        <v>0</v>
      </c>
      <c r="J923" s="24"/>
      <c r="K923" s="11" t="b">
        <f t="shared" si="3"/>
        <v>0</v>
      </c>
    </row>
    <row r="924" ht="22.5" customHeight="1">
      <c r="A924" s="12">
        <f t="shared" si="4"/>
        <v>4522</v>
      </c>
      <c r="B924" s="6" t="s">
        <v>13077</v>
      </c>
      <c r="C924" s="7" t="str">
        <f t="shared" si="7"/>
        <v>🔊</v>
      </c>
      <c r="D924" s="8" t="s">
        <v>13078</v>
      </c>
      <c r="E924" s="6" t="s">
        <v>13</v>
      </c>
      <c r="F924" s="12" t="str">
        <f>IFERROR(__xludf.DUMMYFUNCTION("GOOGLETRANSLATE(B924,""zh_cn"",""vi"")"),"tên")</f>
        <v>tên</v>
      </c>
      <c r="G924" s="12"/>
      <c r="H924" s="6"/>
      <c r="I924" s="11" t="b">
        <f t="shared" si="2"/>
        <v>0</v>
      </c>
      <c r="J924" s="24"/>
      <c r="K924" s="11" t="b">
        <f t="shared" si="3"/>
        <v>0</v>
      </c>
    </row>
    <row r="925" ht="22.5" customHeight="1">
      <c r="A925" s="12">
        <f t="shared" si="4"/>
        <v>4523</v>
      </c>
      <c r="B925" s="6" t="s">
        <v>13079</v>
      </c>
      <c r="C925" s="7" t="str">
        <f t="shared" si="7"/>
        <v>🔊</v>
      </c>
      <c r="D925" s="8" t="s">
        <v>13080</v>
      </c>
      <c r="E925" s="6" t="s">
        <v>27</v>
      </c>
      <c r="F925" s="12" t="str">
        <f>IFERROR(__xludf.DUMMYFUNCTION("GOOGLETRANSLATE(B925,""zh_cn"",""vi"")"),"danh tiếng")</f>
        <v>danh tiếng</v>
      </c>
      <c r="G925" s="12"/>
      <c r="H925" s="6"/>
      <c r="I925" s="11" t="b">
        <f t="shared" si="2"/>
        <v>0</v>
      </c>
      <c r="J925" s="24"/>
      <c r="K925" s="11" t="b">
        <f t="shared" si="3"/>
        <v>0</v>
      </c>
    </row>
    <row r="926" ht="22.5" customHeight="1">
      <c r="A926" s="12">
        <f t="shared" si="4"/>
        <v>4524</v>
      </c>
      <c r="B926" s="6" t="s">
        <v>13081</v>
      </c>
      <c r="C926" s="7" t="str">
        <f t="shared" si="7"/>
        <v>🔊</v>
      </c>
      <c r="D926" s="8" t="s">
        <v>13082</v>
      </c>
      <c r="E926" s="6" t="s">
        <v>27</v>
      </c>
      <c r="F926" s="12" t="str">
        <f>IFERROR(__xludf.DUMMYFUNCTION("GOOGLETRANSLATE(B926,""zh_cn"",""vi"")"),"Địa điểm danh lam thắng cảnh")</f>
        <v>Địa điểm danh lam thắng cảnh</v>
      </c>
      <c r="G926" s="12"/>
      <c r="H926" s="6"/>
      <c r="I926" s="11" t="b">
        <f t="shared" si="2"/>
        <v>0</v>
      </c>
      <c r="J926" s="24"/>
      <c r="K926" s="11" t="b">
        <f t="shared" si="3"/>
        <v>0</v>
      </c>
    </row>
    <row r="927" ht="22.5" customHeight="1">
      <c r="A927" s="12">
        <f t="shared" si="4"/>
        <v>4525</v>
      </c>
      <c r="B927" s="6" t="s">
        <v>13083</v>
      </c>
      <c r="C927" s="7" t="str">
        <f t="shared" si="7"/>
        <v>🔊</v>
      </c>
      <c r="D927" s="8" t="s">
        <v>13084</v>
      </c>
      <c r="E927" s="6" t="s">
        <v>27</v>
      </c>
      <c r="F927" s="12" t="str">
        <f>IFERROR(__xludf.DUMMYFUNCTION("GOOGLETRANSLATE(B927,""zh_cn"",""vi"")"),"người dân")</f>
        <v>người dân</v>
      </c>
      <c r="G927" s="12"/>
      <c r="H927" s="6"/>
      <c r="I927" s="11" t="b">
        <f t="shared" si="2"/>
        <v>0</v>
      </c>
      <c r="J927" s="24"/>
      <c r="K927" s="11" t="b">
        <f t="shared" si="3"/>
        <v>0</v>
      </c>
    </row>
    <row r="928" ht="22.5" customHeight="1">
      <c r="A928" s="12">
        <f t="shared" si="4"/>
        <v>4526</v>
      </c>
      <c r="B928" s="6" t="s">
        <v>13085</v>
      </c>
      <c r="C928" s="7" t="str">
        <f t="shared" si="7"/>
        <v>🔊</v>
      </c>
      <c r="D928" s="8" t="s">
        <v>13086</v>
      </c>
      <c r="E928" s="6" t="s">
        <v>27</v>
      </c>
      <c r="F928" s="12" t="str">
        <f>IFERROR(__xludf.DUMMYFUNCTION("GOOGLETRANSLATE(B928,""zh_cn"",""vi"")"),"Văn hóa dân gian")</f>
        <v>Văn hóa dân gian</v>
      </c>
      <c r="G928" s="12"/>
      <c r="H928" s="6"/>
      <c r="I928" s="11" t="b">
        <f t="shared" si="2"/>
        <v>0</v>
      </c>
      <c r="J928" s="24"/>
      <c r="K928" s="11" t="b">
        <f t="shared" si="3"/>
        <v>0</v>
      </c>
    </row>
    <row r="929" ht="22.5" customHeight="1">
      <c r="A929" s="12">
        <f t="shared" si="4"/>
        <v>4527</v>
      </c>
      <c r="B929" s="6" t="s">
        <v>13087</v>
      </c>
      <c r="C929" s="7" t="str">
        <f t="shared" si="7"/>
        <v>🔊</v>
      </c>
      <c r="D929" s="8" t="s">
        <v>13088</v>
      </c>
      <c r="E929" s="6" t="s">
        <v>27</v>
      </c>
      <c r="F929" s="12" t="str">
        <f>IFERROR(__xludf.DUMMYFUNCTION("GOOGLETRANSLATE(B929,""zh_cn"",""vi"")"),"Nhà nghỉ B&amp;B")</f>
        <v>Nhà nghỉ B&amp;B</v>
      </c>
      <c r="G929" s="12"/>
      <c r="H929" s="6"/>
      <c r="I929" s="11" t="b">
        <f t="shared" si="2"/>
        <v>0</v>
      </c>
      <c r="J929" s="24"/>
      <c r="K929" s="11" t="b">
        <f t="shared" si="3"/>
        <v>0</v>
      </c>
    </row>
    <row r="930" ht="22.5" customHeight="1">
      <c r="A930" s="12">
        <f t="shared" si="4"/>
        <v>4528</v>
      </c>
      <c r="B930" s="6" t="s">
        <v>13089</v>
      </c>
      <c r="C930" s="7" t="str">
        <f t="shared" si="7"/>
        <v>🔊</v>
      </c>
      <c r="D930" s="8" t="s">
        <v>13090</v>
      </c>
      <c r="E930" s="6" t="s">
        <v>27</v>
      </c>
      <c r="F930" s="12" t="str">
        <f>IFERROR(__xludf.DUMMYFUNCTION("GOOGLETRANSLATE(B930,""zh_cn"",""vi"")"),"mọi người")</f>
        <v>mọi người</v>
      </c>
      <c r="G930" s="12"/>
      <c r="H930" s="6"/>
      <c r="I930" s="11" t="b">
        <f t="shared" si="2"/>
        <v>0</v>
      </c>
      <c r="J930" s="24"/>
      <c r="K930" s="11" t="b">
        <f t="shared" si="3"/>
        <v>0</v>
      </c>
    </row>
    <row r="931" ht="22.5" customHeight="1">
      <c r="A931" s="12">
        <f t="shared" si="4"/>
        <v>4529</v>
      </c>
      <c r="B931" s="6" t="s">
        <v>13091</v>
      </c>
      <c r="C931" s="7" t="str">
        <f t="shared" si="7"/>
        <v>🔊</v>
      </c>
      <c r="D931" s="8" t="s">
        <v>13092</v>
      </c>
      <c r="E931" s="6" t="s">
        <v>3430</v>
      </c>
      <c r="F931" s="12" t="str">
        <f>IFERROR(__xludf.DUMMYFUNCTION("GOOGLETRANSLATE(B931,""zh_cn"",""vi"")"),"nền dân chủ")</f>
        <v>nền dân chủ</v>
      </c>
      <c r="G931" s="12"/>
      <c r="H931" s="6"/>
      <c r="I931" s="11" t="b">
        <f t="shared" si="2"/>
        <v>0</v>
      </c>
      <c r="J931" s="24"/>
      <c r="K931" s="11" t="b">
        <f t="shared" si="3"/>
        <v>0</v>
      </c>
    </row>
    <row r="932" ht="22.5" customHeight="1">
      <c r="A932" s="12">
        <f t="shared" si="4"/>
        <v>4530</v>
      </c>
      <c r="B932" s="6" t="s">
        <v>13093</v>
      </c>
      <c r="C932" s="7" t="str">
        <f t="shared" si="7"/>
        <v>🔊</v>
      </c>
      <c r="D932" s="8" t="s">
        <v>13094</v>
      </c>
      <c r="E932" s="6" t="s">
        <v>99</v>
      </c>
      <c r="F932" s="12" t="str">
        <f>IFERROR(__xludf.DUMMYFUNCTION("GOOGLETRANSLATE(B932,""zh_cn"",""vi"")"),"quyến rũ")</f>
        <v>quyến rũ</v>
      </c>
      <c r="G932" s="12"/>
      <c r="H932" s="6"/>
      <c r="I932" s="11" t="b">
        <f t="shared" si="2"/>
        <v>0</v>
      </c>
      <c r="J932" s="24"/>
      <c r="K932" s="11" t="b">
        <f t="shared" si="3"/>
        <v>0</v>
      </c>
    </row>
    <row r="933" ht="22.5" customHeight="1">
      <c r="A933" s="12">
        <f t="shared" si="4"/>
        <v>4531</v>
      </c>
      <c r="B933" s="6" t="s">
        <v>13095</v>
      </c>
      <c r="C933" s="7" t="str">
        <f t="shared" si="7"/>
        <v>🔊</v>
      </c>
      <c r="D933" s="8" t="s">
        <v>13096</v>
      </c>
      <c r="E933" s="6" t="s">
        <v>13</v>
      </c>
      <c r="F933" s="12" t="str">
        <f>IFERROR(__xludf.DUMMYFUNCTION("GOOGLETRANSLATE(B933,""zh_cn"",""vi"")"),"bắt chước")</f>
        <v>bắt chước</v>
      </c>
      <c r="G933" s="12"/>
      <c r="H933" s="6"/>
      <c r="I933" s="11" t="b">
        <f t="shared" si="2"/>
        <v>0</v>
      </c>
      <c r="J933" s="24"/>
      <c r="K933" s="11" t="b">
        <f t="shared" si="3"/>
        <v>0</v>
      </c>
    </row>
    <row r="934" ht="22.5" customHeight="1">
      <c r="A934" s="12">
        <f t="shared" si="4"/>
        <v>4532</v>
      </c>
      <c r="B934" s="6" t="s">
        <v>13097</v>
      </c>
      <c r="C934" s="7" t="str">
        <f t="shared" si="7"/>
        <v>🔊</v>
      </c>
      <c r="D934" s="8" t="s">
        <v>13098</v>
      </c>
      <c r="E934" s="6" t="s">
        <v>61</v>
      </c>
      <c r="F934" s="12" t="str">
        <f>IFERROR(__xludf.DUMMYFUNCTION("GOOGLETRANSLATE(B934,""zh_cn"",""vi"")"),"lặng lẽ")</f>
        <v>lặng lẽ</v>
      </c>
      <c r="G934" s="12"/>
      <c r="H934" s="6"/>
      <c r="I934" s="11" t="b">
        <f t="shared" si="2"/>
        <v>0</v>
      </c>
      <c r="J934" s="24"/>
      <c r="K934" s="11" t="b">
        <f t="shared" si="3"/>
        <v>0</v>
      </c>
    </row>
    <row r="935" ht="22.5" customHeight="1">
      <c r="A935" s="12">
        <f t="shared" si="4"/>
        <v>4533</v>
      </c>
      <c r="B935" s="6" t="s">
        <v>13099</v>
      </c>
      <c r="C935" s="7" t="str">
        <f t="shared" si="7"/>
        <v>🔊</v>
      </c>
      <c r="D935" s="8" t="s">
        <v>13100</v>
      </c>
      <c r="E935" s="6" t="s">
        <v>13</v>
      </c>
      <c r="F935" s="12" t="str">
        <f>IFERROR(__xludf.DUMMYFUNCTION("GOOGLETRANSLATE(B935,""zh_cn"",""vi"")"),"mô phỏng")</f>
        <v>mô phỏng</v>
      </c>
      <c r="G935" s="12"/>
      <c r="H935" s="6"/>
      <c r="I935" s="11" t="b">
        <f t="shared" si="2"/>
        <v>0</v>
      </c>
      <c r="J935" s="24"/>
      <c r="K935" s="11" t="b">
        <f t="shared" si="3"/>
        <v>0</v>
      </c>
    </row>
    <row r="936" ht="22.5" customHeight="1">
      <c r="A936" s="12">
        <f t="shared" si="4"/>
        <v>4534</v>
      </c>
      <c r="B936" s="6" t="s">
        <v>13101</v>
      </c>
      <c r="C936" s="7" t="str">
        <f t="shared" si="7"/>
        <v>🔊</v>
      </c>
      <c r="D936" s="8" t="s">
        <v>13102</v>
      </c>
      <c r="E936" s="6" t="s">
        <v>27</v>
      </c>
      <c r="F936" s="12" t="str">
        <f>IFERROR(__xludf.DUMMYFUNCTION("GOOGLETRANSLATE(B936,""zh_cn"",""vi"")"),"Người mẫu")</f>
        <v>Người mẫu</v>
      </c>
      <c r="G936" s="12"/>
      <c r="H936" s="6"/>
      <c r="I936" s="11" t="b">
        <f t="shared" si="2"/>
        <v>0</v>
      </c>
      <c r="J936" s="24"/>
      <c r="K936" s="11" t="b">
        <f t="shared" si="3"/>
        <v>0</v>
      </c>
    </row>
    <row r="937" ht="22.5" customHeight="1">
      <c r="A937" s="12">
        <f t="shared" si="4"/>
        <v>4535</v>
      </c>
      <c r="B937" s="6" t="s">
        <v>13103</v>
      </c>
      <c r="C937" s="7" t="str">
        <f t="shared" si="7"/>
        <v>🔊</v>
      </c>
      <c r="D937" s="8" t="s">
        <v>13104</v>
      </c>
      <c r="E937" s="6" t="s">
        <v>27</v>
      </c>
      <c r="F937" s="12" t="str">
        <f>IFERROR(__xludf.DUMMYFUNCTION("GOOGLETRANSLATE(B937,""zh_cn"",""vi"")"),"xe máy")</f>
        <v>xe máy</v>
      </c>
      <c r="G937" s="12"/>
      <c r="H937" s="6"/>
      <c r="I937" s="11" t="b">
        <f t="shared" si="2"/>
        <v>0</v>
      </c>
      <c r="J937" s="24"/>
      <c r="K937" s="11" t="b">
        <f t="shared" si="3"/>
        <v>0</v>
      </c>
    </row>
    <row r="938" ht="22.5" customHeight="1">
      <c r="A938" s="12">
        <f t="shared" si="4"/>
        <v>4536</v>
      </c>
      <c r="B938" s="6" t="s">
        <v>13105</v>
      </c>
      <c r="C938" s="7" t="str">
        <f t="shared" si="7"/>
        <v>🔊</v>
      </c>
      <c r="D938" s="8" t="s">
        <v>13106</v>
      </c>
      <c r="E938" s="6" t="s">
        <v>27</v>
      </c>
      <c r="F938" s="12" t="str">
        <f>IFERROR(__xludf.DUMMYFUNCTION("GOOGLETRANSLATE(B938,""zh_cn"",""vi"")"),"Người mẫu")</f>
        <v>Người mẫu</v>
      </c>
      <c r="G938" s="12"/>
      <c r="H938" s="6"/>
      <c r="I938" s="11" t="b">
        <f t="shared" si="2"/>
        <v>0</v>
      </c>
      <c r="J938" s="24"/>
      <c r="K938" s="11" t="b">
        <f t="shared" si="3"/>
        <v>0</v>
      </c>
    </row>
    <row r="939" ht="22.5" customHeight="1">
      <c r="A939" s="12">
        <f t="shared" si="4"/>
        <v>4537</v>
      </c>
      <c r="B939" s="6" t="s">
        <v>13107</v>
      </c>
      <c r="C939" s="7" t="str">
        <f t="shared" si="7"/>
        <v>🔊</v>
      </c>
      <c r="D939" s="8" t="s">
        <v>13108</v>
      </c>
      <c r="E939" s="6" t="s">
        <v>99</v>
      </c>
      <c r="F939" s="12" t="str">
        <f>IFERROR(__xludf.DUMMYFUNCTION("GOOGLETRANSLATE(B939,""zh_cn"",""vi"")"),"mẹ")</f>
        <v>mẹ</v>
      </c>
      <c r="G939" s="12"/>
      <c r="H939" s="6"/>
      <c r="I939" s="11" t="b">
        <f t="shared" si="2"/>
        <v>0</v>
      </c>
      <c r="J939" s="24"/>
      <c r="K939" s="11" t="b">
        <f t="shared" si="3"/>
        <v>0</v>
      </c>
    </row>
    <row r="940" ht="22.5" customHeight="1">
      <c r="A940" s="12">
        <f t="shared" si="4"/>
        <v>4538</v>
      </c>
      <c r="B940" s="6" t="s">
        <v>13109</v>
      </c>
      <c r="C940" s="7" t="str">
        <f t="shared" si="7"/>
        <v>🔊</v>
      </c>
      <c r="D940" s="8" t="s">
        <v>13110</v>
      </c>
      <c r="E940" s="6" t="s">
        <v>27</v>
      </c>
      <c r="F940" s="12" t="str">
        <f>IFERROR(__xludf.DUMMYFUNCTION("GOOGLETRANSLATE(B940,""zh_cn"",""vi"")"),"gỗ")</f>
        <v>gỗ</v>
      </c>
      <c r="G940" s="12"/>
      <c r="H940" s="6"/>
      <c r="I940" s="11" t="b">
        <f t="shared" si="2"/>
        <v>0</v>
      </c>
      <c r="J940" s="24"/>
      <c r="K940" s="11" t="b">
        <f t="shared" si="3"/>
        <v>0</v>
      </c>
    </row>
    <row r="941" ht="22.5" customHeight="1">
      <c r="A941" s="12">
        <f t="shared" si="4"/>
        <v>4539</v>
      </c>
      <c r="B941" s="6" t="s">
        <v>13111</v>
      </c>
      <c r="C941" s="7" t="str">
        <f t="shared" si="7"/>
        <v>🔊</v>
      </c>
      <c r="D941" s="8" t="s">
        <v>13112</v>
      </c>
      <c r="E941" s="6" t="s">
        <v>27</v>
      </c>
      <c r="F941" s="12" t="str">
        <f>IFERROR(__xludf.DUMMYFUNCTION("GOOGLETRANSLATE(B941,""zh_cn"",""vi"")"),"Mục lục")</f>
        <v>Mục lục</v>
      </c>
      <c r="G941" s="12"/>
      <c r="H941" s="6"/>
      <c r="I941" s="11" t="b">
        <f t="shared" si="2"/>
        <v>0</v>
      </c>
      <c r="J941" s="24"/>
      <c r="K941" s="11" t="b">
        <f t="shared" si="3"/>
        <v>0</v>
      </c>
    </row>
    <row r="942" ht="22.5" customHeight="1">
      <c r="A942" s="12">
        <f t="shared" si="4"/>
        <v>4540</v>
      </c>
      <c r="B942" s="6" t="s">
        <v>13113</v>
      </c>
      <c r="C942" s="7" t="str">
        <f t="shared" si="7"/>
        <v>🔊</v>
      </c>
      <c r="D942" s="8" t="s">
        <v>13114</v>
      </c>
      <c r="E942" s="6" t="s">
        <v>27</v>
      </c>
      <c r="F942" s="12" t="str">
        <f>IFERROR(__xludf.DUMMYFUNCTION("GOOGLETRANSLATE(B942,""zh_cn"",""vi"")"),"vẻ bề ngoài")</f>
        <v>vẻ bề ngoài</v>
      </c>
      <c r="G942" s="12"/>
      <c r="H942" s="6"/>
      <c r="I942" s="11" t="b">
        <f t="shared" si="2"/>
        <v>0</v>
      </c>
      <c r="J942" s="24"/>
      <c r="K942" s="11" t="b">
        <f t="shared" si="3"/>
        <v>0</v>
      </c>
    </row>
    <row r="943" ht="22.5" customHeight="1">
      <c r="A943" s="12">
        <f t="shared" si="4"/>
        <v>4541</v>
      </c>
      <c r="B943" s="6" t="s">
        <v>13115</v>
      </c>
      <c r="C943" s="7" t="str">
        <f t="shared" si="7"/>
        <v>🔊</v>
      </c>
      <c r="D943" s="8" t="s">
        <v>13116</v>
      </c>
      <c r="E943" s="6" t="s">
        <v>27</v>
      </c>
      <c r="F943" s="12" t="str">
        <f>IFERROR(__xludf.DUMMYFUNCTION("GOOGLETRANSLATE(B943,""zh_cn"",""vi"")"),"tiếng mẹ đẻ")</f>
        <v>tiếng mẹ đẻ</v>
      </c>
      <c r="G943" s="12"/>
      <c r="H943" s="6"/>
      <c r="I943" s="11" t="b">
        <f t="shared" si="2"/>
        <v>0</v>
      </c>
      <c r="J943" s="24"/>
      <c r="K943" s="11" t="b">
        <f t="shared" si="3"/>
        <v>0</v>
      </c>
    </row>
    <row r="944" ht="22.5" customHeight="1">
      <c r="A944" s="12">
        <f t="shared" si="4"/>
        <v>4542</v>
      </c>
      <c r="B944" s="6" t="s">
        <v>13117</v>
      </c>
      <c r="C944" s="7" t="str">
        <f t="shared" si="7"/>
        <v>🔊</v>
      </c>
      <c r="D944" s="8" t="s">
        <v>13118</v>
      </c>
      <c r="E944" s="6" t="s">
        <v>27</v>
      </c>
      <c r="F944" s="12" t="str">
        <f>IFERROR(__xludf.DUMMYFUNCTION("GOOGLETRANSLATE(B944,""zh_cn"",""vi"")"),"sữa bột")</f>
        <v>sữa bột</v>
      </c>
      <c r="G944" s="12"/>
      <c r="H944" s="6"/>
      <c r="I944" s="11" t="b">
        <f t="shared" si="2"/>
        <v>0</v>
      </c>
      <c r="J944" s="24"/>
      <c r="K944" s="11" t="b">
        <f t="shared" si="3"/>
        <v>0</v>
      </c>
    </row>
    <row r="945" ht="22.5" customHeight="1">
      <c r="A945" s="12">
        <f t="shared" si="4"/>
        <v>4543</v>
      </c>
      <c r="B945" s="6" t="s">
        <v>13119</v>
      </c>
      <c r="C945" s="7" t="str">
        <f t="shared" si="7"/>
        <v>🔊</v>
      </c>
      <c r="D945" s="8" t="s">
        <v>13120</v>
      </c>
      <c r="E945" s="6" t="s">
        <v>27</v>
      </c>
      <c r="F945" s="12" t="str">
        <f>IFERROR(__xludf.DUMMYFUNCTION("GOOGLETRANSLATE(B945,""zh_cn"",""vi"")"),"khó khăn")</f>
        <v>khó khăn</v>
      </c>
      <c r="G945" s="12"/>
      <c r="H945" s="6"/>
      <c r="I945" s="11" t="b">
        <f t="shared" si="2"/>
        <v>0</v>
      </c>
      <c r="J945" s="24"/>
      <c r="K945" s="11" t="b">
        <f t="shared" si="3"/>
        <v>0</v>
      </c>
    </row>
    <row r="946" ht="22.5" customHeight="1">
      <c r="A946" s="12">
        <f t="shared" si="4"/>
        <v>4544</v>
      </c>
      <c r="B946" s="6" t="s">
        <v>13121</v>
      </c>
      <c r="C946" s="7" t="str">
        <f t="shared" si="7"/>
        <v>🔊</v>
      </c>
      <c r="D946" s="8" t="s">
        <v>13122</v>
      </c>
      <c r="E946" s="6" t="s">
        <v>27</v>
      </c>
      <c r="F946" s="12" t="str">
        <f>IFERROR(__xludf.DUMMYFUNCTION("GOOGLETRANSLATE(B946,""zh_cn"",""vi"")"),"Nam Cực")</f>
        <v>Nam Cực</v>
      </c>
      <c r="G946" s="12"/>
      <c r="H946" s="6"/>
      <c r="I946" s="11" t="b">
        <f t="shared" si="2"/>
        <v>0</v>
      </c>
      <c r="J946" s="24"/>
      <c r="K946" s="11" t="b">
        <f t="shared" si="3"/>
        <v>0</v>
      </c>
    </row>
    <row r="947" ht="22.5" customHeight="1">
      <c r="A947" s="12">
        <f t="shared" si="4"/>
        <v>4545</v>
      </c>
      <c r="B947" s="6" t="s">
        <v>13123</v>
      </c>
      <c r="C947" s="7" t="str">
        <f t="shared" si="7"/>
        <v>🔊</v>
      </c>
      <c r="D947" s="8" t="s">
        <v>13124</v>
      </c>
      <c r="E947" s="6" t="s">
        <v>27</v>
      </c>
      <c r="F947" s="12" t="str">
        <f>IFERROR(__xludf.DUMMYFUNCTION("GOOGLETRANSLATE(B947,""zh_cn"",""vi"")"),"Nam Mỹ")</f>
        <v>Nam Mỹ</v>
      </c>
      <c r="G947" s="12"/>
      <c r="H947" s="6"/>
      <c r="I947" s="11" t="b">
        <f t="shared" si="2"/>
        <v>0</v>
      </c>
      <c r="J947" s="24"/>
      <c r="K947" s="11" t="b">
        <f t="shared" si="3"/>
        <v>0</v>
      </c>
    </row>
    <row r="948" ht="22.5" customHeight="1">
      <c r="A948" s="12">
        <f t="shared" si="4"/>
        <v>4546</v>
      </c>
      <c r="B948" s="6" t="s">
        <v>13125</v>
      </c>
      <c r="C948" s="7" t="str">
        <f t="shared" si="7"/>
        <v>🔊</v>
      </c>
      <c r="D948" s="8" t="s">
        <v>13126</v>
      </c>
      <c r="E948" s="6" t="s">
        <v>99</v>
      </c>
      <c r="F948" s="12" t="str">
        <f>IFERROR(__xludf.DUMMYFUNCTION("GOOGLETRANSLATE(B948,""zh_cn"",""vi"")"),"Không thể tránh khỏi")</f>
        <v>Không thể tránh khỏi</v>
      </c>
      <c r="G948" s="12"/>
      <c r="H948" s="6"/>
      <c r="I948" s="11" t="b">
        <f t="shared" si="2"/>
        <v>0</v>
      </c>
      <c r="J948" s="24"/>
      <c r="K948" s="11" t="b">
        <f t="shared" si="3"/>
        <v>0</v>
      </c>
    </row>
    <row r="949" ht="22.5" customHeight="1">
      <c r="A949" s="12">
        <f t="shared" si="4"/>
        <v>4547</v>
      </c>
      <c r="B949" s="6" t="s">
        <v>13127</v>
      </c>
      <c r="C949" s="7" t="str">
        <f t="shared" si="7"/>
        <v>🔊</v>
      </c>
      <c r="D949" s="8" t="s">
        <v>13128</v>
      </c>
      <c r="E949" s="6" t="s">
        <v>27</v>
      </c>
      <c r="F949" s="12" t="str">
        <f>IFERROR(__xludf.DUMMYFUNCTION("GOOGLETRANSLATE(B949,""zh_cn"",""vi"")"),"cái đầu")</f>
        <v>cái đầu</v>
      </c>
      <c r="G949" s="12"/>
      <c r="H949" s="6"/>
      <c r="I949" s="11" t="b">
        <f t="shared" si="2"/>
        <v>0</v>
      </c>
      <c r="J949" s="24"/>
      <c r="K949" s="11" t="b">
        <f t="shared" si="3"/>
        <v>0</v>
      </c>
    </row>
    <row r="950" ht="22.5" customHeight="1">
      <c r="A950" s="12">
        <f t="shared" si="4"/>
        <v>4548</v>
      </c>
      <c r="B950" s="6" t="s">
        <v>13129</v>
      </c>
      <c r="C950" s="7" t="str">
        <f t="shared" si="7"/>
        <v>🔊</v>
      </c>
      <c r="D950" s="8" t="s">
        <v>13130</v>
      </c>
      <c r="E950" s="6" t="s">
        <v>27</v>
      </c>
      <c r="F950" s="12" t="str">
        <f>IFERROR(__xludf.DUMMYFUNCTION("GOOGLETRANSLATE(B950,""zh_cn"",""vi"")"),"não")</f>
        <v>não</v>
      </c>
      <c r="G950" s="12"/>
      <c r="H950" s="6"/>
      <c r="I950" s="11" t="b">
        <f t="shared" si="2"/>
        <v>0</v>
      </c>
      <c r="J950" s="24"/>
      <c r="K950" s="11" t="b">
        <f t="shared" si="3"/>
        <v>0</v>
      </c>
    </row>
    <row r="951" ht="22.5" customHeight="1">
      <c r="A951" s="12">
        <f t="shared" si="4"/>
        <v>4549</v>
      </c>
      <c r="B951" s="6" t="s">
        <v>13131</v>
      </c>
      <c r="C951" s="7" t="str">
        <f t="shared" si="7"/>
        <v>🔊</v>
      </c>
      <c r="D951" s="8" t="s">
        <v>13132</v>
      </c>
      <c r="E951" s="6" t="s">
        <v>27</v>
      </c>
      <c r="F951" s="12" t="str">
        <f>IFERROR(__xludf.DUMMYFUNCTION("GOOGLETRANSLATE(B951,""zh_cn"",""vi"")"),"ý nghĩa hàm ẩn")</f>
        <v>ý nghĩa hàm ẩn</v>
      </c>
      <c r="G951" s="12"/>
      <c r="H951" s="6"/>
      <c r="I951" s="11" t="b">
        <f t="shared" si="2"/>
        <v>0</v>
      </c>
      <c r="J951" s="24"/>
      <c r="K951" s="11" t="b">
        <f t="shared" si="3"/>
        <v>0</v>
      </c>
    </row>
    <row r="952" ht="22.5" customHeight="1">
      <c r="A952" s="12">
        <f t="shared" si="4"/>
        <v>4550</v>
      </c>
      <c r="B952" s="6" t="s">
        <v>13133</v>
      </c>
      <c r="C952" s="7" t="str">
        <f t="shared" si="7"/>
        <v>🔊</v>
      </c>
      <c r="D952" s="8" t="s">
        <v>13134</v>
      </c>
      <c r="E952" s="6" t="s">
        <v>27</v>
      </c>
      <c r="F952" s="12" t="str">
        <f>IFERROR(__xludf.DUMMYFUNCTION("GOOGLETRANSLATE(B952,""zh_cn"",""vi"")"),"Nội khoa")</f>
        <v>Nội khoa</v>
      </c>
      <c r="G952" s="12"/>
      <c r="H952" s="6"/>
      <c r="I952" s="11" t="b">
        <f t="shared" si="2"/>
        <v>0</v>
      </c>
      <c r="J952" s="24"/>
      <c r="K952" s="11" t="b">
        <f t="shared" si="3"/>
        <v>0</v>
      </c>
    </row>
    <row r="953" ht="22.5" customHeight="1">
      <c r="A953" s="12">
        <f t="shared" si="4"/>
        <v>4551</v>
      </c>
      <c r="B953" s="6" t="s">
        <v>13135</v>
      </c>
      <c r="C953" s="7" t="str">
        <f t="shared" si="7"/>
        <v>🔊</v>
      </c>
      <c r="D953" s="8" t="s">
        <v>13136</v>
      </c>
      <c r="E953" s="6" t="s">
        <v>27</v>
      </c>
      <c r="F953" s="12" t="str">
        <f>IFERROR(__xludf.DUMMYFUNCTION("GOOGLETRANSLATE(B953,""zh_cn"",""vi"")"),"bên trong và bên ngoài")</f>
        <v>bên trong và bên ngoài</v>
      </c>
      <c r="G953" s="12"/>
      <c r="H953" s="6"/>
      <c r="I953" s="11" t="b">
        <f t="shared" si="2"/>
        <v>0</v>
      </c>
      <c r="J953" s="24"/>
      <c r="K953" s="11" t="b">
        <f t="shared" si="3"/>
        <v>0</v>
      </c>
    </row>
    <row r="954" ht="22.5" customHeight="1">
      <c r="A954" s="12">
        <f t="shared" si="4"/>
        <v>4552</v>
      </c>
      <c r="B954" s="6" t="s">
        <v>13137</v>
      </c>
      <c r="C954" s="7" t="str">
        <f t="shared" si="7"/>
        <v>🔊</v>
      </c>
      <c r="D954" s="8" t="s">
        <v>13138</v>
      </c>
      <c r="E954" s="6" t="s">
        <v>27</v>
      </c>
      <c r="F954" s="12" t="str">
        <f>IFERROR(__xludf.DUMMYFUNCTION("GOOGLETRANSLATE(B954,""zh_cn"",""vi"")"),"đồ lót")</f>
        <v>đồ lót</v>
      </c>
      <c r="G954" s="12"/>
      <c r="H954" s="6"/>
      <c r="I954" s="11" t="b">
        <f t="shared" si="2"/>
        <v>0</v>
      </c>
      <c r="J954" s="24"/>
      <c r="K954" s="11" t="b">
        <f t="shared" si="3"/>
        <v>0</v>
      </c>
    </row>
    <row r="955" ht="22.5" customHeight="1">
      <c r="A955" s="12">
        <f t="shared" si="4"/>
        <v>4553</v>
      </c>
      <c r="B955" s="6" t="s">
        <v>13139</v>
      </c>
      <c r="C955" s="7" t="str">
        <f t="shared" si="7"/>
        <v>🔊</v>
      </c>
      <c r="D955" s="8" t="s">
        <v>13140</v>
      </c>
      <c r="E955" s="6" t="s">
        <v>27</v>
      </c>
      <c r="F955" s="12" t="str">
        <f>IFERROR(__xludf.DUMMYFUNCTION("GOOGLETRANSLATE(B955,""zh_cn"",""vi"")"),"năng lượng")</f>
        <v>năng lượng</v>
      </c>
      <c r="G955" s="12"/>
      <c r="H955" s="6"/>
      <c r="I955" s="11" t="b">
        <f t="shared" si="2"/>
        <v>0</v>
      </c>
      <c r="J955" s="24"/>
      <c r="K955" s="11" t="b">
        <f t="shared" si="3"/>
        <v>0</v>
      </c>
    </row>
    <row r="956" ht="22.5" customHeight="1">
      <c r="A956" s="12">
        <f t="shared" si="4"/>
        <v>4554</v>
      </c>
      <c r="B956" s="6" t="s">
        <v>13141</v>
      </c>
      <c r="C956" s="7" t="str">
        <f t="shared" si="7"/>
        <v>🔊</v>
      </c>
      <c r="D956" s="8" t="s">
        <v>13142</v>
      </c>
      <c r="E956" s="6" t="s">
        <v>27</v>
      </c>
      <c r="F956" s="12" t="str">
        <f>IFERROR(__xludf.DUMMYFUNCTION("GOOGLETRANSLATE(B956,""zh_cn"",""vi"")"),"năng lượng")</f>
        <v>năng lượng</v>
      </c>
      <c r="G956" s="12"/>
      <c r="H956" s="6"/>
      <c r="I956" s="11" t="b">
        <f t="shared" si="2"/>
        <v>0</v>
      </c>
      <c r="J956" s="24"/>
      <c r="K956" s="11" t="b">
        <f t="shared" si="3"/>
        <v>0</v>
      </c>
    </row>
    <row r="957" ht="22.5" customHeight="1">
      <c r="A957" s="12">
        <f t="shared" si="4"/>
        <v>4555</v>
      </c>
      <c r="B957" s="6" t="s">
        <v>13143</v>
      </c>
      <c r="C957" s="7" t="str">
        <f t="shared" si="7"/>
        <v>🔊</v>
      </c>
      <c r="D957" s="8" t="s">
        <v>13144</v>
      </c>
      <c r="E957" s="6" t="s">
        <v>27</v>
      </c>
      <c r="F957" s="12" t="str">
        <f>IFERROR(__xludf.DUMMYFUNCTION("GOOGLETRANSLATE(B957,""zh_cn"",""vi"")"),"bùn")</f>
        <v>bùn</v>
      </c>
      <c r="G957" s="12"/>
      <c r="H957" s="6"/>
      <c r="I957" s="11" t="b">
        <f t="shared" si="2"/>
        <v>0</v>
      </c>
      <c r="J957" s="24"/>
      <c r="K957" s="11" t="b">
        <f t="shared" si="3"/>
        <v>0</v>
      </c>
    </row>
    <row r="958" ht="22.5" customHeight="1">
      <c r="A958" s="12">
        <f t="shared" si="4"/>
        <v>4556</v>
      </c>
      <c r="B958" s="6" t="s">
        <v>13145</v>
      </c>
      <c r="C958" s="7" t="str">
        <f t="shared" si="7"/>
        <v>🔊</v>
      </c>
      <c r="D958" s="8" t="s">
        <v>13146</v>
      </c>
      <c r="E958" s="6" t="s">
        <v>27</v>
      </c>
      <c r="F958" s="12" t="str">
        <f>IFERROR(__xludf.DUMMYFUNCTION("GOOGLETRANSLATE(B958,""zh_cn"",""vi"")"),"năm")</f>
        <v>năm</v>
      </c>
      <c r="G958" s="12"/>
      <c r="H958" s="6"/>
      <c r="I958" s="11" t="b">
        <f t="shared" si="2"/>
        <v>0</v>
      </c>
      <c r="J958" s="24"/>
      <c r="K958" s="11" t="b">
        <f t="shared" si="3"/>
        <v>0</v>
      </c>
    </row>
    <row r="959" ht="22.5" customHeight="1">
      <c r="A959" s="12">
        <f t="shared" si="4"/>
        <v>4557</v>
      </c>
      <c r="B959" s="6" t="s">
        <v>13147</v>
      </c>
      <c r="C959" s="7" t="str">
        <f t="shared" si="7"/>
        <v>🔊</v>
      </c>
      <c r="D959" s="8" t="s">
        <v>13148</v>
      </c>
      <c r="E959" s="6" t="s">
        <v>13</v>
      </c>
      <c r="F959" s="12" t="str">
        <f>IFERROR(__xludf.DUMMYFUNCTION("GOOGLETRANSLATE(B959,""zh_cn"",""vi"")"),"học")</f>
        <v>học</v>
      </c>
      <c r="G959" s="12"/>
      <c r="H959" s="6"/>
      <c r="I959" s="11" t="b">
        <f t="shared" si="2"/>
        <v>0</v>
      </c>
      <c r="J959" s="24"/>
      <c r="K959" s="11" t="b">
        <f t="shared" si="3"/>
        <v>0</v>
      </c>
    </row>
    <row r="960" ht="22.5" customHeight="1">
      <c r="A960" s="12">
        <f t="shared" si="4"/>
        <v>4558</v>
      </c>
      <c r="B960" s="6" t="s">
        <v>13149</v>
      </c>
      <c r="C960" s="7" t="str">
        <f t="shared" si="7"/>
        <v>🔊</v>
      </c>
      <c r="D960" s="8" t="s">
        <v>13150</v>
      </c>
      <c r="E960" s="6" t="s">
        <v>27</v>
      </c>
      <c r="F960" s="12" t="str">
        <f>IFERROR(__xludf.DUMMYFUNCTION("GOOGLETRANSLATE(B960,""zh_cn"",""vi"")"),"cuối năm")</f>
        <v>cuối năm</v>
      </c>
      <c r="G960" s="12"/>
      <c r="H960" s="6"/>
      <c r="I960" s="11" t="b">
        <f t="shared" si="2"/>
        <v>0</v>
      </c>
      <c r="J960" s="24"/>
      <c r="K960" s="11" t="b">
        <f t="shared" si="3"/>
        <v>0</v>
      </c>
    </row>
    <row r="961" ht="22.5" customHeight="1">
      <c r="A961" s="12">
        <f t="shared" si="4"/>
        <v>4559</v>
      </c>
      <c r="B961" s="6" t="s">
        <v>13151</v>
      </c>
      <c r="C961" s="7" t="str">
        <f t="shared" si="7"/>
        <v>🔊</v>
      </c>
      <c r="D961" s="8" t="s">
        <v>13152</v>
      </c>
      <c r="E961" s="6" t="s">
        <v>13</v>
      </c>
      <c r="F961" s="12" t="str">
        <f>IFERROR(__xludf.DUMMYFUNCTION("GOOGLETRANSLATE(B961,""zh_cn"",""vi"")"),"xoắn")</f>
        <v>xoắn</v>
      </c>
      <c r="G961" s="12"/>
      <c r="H961" s="6"/>
      <c r="I961" s="11" t="b">
        <f t="shared" si="2"/>
        <v>0</v>
      </c>
      <c r="J961" s="24"/>
      <c r="K961" s="11" t="b">
        <f t="shared" si="3"/>
        <v>0</v>
      </c>
    </row>
    <row r="962" ht="22.5" customHeight="1">
      <c r="A962" s="12">
        <f t="shared" si="4"/>
        <v>4560</v>
      </c>
      <c r="B962" s="6" t="s">
        <v>13153</v>
      </c>
      <c r="C962" s="7" t="str">
        <f t="shared" si="7"/>
        <v>🔊</v>
      </c>
      <c r="D962" s="8" t="s">
        <v>13154</v>
      </c>
      <c r="E962" s="6" t="s">
        <v>27</v>
      </c>
      <c r="F962" s="12" t="str">
        <f>IFERROR(__xludf.DUMMYFUNCTION("GOOGLETRANSLATE(B962,""zh_cn"",""vi"")"),"sản phẩm nông nghiệp")</f>
        <v>sản phẩm nông nghiệp</v>
      </c>
      <c r="G962" s="12"/>
      <c r="H962" s="6"/>
      <c r="I962" s="11" t="b">
        <f t="shared" si="2"/>
        <v>0</v>
      </c>
      <c r="J962" s="24"/>
      <c r="K962" s="11" t="b">
        <f t="shared" si="3"/>
        <v>0</v>
      </c>
    </row>
    <row r="963" ht="22.5" customHeight="1">
      <c r="A963" s="12">
        <f t="shared" si="4"/>
        <v>4561</v>
      </c>
      <c r="B963" s="6" t="s">
        <v>13155</v>
      </c>
      <c r="C963" s="7" t="str">
        <f t="shared" si="7"/>
        <v>🔊</v>
      </c>
      <c r="D963" s="8" t="s">
        <v>13156</v>
      </c>
      <c r="E963" s="6" t="s">
        <v>99</v>
      </c>
      <c r="F963" s="12" t="str">
        <f>IFERROR(__xludf.DUMMYFUNCTION("GOOGLETRANSLATE(B963,""zh_cn"",""vi"")"),"mạnh")</f>
        <v>mạnh</v>
      </c>
      <c r="G963" s="12"/>
      <c r="H963" s="6"/>
      <c r="I963" s="11" t="b">
        <f t="shared" si="2"/>
        <v>0</v>
      </c>
      <c r="J963" s="24"/>
      <c r="K963" s="11" t="b">
        <f t="shared" si="3"/>
        <v>0</v>
      </c>
    </row>
    <row r="964" ht="22.5" customHeight="1">
      <c r="A964" s="12">
        <f t="shared" si="4"/>
        <v>4562</v>
      </c>
      <c r="B964" s="6" t="s">
        <v>13157</v>
      </c>
      <c r="C964" s="7" t="str">
        <f t="shared" si="7"/>
        <v>🔊</v>
      </c>
      <c r="D964" s="8" t="s">
        <v>13158</v>
      </c>
      <c r="E964" s="6" t="s">
        <v>27</v>
      </c>
      <c r="F964" s="12" t="str">
        <f>IFERROR(__xludf.DUMMYFUNCTION("GOOGLETRANSLATE(B964,""zh_cn"",""vi"")"),"đất nông nghiệp")</f>
        <v>đất nông nghiệp</v>
      </c>
      <c r="G964" s="12"/>
      <c r="H964" s="6"/>
      <c r="I964" s="11" t="b">
        <f t="shared" si="2"/>
        <v>0</v>
      </c>
      <c r="J964" s="24"/>
      <c r="K964" s="11" t="b">
        <f t="shared" si="3"/>
        <v>0</v>
      </c>
    </row>
    <row r="965" ht="22.5" customHeight="1">
      <c r="A965" s="12">
        <f t="shared" si="4"/>
        <v>4563</v>
      </c>
      <c r="B965" s="6" t="s">
        <v>13159</v>
      </c>
      <c r="C965" s="7" t="str">
        <f t="shared" si="7"/>
        <v>🔊</v>
      </c>
      <c r="D965" s="8" t="s">
        <v>13160</v>
      </c>
      <c r="E965" s="6" t="s">
        <v>416</v>
      </c>
      <c r="F965" s="12" t="str">
        <f>IFERROR(__xludf.DUMMYFUNCTION("GOOGLETRANSLATE(B965,""zh_cn"",""vi"")"),"ấm")</f>
        <v>ấm</v>
      </c>
      <c r="G965" s="12"/>
      <c r="H965" s="6"/>
      <c r="I965" s="11" t="b">
        <f t="shared" si="2"/>
        <v>0</v>
      </c>
      <c r="J965" s="24"/>
      <c r="K965" s="11" t="b">
        <f t="shared" si="3"/>
        <v>0</v>
      </c>
    </row>
    <row r="966" ht="22.5" customHeight="1">
      <c r="A966" s="12">
        <f t="shared" si="4"/>
        <v>4564</v>
      </c>
      <c r="B966" s="6" t="s">
        <v>13161</v>
      </c>
      <c r="C966" s="7" t="str">
        <f t="shared" si="7"/>
        <v>🔊</v>
      </c>
      <c r="D966" s="8" t="s">
        <v>13162</v>
      </c>
      <c r="E966" s="6" t="s">
        <v>27</v>
      </c>
      <c r="F966" s="12" t="str">
        <f>IFERROR(__xludf.DUMMYFUNCTION("GOOGLETRANSLATE(B966,""zh_cn"",""vi"")"),"Sưởi ấm")</f>
        <v>Sưởi ấm</v>
      </c>
      <c r="G966" s="12"/>
      <c r="H966" s="6"/>
      <c r="I966" s="11" t="b">
        <f t="shared" si="2"/>
        <v>0</v>
      </c>
      <c r="J966" s="24"/>
      <c r="K966" s="11" t="b">
        <f t="shared" si="3"/>
        <v>0</v>
      </c>
    </row>
    <row r="967" ht="22.5" customHeight="1">
      <c r="A967" s="12">
        <f t="shared" si="4"/>
        <v>4565</v>
      </c>
      <c r="B967" s="6" t="s">
        <v>13163</v>
      </c>
      <c r="C967" s="7" t="str">
        <f t="shared" si="7"/>
        <v>🔊</v>
      </c>
      <c r="D967" s="8" t="s">
        <v>13164</v>
      </c>
      <c r="E967" s="6" t="s">
        <v>27</v>
      </c>
      <c r="F967" s="12" t="str">
        <f>IFERROR(__xludf.DUMMYFUNCTION("GOOGLETRANSLATE(B967,""zh_cn"",""vi"")"),"Thần tượng")</f>
        <v>Thần tượng</v>
      </c>
      <c r="G967" s="12"/>
      <c r="H967" s="6"/>
      <c r="I967" s="11" t="b">
        <f t="shared" si="2"/>
        <v>0</v>
      </c>
      <c r="J967" s="24"/>
      <c r="K967" s="11" t="b">
        <f t="shared" si="3"/>
        <v>0</v>
      </c>
    </row>
    <row r="968" ht="22.5" customHeight="1">
      <c r="A968" s="12">
        <f t="shared" si="4"/>
        <v>4566</v>
      </c>
      <c r="B968" s="6" t="s">
        <v>13165</v>
      </c>
      <c r="C968" s="7" t="str">
        <f t="shared" si="7"/>
        <v>🔊</v>
      </c>
      <c r="D968" s="8" t="s">
        <v>13166</v>
      </c>
      <c r="E968" s="6" t="s">
        <v>13</v>
      </c>
      <c r="F968" s="12" t="str">
        <f>IFERROR(__xludf.DUMMYFUNCTION("GOOGLETRANSLATE(B968,""zh_cn"",""vi"")"),"loại trừ")</f>
        <v>loại trừ</v>
      </c>
      <c r="G968" s="12"/>
      <c r="H968" s="6"/>
      <c r="I968" s="11" t="b">
        <f t="shared" si="2"/>
        <v>0</v>
      </c>
      <c r="J968" s="24"/>
      <c r="K968" s="11" t="b">
        <f t="shared" si="3"/>
        <v>0</v>
      </c>
    </row>
    <row r="969" ht="22.5" customHeight="1">
      <c r="A969" s="12">
        <f t="shared" si="4"/>
        <v>4567</v>
      </c>
      <c r="B969" s="6" t="s">
        <v>13167</v>
      </c>
      <c r="C969" s="7" t="str">
        <f t="shared" si="7"/>
        <v>🔊</v>
      </c>
      <c r="D969" s="8" t="s">
        <v>13168</v>
      </c>
      <c r="E969" s="6" t="s">
        <v>13</v>
      </c>
      <c r="F969" s="12" t="str">
        <f>IFERROR(__xludf.DUMMYFUNCTION("GOOGLETRANSLATE(B969,""zh_cn"",""vi"")"),"khí thải")</f>
        <v>khí thải</v>
      </c>
      <c r="G969" s="12"/>
      <c r="H969" s="6"/>
      <c r="I969" s="11" t="b">
        <f t="shared" si="2"/>
        <v>0</v>
      </c>
      <c r="J969" s="24"/>
      <c r="K969" s="11" t="b">
        <f t="shared" si="3"/>
        <v>0</v>
      </c>
    </row>
    <row r="970" ht="22.5" customHeight="1">
      <c r="A970" s="12">
        <f t="shared" si="4"/>
        <v>4568</v>
      </c>
      <c r="B970" s="6" t="s">
        <v>13169</v>
      </c>
      <c r="C970" s="7" t="str">
        <f t="shared" si="7"/>
        <v>🔊</v>
      </c>
      <c r="D970" s="8" t="s">
        <v>13170</v>
      </c>
      <c r="E970" s="6" t="s">
        <v>13</v>
      </c>
      <c r="F970" s="12" t="str">
        <f>IFERROR(__xludf.DUMMYFUNCTION("GOOGLETRANSLATE(B970,""zh_cn"",""vi"")"),"diễn tập")</f>
        <v>diễn tập</v>
      </c>
      <c r="G970" s="12"/>
      <c r="H970" s="6"/>
      <c r="I970" s="11" t="b">
        <f t="shared" si="2"/>
        <v>0</v>
      </c>
      <c r="J970" s="24"/>
      <c r="K970" s="11" t="b">
        <f t="shared" si="3"/>
        <v>0</v>
      </c>
    </row>
    <row r="971" ht="22.5" customHeight="1">
      <c r="A971" s="12">
        <f t="shared" si="4"/>
        <v>4569</v>
      </c>
      <c r="B971" s="6" t="s">
        <v>13171</v>
      </c>
      <c r="C971" s="7" t="str">
        <f t="shared" si="7"/>
        <v>🔊</v>
      </c>
      <c r="D971" s="8" t="s">
        <v>13172</v>
      </c>
      <c r="E971" s="6" t="s">
        <v>13</v>
      </c>
      <c r="F971" s="12" t="str">
        <f>IFERROR(__xludf.DUMMYFUNCTION("GOOGLETRANSLATE(B971,""zh_cn"",""vi"")"),"Xếp hạng")</f>
        <v>Xếp hạng</v>
      </c>
      <c r="G971" s="12"/>
      <c r="H971" s="6"/>
      <c r="I971" s="11" t="b">
        <f t="shared" si="2"/>
        <v>0</v>
      </c>
      <c r="J971" s="24"/>
      <c r="K971" s="11" t="b">
        <f t="shared" si="3"/>
        <v>0</v>
      </c>
    </row>
    <row r="972" ht="22.5" customHeight="1">
      <c r="A972" s="12">
        <f t="shared" si="4"/>
        <v>4570</v>
      </c>
      <c r="B972" s="6" t="s">
        <v>13173</v>
      </c>
      <c r="C972" s="7" t="str">
        <f t="shared" si="7"/>
        <v>🔊</v>
      </c>
      <c r="D972" s="8" t="s">
        <v>13174</v>
      </c>
      <c r="E972" s="6" t="s">
        <v>2129</v>
      </c>
      <c r="F972" s="12" t="str">
        <f>IFERROR(__xludf.DUMMYFUNCTION("GOOGLETRANSLATE(B972,""zh_cn"",""vi"")"),"đĩa")</f>
        <v>đĩa</v>
      </c>
      <c r="G972" s="12"/>
      <c r="H972" s="6"/>
      <c r="I972" s="11" t="b">
        <f t="shared" si="2"/>
        <v>0</v>
      </c>
      <c r="J972" s="24"/>
      <c r="K972" s="11" t="b">
        <f t="shared" si="3"/>
        <v>0</v>
      </c>
    </row>
    <row r="973" ht="22.5" customHeight="1">
      <c r="A973" s="12">
        <f t="shared" si="4"/>
        <v>4571</v>
      </c>
      <c r="B973" s="6" t="s">
        <v>13175</v>
      </c>
      <c r="C973" s="7" t="str">
        <f t="shared" si="7"/>
        <v>🔊</v>
      </c>
      <c r="D973" s="8" t="s">
        <v>13176</v>
      </c>
      <c r="E973" s="6" t="s">
        <v>99</v>
      </c>
      <c r="F973" s="12" t="str">
        <f>IFERROR(__xludf.DUMMYFUNCTION("GOOGLETRANSLATE(B973,""zh_cn"",""vi"")"),"to lớn")</f>
        <v>to lớn</v>
      </c>
      <c r="G973" s="12"/>
      <c r="H973" s="6"/>
      <c r="I973" s="11" t="b">
        <f t="shared" si="2"/>
        <v>0</v>
      </c>
      <c r="J973" s="24"/>
      <c r="K973" s="11" t="b">
        <f t="shared" si="3"/>
        <v>0</v>
      </c>
    </row>
    <row r="974" ht="22.5" customHeight="1">
      <c r="A974" s="12">
        <f t="shared" si="4"/>
        <v>4572</v>
      </c>
      <c r="B974" s="6" t="s">
        <v>13177</v>
      </c>
      <c r="C974" s="7" t="str">
        <f t="shared" si="7"/>
        <v>🔊</v>
      </c>
      <c r="D974" s="8" t="s">
        <v>13178</v>
      </c>
      <c r="E974" s="6" t="s">
        <v>13</v>
      </c>
      <c r="F974" s="12" t="str">
        <f>IFERROR(__xludf.DUMMYFUNCTION("GOOGLETRANSLATE(B974,""zh_cn"",""vi"")"),"Mong")</f>
        <v>Mong</v>
      </c>
      <c r="G974" s="12"/>
      <c r="H974" s="6"/>
      <c r="I974" s="11" t="b">
        <f t="shared" si="2"/>
        <v>0</v>
      </c>
      <c r="J974" s="24"/>
      <c r="K974" s="11" t="b">
        <f t="shared" si="3"/>
        <v>0</v>
      </c>
    </row>
    <row r="975" ht="22.5" customHeight="1">
      <c r="A975" s="12">
        <f t="shared" si="4"/>
        <v>4573</v>
      </c>
      <c r="B975" s="6" t="s">
        <v>13179</v>
      </c>
      <c r="C975" s="7" t="str">
        <f t="shared" si="7"/>
        <v>🔊</v>
      </c>
      <c r="D975" s="8" t="s">
        <v>13180</v>
      </c>
      <c r="E975" s="6" t="s">
        <v>57</v>
      </c>
      <c r="F975" s="12" t="str">
        <f>IFERROR(__xludf.DUMMYFUNCTION("GOOGLETRANSLATE(B975,""zh_cn"",""vi"")"),"Bong bóng")</f>
        <v>Bong bóng</v>
      </c>
      <c r="G975" s="12"/>
      <c r="H975" s="6"/>
      <c r="I975" s="11" t="b">
        <f t="shared" si="2"/>
        <v>0</v>
      </c>
      <c r="J975" s="24"/>
      <c r="K975" s="11" t="b">
        <f t="shared" si="3"/>
        <v>0</v>
      </c>
    </row>
    <row r="976" ht="22.5" customHeight="1">
      <c r="A976" s="12">
        <f t="shared" si="4"/>
        <v>4574</v>
      </c>
      <c r="B976" s="6" t="s">
        <v>13181</v>
      </c>
      <c r="C976" s="7" t="str">
        <f t="shared" si="7"/>
        <v>🔊</v>
      </c>
      <c r="D976" s="8" t="s">
        <v>13182</v>
      </c>
      <c r="E976" s="6" t="s">
        <v>13</v>
      </c>
      <c r="F976" s="12" t="str">
        <f>IFERROR(__xludf.DUMMYFUNCTION("GOOGLETRANSLATE(B976,""zh_cn"",""vi"")"),"ném")</f>
        <v>ném</v>
      </c>
      <c r="G976" s="12"/>
      <c r="H976" s="6"/>
      <c r="I976" s="11" t="b">
        <f t="shared" si="2"/>
        <v>0</v>
      </c>
      <c r="J976" s="24"/>
      <c r="K976" s="11" t="b">
        <f t="shared" si="3"/>
        <v>0</v>
      </c>
    </row>
    <row r="977" ht="22.5" customHeight="1">
      <c r="A977" s="12">
        <f t="shared" si="4"/>
        <v>4575</v>
      </c>
      <c r="B977" s="6" t="s">
        <v>13183</v>
      </c>
      <c r="C977" s="7" t="str">
        <f t="shared" si="7"/>
        <v>🔊</v>
      </c>
      <c r="D977" s="8" t="s">
        <v>13184</v>
      </c>
      <c r="E977" s="6" t="s">
        <v>232</v>
      </c>
      <c r="F977" s="12" t="str">
        <f>IFERROR(__xludf.DUMMYFUNCTION("GOOGLETRANSLATE(B977,""zh_cn"",""vi"")"),"Được trang bị")</f>
        <v>Được trang bị</v>
      </c>
      <c r="G977" s="12"/>
      <c r="H977" s="6"/>
      <c r="I977" s="11" t="b">
        <f t="shared" si="2"/>
        <v>0</v>
      </c>
      <c r="J977" s="24"/>
      <c r="K977" s="11" t="b">
        <f t="shared" si="3"/>
        <v>0</v>
      </c>
    </row>
    <row r="978" ht="22.5" customHeight="1">
      <c r="A978" s="12">
        <f t="shared" si="4"/>
        <v>4576</v>
      </c>
      <c r="B978" s="6" t="s">
        <v>13185</v>
      </c>
      <c r="C978" s="7" t="str">
        <f t="shared" si="7"/>
        <v>🔊</v>
      </c>
      <c r="D978" s="8" t="s">
        <v>13186</v>
      </c>
      <c r="E978" s="6" t="s">
        <v>13</v>
      </c>
      <c r="F978" s="12" t="str">
        <f>IFERROR(__xludf.DUMMYFUNCTION("GOOGLETRANSLATE(B978,""zh_cn"",""vi"")"),"đền bù")</f>
        <v>đền bù</v>
      </c>
      <c r="G978" s="12"/>
      <c r="H978" s="6"/>
      <c r="I978" s="11" t="b">
        <f t="shared" si="2"/>
        <v>0</v>
      </c>
      <c r="J978" s="24"/>
      <c r="K978" s="11" t="b">
        <f t="shared" si="3"/>
        <v>0</v>
      </c>
    </row>
    <row r="979" ht="22.5" customHeight="1">
      <c r="A979" s="12">
        <f t="shared" si="4"/>
        <v>4577</v>
      </c>
      <c r="B979" s="6" t="s">
        <v>13187</v>
      </c>
      <c r="C979" s="7" t="str">
        <f t="shared" si="7"/>
        <v>🔊</v>
      </c>
      <c r="D979" s="8" t="s">
        <v>13188</v>
      </c>
      <c r="E979" s="6" t="s">
        <v>13</v>
      </c>
      <c r="F979" s="12" t="str">
        <f>IFERROR(__xludf.DUMMYFUNCTION("GOOGLETRANSLATE(B979,""zh_cn"",""vi"")"),"ngưỡng mộ")</f>
        <v>ngưỡng mộ</v>
      </c>
      <c r="G979" s="12"/>
      <c r="H979" s="6"/>
      <c r="I979" s="11" t="b">
        <f t="shared" si="2"/>
        <v>0</v>
      </c>
      <c r="J979" s="24"/>
      <c r="K979" s="11" t="b">
        <f t="shared" si="3"/>
        <v>0</v>
      </c>
    </row>
    <row r="980" ht="22.5" customHeight="1">
      <c r="A980" s="12">
        <f t="shared" si="4"/>
        <v>4578</v>
      </c>
      <c r="B980" s="6" t="s">
        <v>13189</v>
      </c>
      <c r="C980" s="7" t="str">
        <f t="shared" si="7"/>
        <v>🔊</v>
      </c>
      <c r="D980" s="8" t="s">
        <v>13190</v>
      </c>
      <c r="E980" s="6" t="s">
        <v>13</v>
      </c>
      <c r="F980" s="12" t="str">
        <f>IFERROR(__xludf.DUMMYFUNCTION("GOOGLETRANSLATE(B980,""zh_cn"",""vi"")"),"Hỗ trợ")</f>
        <v>Hỗ trợ</v>
      </c>
      <c r="G980" s="12"/>
      <c r="H980" s="6"/>
      <c r="I980" s="11" t="b">
        <f t="shared" si="2"/>
        <v>0</v>
      </c>
      <c r="J980" s="24"/>
      <c r="K980" s="11" t="b">
        <f t="shared" si="3"/>
        <v>0</v>
      </c>
    </row>
    <row r="981" ht="22.5" customHeight="1">
      <c r="A981" s="12">
        <f t="shared" si="4"/>
        <v>4579</v>
      </c>
      <c r="B981" s="6" t="s">
        <v>13191</v>
      </c>
      <c r="C981" s="7" t="str">
        <f t="shared" si="7"/>
        <v>🔊</v>
      </c>
      <c r="D981" s="8" t="s">
        <v>13192</v>
      </c>
      <c r="E981" s="6" t="s">
        <v>13</v>
      </c>
      <c r="F981" s="12" t="str">
        <f>IFERROR(__xludf.DUMMYFUNCTION("GOOGLETRANSLATE(B981,""zh_cn"",""vi"")"),"Đi kèm")</f>
        <v>Đi kèm</v>
      </c>
      <c r="G981" s="12"/>
      <c r="H981" s="6"/>
      <c r="I981" s="11" t="b">
        <f t="shared" si="2"/>
        <v>0</v>
      </c>
      <c r="J981" s="24"/>
      <c r="K981" s="11" t="b">
        <f t="shared" si="3"/>
        <v>0</v>
      </c>
    </row>
    <row r="982" ht="22.5" customHeight="1">
      <c r="A982" s="12">
        <f t="shared" si="4"/>
        <v>4580</v>
      </c>
      <c r="B982" s="6" t="s">
        <v>13193</v>
      </c>
      <c r="C982" s="7" t="str">
        <f t="shared" si="7"/>
        <v>🔊</v>
      </c>
      <c r="D982" s="8" t="s">
        <v>13194</v>
      </c>
      <c r="E982" s="6" t="s">
        <v>13</v>
      </c>
      <c r="F982" s="12" t="str">
        <f>IFERROR(__xludf.DUMMYFUNCTION("GOOGLETRANSLATE(B982,""zh_cn"",""vi"")"),"Trồng trọt")</f>
        <v>Trồng trọt</v>
      </c>
      <c r="G982" s="12"/>
      <c r="H982" s="6"/>
      <c r="I982" s="11" t="b">
        <f t="shared" si="2"/>
        <v>0</v>
      </c>
      <c r="J982" s="24"/>
      <c r="K982" s="11" t="b">
        <f t="shared" si="3"/>
        <v>0</v>
      </c>
    </row>
    <row r="983" ht="22.5" customHeight="1">
      <c r="A983" s="12">
        <f t="shared" si="4"/>
        <v>4581</v>
      </c>
      <c r="B983" s="6" t="s">
        <v>13195</v>
      </c>
      <c r="C983" s="7" t="str">
        <f t="shared" si="7"/>
        <v>🔊</v>
      </c>
      <c r="D983" s="8" t="s">
        <v>13196</v>
      </c>
      <c r="E983" s="6" t="s">
        <v>13</v>
      </c>
      <c r="F983" s="12" t="str">
        <f>IFERROR(__xludf.DUMMYFUNCTION("GOOGLETRANSLATE(B983,""zh_cn"",""vi"")"),"xịt")</f>
        <v>xịt</v>
      </c>
      <c r="G983" s="12"/>
      <c r="H983" s="6"/>
      <c r="I983" s="11" t="b">
        <f t="shared" si="2"/>
        <v>0</v>
      </c>
      <c r="J983" s="24"/>
      <c r="K983" s="11" t="b">
        <f t="shared" si="3"/>
        <v>0</v>
      </c>
    </row>
    <row r="984" ht="22.5" customHeight="1">
      <c r="A984" s="12">
        <f t="shared" si="4"/>
        <v>4582</v>
      </c>
      <c r="B984" s="6" t="s">
        <v>13197</v>
      </c>
      <c r="C984" s="7" t="str">
        <f t="shared" si="7"/>
        <v>🔊</v>
      </c>
      <c r="D984" s="8" t="s">
        <v>13198</v>
      </c>
      <c r="E984" s="6" t="s">
        <v>3215</v>
      </c>
      <c r="F984" s="12" t="str">
        <f>IFERROR(__xludf.DUMMYFUNCTION("GOOGLETRANSLATE(B984,""zh_cn"",""vi"")"),"Giữ")</f>
        <v>Giữ</v>
      </c>
      <c r="G984" s="12"/>
      <c r="H984" s="6"/>
      <c r="I984" s="11" t="b">
        <f t="shared" si="2"/>
        <v>0</v>
      </c>
      <c r="J984" s="24"/>
      <c r="K984" s="11" t="b">
        <f t="shared" si="3"/>
        <v>0</v>
      </c>
    </row>
    <row r="985" ht="22.5" customHeight="1">
      <c r="A985" s="12">
        <f t="shared" si="4"/>
        <v>4583</v>
      </c>
      <c r="B985" s="6" t="s">
        <v>13199</v>
      </c>
      <c r="C985" s="7" t="str">
        <f t="shared" si="7"/>
        <v>🔊</v>
      </c>
      <c r="D985" s="8" t="s">
        <v>13200</v>
      </c>
      <c r="E985" s="6" t="s">
        <v>13</v>
      </c>
      <c r="F985" s="12" t="str">
        <f>IFERROR(__xludf.DUMMYFUNCTION("GOOGLETRANSLATE(B985,""zh_cn"",""vi"")"),"va chạm")</f>
        <v>va chạm</v>
      </c>
      <c r="G985" s="12"/>
      <c r="H985" s="6"/>
      <c r="I985" s="11" t="b">
        <f t="shared" si="2"/>
        <v>0</v>
      </c>
      <c r="J985" s="24"/>
      <c r="K985" s="11" t="b">
        <f t="shared" si="3"/>
        <v>0</v>
      </c>
    </row>
    <row r="986" ht="22.5" customHeight="1">
      <c r="A986" s="12">
        <f t="shared" si="4"/>
        <v>4584</v>
      </c>
      <c r="B986" s="6" t="s">
        <v>13201</v>
      </c>
      <c r="C986" s="7" t="str">
        <f t="shared" si="7"/>
        <v>🔊</v>
      </c>
      <c r="D986" s="8" t="s">
        <v>13202</v>
      </c>
      <c r="E986" s="6" t="s">
        <v>3430</v>
      </c>
      <c r="F986" s="12" t="str">
        <f>IFERROR(__xludf.DUMMYFUNCTION("GOOGLETRANSLATE(B986,""zh_cn"",""vi"")"),"Da")</f>
        <v>Da</v>
      </c>
      <c r="G986" s="12"/>
      <c r="H986" s="6"/>
      <c r="I986" s="11" t="b">
        <f t="shared" si="2"/>
        <v>0</v>
      </c>
      <c r="J986" s="24"/>
      <c r="K986" s="11" t="b">
        <f t="shared" si="3"/>
        <v>0</v>
      </c>
    </row>
    <row r="987" ht="22.5" customHeight="1">
      <c r="A987" s="12">
        <f t="shared" si="4"/>
        <v>4585</v>
      </c>
      <c r="B987" s="6" t="s">
        <v>13203</v>
      </c>
      <c r="C987" s="7" t="str">
        <f t="shared" si="7"/>
        <v>🔊</v>
      </c>
      <c r="D987" s="8" t="s">
        <v>9046</v>
      </c>
      <c r="E987" s="6" t="s">
        <v>13</v>
      </c>
      <c r="F987" s="12" t="str">
        <f>IFERROR(__xludf.DUMMYFUNCTION("GOOGLETRANSLATE(B987,""zh_cn"",""vi"")"),"áo choàng")</f>
        <v>áo choàng</v>
      </c>
      <c r="G987" s="12"/>
      <c r="H987" s="6"/>
      <c r="I987" s="11" t="b">
        <f t="shared" si="2"/>
        <v>0</v>
      </c>
      <c r="J987" s="24"/>
      <c r="K987" s="11" t="b">
        <f t="shared" si="3"/>
        <v>0</v>
      </c>
    </row>
    <row r="988" ht="22.5" customHeight="1">
      <c r="A988" s="12">
        <f t="shared" si="4"/>
        <v>4586</v>
      </c>
      <c r="B988" s="6" t="s">
        <v>13204</v>
      </c>
      <c r="C988" s="7" t="str">
        <f t="shared" si="7"/>
        <v>🔊</v>
      </c>
      <c r="D988" s="8" t="s">
        <v>13205</v>
      </c>
      <c r="E988" s="6" t="s">
        <v>27</v>
      </c>
      <c r="F988" s="12" t="str">
        <f>IFERROR(__xludf.DUMMYFUNCTION("GOOGLETRANSLATE(B988,""zh_cn"",""vi"")"),"chốc lát")</f>
        <v>chốc lát</v>
      </c>
      <c r="G988" s="12"/>
      <c r="H988" s="6"/>
      <c r="I988" s="11" t="b">
        <f t="shared" si="2"/>
        <v>0</v>
      </c>
      <c r="J988" s="24"/>
      <c r="K988" s="11" t="b">
        <f t="shared" si="3"/>
        <v>0</v>
      </c>
    </row>
    <row r="989" ht="22.5" customHeight="1">
      <c r="A989" s="12">
        <f t="shared" si="4"/>
        <v>4587</v>
      </c>
      <c r="B989" s="6" t="s">
        <v>13206</v>
      </c>
      <c r="C989" s="7" t="str">
        <f t="shared" si="7"/>
        <v>🔊</v>
      </c>
      <c r="D989" s="8" t="s">
        <v>13207</v>
      </c>
      <c r="E989" s="6" t="s">
        <v>99</v>
      </c>
      <c r="F989" s="12" t="str">
        <f>IFERROR(__xludf.DUMMYFUNCTION("GOOGLETRANSLATE(B989,""zh_cn"",""vi"")"),"một chiều")</f>
        <v>một chiều</v>
      </c>
      <c r="G989" s="12"/>
      <c r="H989" s="6"/>
      <c r="I989" s="11" t="b">
        <f t="shared" si="2"/>
        <v>0</v>
      </c>
      <c r="J989" s="24"/>
      <c r="K989" s="11" t="b">
        <f t="shared" si="3"/>
        <v>0</v>
      </c>
    </row>
    <row r="990" ht="22.5" customHeight="1">
      <c r="A990" s="12">
        <f t="shared" si="4"/>
        <v>4588</v>
      </c>
      <c r="B990" s="6" t="s">
        <v>13208</v>
      </c>
      <c r="C990" s="7" t="str">
        <f t="shared" si="7"/>
        <v>🔊</v>
      </c>
      <c r="D990" s="8" t="s">
        <v>13209</v>
      </c>
      <c r="E990" s="6" t="s">
        <v>27</v>
      </c>
      <c r="F990" s="12" t="str">
        <f>IFERROR(__xludf.DUMMYFUNCTION("GOOGLETRANSLATE(B990,""zh_cn"",""vi"")"),"gian lận")</f>
        <v>gian lận</v>
      </c>
      <c r="G990" s="12"/>
      <c r="H990" s="6"/>
      <c r="I990" s="11" t="b">
        <f t="shared" si="2"/>
        <v>0</v>
      </c>
      <c r="J990" s="24"/>
      <c r="K990" s="11" t="b">
        <f t="shared" si="3"/>
        <v>0</v>
      </c>
    </row>
    <row r="991" ht="22.5" customHeight="1">
      <c r="A991" s="12">
        <f t="shared" si="4"/>
        <v>4589</v>
      </c>
      <c r="B991" s="6" t="s">
        <v>13210</v>
      </c>
      <c r="C991" s="7" t="str">
        <f t="shared" si="7"/>
        <v>🔊</v>
      </c>
      <c r="D991" s="8" t="s">
        <v>13211</v>
      </c>
      <c r="E991" s="6" t="s">
        <v>368</v>
      </c>
      <c r="F991" s="12" t="str">
        <f>IFERROR(__xludf.DUMMYFUNCTION("GOOGLETRANSLATE(B991,""zh_cn"",""vi"")"),"trôi nổi")</f>
        <v>trôi nổi</v>
      </c>
      <c r="G991" s="12"/>
      <c r="H991" s="6"/>
      <c r="I991" s="11" t="b">
        <f t="shared" si="2"/>
        <v>0</v>
      </c>
      <c r="J991" s="24"/>
      <c r="K991" s="11" t="b">
        <f t="shared" si="3"/>
        <v>0</v>
      </c>
    </row>
    <row r="992" ht="22.5" customHeight="1">
      <c r="A992" s="12">
        <f t="shared" si="4"/>
        <v>4590</v>
      </c>
      <c r="B992" s="6" t="s">
        <v>13212</v>
      </c>
      <c r="C992" s="7" t="str">
        <f t="shared" si="7"/>
        <v>🔊</v>
      </c>
      <c r="D992" s="8" t="s">
        <v>13211</v>
      </c>
      <c r="E992" s="6" t="s">
        <v>13</v>
      </c>
      <c r="F992" s="12" t="str">
        <f>IFERROR(__xludf.DUMMYFUNCTION("GOOGLETRANSLATE(B992,""zh_cn"",""vi"")"),"trôi dạt")</f>
        <v>trôi dạt</v>
      </c>
      <c r="G992" s="12"/>
      <c r="H992" s="6"/>
      <c r="I992" s="11" t="b">
        <f t="shared" si="2"/>
        <v>0</v>
      </c>
      <c r="J992" s="24"/>
      <c r="K992" s="11" t="b">
        <f t="shared" si="3"/>
        <v>0</v>
      </c>
    </row>
    <row r="993" ht="22.5" customHeight="1">
      <c r="A993" s="12">
        <f t="shared" si="4"/>
        <v>4591</v>
      </c>
      <c r="B993" s="6" t="s">
        <v>13213</v>
      </c>
      <c r="C993" s="7" t="str">
        <f t="shared" si="7"/>
        <v>🔊</v>
      </c>
      <c r="D993" s="8" t="s">
        <v>13214</v>
      </c>
      <c r="E993" s="6" t="s">
        <v>99</v>
      </c>
      <c r="F993" s="12" t="str">
        <f>IFERROR(__xludf.DUMMYFUNCTION("GOOGLETRANSLATE(B993,""zh_cn"",""vi"")"),"Mệt mỏi")</f>
        <v>Mệt mỏi</v>
      </c>
      <c r="G993" s="12"/>
      <c r="H993" s="6"/>
      <c r="I993" s="11" t="b">
        <f t="shared" si="2"/>
        <v>0</v>
      </c>
      <c r="J993" s="24"/>
      <c r="K993" s="11" t="b">
        <f t="shared" si="3"/>
        <v>0</v>
      </c>
    </row>
    <row r="994" ht="22.5" customHeight="1">
      <c r="A994" s="12">
        <f t="shared" si="4"/>
        <v>4592</v>
      </c>
      <c r="B994" s="6" t="s">
        <v>13215</v>
      </c>
      <c r="C994" s="7" t="str">
        <f t="shared" si="7"/>
        <v>🔊</v>
      </c>
      <c r="D994" s="8" t="s">
        <v>13216</v>
      </c>
      <c r="E994" s="6" t="s">
        <v>13</v>
      </c>
      <c r="F994" s="12" t="str">
        <f>IFERROR(__xludf.DUMMYFUNCTION("GOOGLETRANSLATE(B994,""zh_cn"",""vi"")"),"nếm")</f>
        <v>nếm</v>
      </c>
      <c r="G994" s="12"/>
      <c r="H994" s="6"/>
      <c r="I994" s="11" t="b">
        <f t="shared" si="2"/>
        <v>0</v>
      </c>
      <c r="J994" s="24"/>
      <c r="K994" s="11" t="b">
        <f t="shared" si="3"/>
        <v>0</v>
      </c>
    </row>
    <row r="995" ht="22.5" customHeight="1">
      <c r="A995" s="12">
        <f t="shared" si="4"/>
        <v>4593</v>
      </c>
      <c r="B995" s="6" t="s">
        <v>13217</v>
      </c>
      <c r="C995" s="7" t="str">
        <f t="shared" si="7"/>
        <v>🔊</v>
      </c>
      <c r="D995" s="8" t="s">
        <v>13218</v>
      </c>
      <c r="E995" s="6" t="s">
        <v>27</v>
      </c>
      <c r="F995" s="12" t="str">
        <f>IFERROR(__xludf.DUMMYFUNCTION("GOOGLETRANSLATE(B995,""zh_cn"",""vi"")"),"Kênh")</f>
        <v>Kênh</v>
      </c>
      <c r="G995" s="12"/>
      <c r="H995" s="6"/>
      <c r="I995" s="11" t="b">
        <f t="shared" si="2"/>
        <v>0</v>
      </c>
      <c r="J995" s="24"/>
      <c r="K995" s="11" t="b">
        <f t="shared" si="3"/>
        <v>0</v>
      </c>
    </row>
    <row r="996" ht="22.5" customHeight="1">
      <c r="A996" s="12">
        <f t="shared" si="4"/>
        <v>4594</v>
      </c>
      <c r="B996" s="6" t="s">
        <v>13219</v>
      </c>
      <c r="C996" s="7" t="str">
        <f t="shared" si="7"/>
        <v>🔊</v>
      </c>
      <c r="D996" s="8" t="s">
        <v>13220</v>
      </c>
      <c r="E996" s="6" t="s">
        <v>99</v>
      </c>
      <c r="F996" s="12" t="str">
        <f>IFERROR(__xludf.DUMMYFUNCTION("GOOGLETRANSLATE(B996,""zh_cn"",""vi"")"),"thường xuyên")</f>
        <v>thường xuyên</v>
      </c>
      <c r="G996" s="12"/>
      <c r="H996" s="6"/>
      <c r="I996" s="11" t="b">
        <f t="shared" si="2"/>
        <v>0</v>
      </c>
      <c r="J996" s="24"/>
      <c r="K996" s="11" t="b">
        <f t="shared" si="3"/>
        <v>0</v>
      </c>
    </row>
    <row r="997" ht="22.5" customHeight="1">
      <c r="A997" s="12">
        <f t="shared" si="4"/>
        <v>4595</v>
      </c>
      <c r="B997" s="6" t="s">
        <v>13221</v>
      </c>
      <c r="C997" s="7" t="str">
        <f t="shared" si="7"/>
        <v>🔊</v>
      </c>
      <c r="D997" s="8" t="s">
        <v>13222</v>
      </c>
      <c r="E997" s="6" t="s">
        <v>99</v>
      </c>
      <c r="F997" s="12" t="str">
        <f>IFERROR(__xludf.DUMMYFUNCTION("GOOGLETRANSLATE(B997,""zh_cn"",""vi"")"),"bình đẳng")</f>
        <v>bình đẳng</v>
      </c>
      <c r="G997" s="12"/>
      <c r="H997" s="6"/>
      <c r="I997" s="11" t="b">
        <f t="shared" si="2"/>
        <v>0</v>
      </c>
      <c r="J997" s="24"/>
      <c r="K997" s="11" t="b">
        <f t="shared" si="3"/>
        <v>0</v>
      </c>
    </row>
    <row r="998" ht="22.5" customHeight="1">
      <c r="A998" s="12">
        <f t="shared" si="4"/>
        <v>4596</v>
      </c>
      <c r="B998" s="6" t="s">
        <v>13223</v>
      </c>
      <c r="C998" s="7" t="str">
        <f t="shared" si="7"/>
        <v>🔊</v>
      </c>
      <c r="D998" s="8" t="s">
        <v>13224</v>
      </c>
      <c r="E998" s="6" t="s">
        <v>99</v>
      </c>
      <c r="F998" s="12" t="str">
        <f>IFERROR(__xludf.DUMMYFUNCTION("GOOGLETRANSLATE(B998,""zh_cn"",""vi"")"),"bình thường")</f>
        <v>bình thường</v>
      </c>
      <c r="G998" s="12"/>
      <c r="H998" s="6"/>
      <c r="I998" s="11" t="b">
        <f t="shared" si="2"/>
        <v>0</v>
      </c>
      <c r="J998" s="24"/>
      <c r="K998" s="11" t="b">
        <f t="shared" si="3"/>
        <v>0</v>
      </c>
    </row>
    <row r="999" ht="22.5" customHeight="1">
      <c r="A999" s="12">
        <f t="shared" si="4"/>
        <v>4597</v>
      </c>
      <c r="B999" s="6" t="s">
        <v>13225</v>
      </c>
      <c r="C999" s="7" t="str">
        <f t="shared" si="7"/>
        <v>🔊</v>
      </c>
      <c r="D999" s="8" t="s">
        <v>13226</v>
      </c>
      <c r="E999" s="6" t="s">
        <v>259</v>
      </c>
      <c r="F999" s="12" t="str">
        <f>IFERROR(__xludf.DUMMYFUNCTION("GOOGLETRANSLATE(B999,""zh_cn"",""vi"")"),"quảng trường")</f>
        <v>quảng trường</v>
      </c>
      <c r="G999" s="12"/>
      <c r="H999" s="6"/>
      <c r="I999" s="11" t="b">
        <f t="shared" si="2"/>
        <v>0</v>
      </c>
      <c r="J999" s="24"/>
      <c r="K999" s="11" t="b">
        <f t="shared" si="3"/>
        <v>0</v>
      </c>
    </row>
    <row r="1000" ht="22.5" customHeight="1">
      <c r="A1000" s="12">
        <f t="shared" si="4"/>
        <v>4598</v>
      </c>
      <c r="B1000" s="6" t="s">
        <v>13227</v>
      </c>
      <c r="C1000" s="7" t="str">
        <f t="shared" si="7"/>
        <v>🔊</v>
      </c>
      <c r="D1000" s="8" t="s">
        <v>13228</v>
      </c>
      <c r="E1000" s="6" t="s">
        <v>47</v>
      </c>
      <c r="F1000" s="12" t="str">
        <f>IFERROR(__xludf.DUMMYFUNCTION("GOOGLETRANSLATE(B1000,""zh_cn"",""vi"")"),"mét vuông")</f>
        <v>mét vuông</v>
      </c>
      <c r="G1000" s="12"/>
      <c r="H1000" s="6"/>
      <c r="I1000" s="11" t="b">
        <f t="shared" si="2"/>
        <v>0</v>
      </c>
      <c r="J1000" s="24"/>
      <c r="K1000" s="11" t="b">
        <f t="shared" si="3"/>
        <v>0</v>
      </c>
    </row>
    <row r="1001" ht="22.5" customHeight="1">
      <c r="A1001" s="12">
        <f t="shared" si="4"/>
        <v>4599</v>
      </c>
      <c r="B1001" s="6" t="s">
        <v>13229</v>
      </c>
      <c r="C1001" s="7" t="str">
        <f t="shared" si="7"/>
        <v>🔊</v>
      </c>
      <c r="D1001" s="8" t="s">
        <v>13230</v>
      </c>
      <c r="E1001" s="6" t="s">
        <v>13</v>
      </c>
      <c r="F1001" s="12" t="str">
        <f>IFERROR(__xludf.DUMMYFUNCTION("GOOGLETRANSLATE(B1001,""zh_cn"",""vi"")"),"Đánh giá")</f>
        <v>Đánh giá</v>
      </c>
      <c r="G1001" s="12"/>
      <c r="H1001" s="6"/>
      <c r="I1001" s="11" t="b">
        <f t="shared" si="2"/>
        <v>0</v>
      </c>
      <c r="J1001" s="24"/>
      <c r="K1001" s="11" t="b">
        <f t="shared" si="3"/>
        <v>0</v>
      </c>
    </row>
    <row r="1002" ht="22.5" customHeight="1">
      <c r="A1002" s="12">
        <f t="shared" si="4"/>
        <v>4600</v>
      </c>
      <c r="B1002" s="6" t="s">
        <v>13231</v>
      </c>
      <c r="C1002" s="7" t="str">
        <f t="shared" si="7"/>
        <v>🔊</v>
      </c>
      <c r="D1002" s="8" t="s">
        <v>13232</v>
      </c>
      <c r="E1002" s="6" t="s">
        <v>232</v>
      </c>
      <c r="F1002" s="12" t="str">
        <f>IFERROR(__xludf.DUMMYFUNCTION("GOOGLETRANSLATE(B1002,""zh_cn"",""vi"")"),"Bình luận")</f>
        <v>Bình luận</v>
      </c>
      <c r="G1002" s="12"/>
      <c r="H1002" s="6"/>
      <c r="I1002" s="11" t="b">
        <f t="shared" si="2"/>
        <v>0</v>
      </c>
      <c r="J1002" s="24"/>
      <c r="K1002" s="11" t="b">
        <f t="shared" si="3"/>
        <v>0</v>
      </c>
    </row>
    <row r="1003" ht="22.5" customHeight="1">
      <c r="A1003" s="12">
        <f t="shared" si="4"/>
        <v>4601</v>
      </c>
      <c r="B1003" s="6" t="s">
        <v>13233</v>
      </c>
      <c r="C1003" s="7" t="str">
        <f t="shared" si="7"/>
        <v>🔊</v>
      </c>
      <c r="D1003" s="8" t="s">
        <v>13234</v>
      </c>
      <c r="E1003" s="6" t="s">
        <v>13</v>
      </c>
      <c r="F1003" s="12" t="str">
        <f>IFERROR(__xludf.DUMMYFUNCTION("GOOGLETRANSLATE(B1003,""zh_cn"",""vi"")"),"Lựa chọn")</f>
        <v>Lựa chọn</v>
      </c>
      <c r="G1003" s="12"/>
      <c r="H1003" s="6"/>
      <c r="I1003" s="11" t="b">
        <f t="shared" si="2"/>
        <v>0</v>
      </c>
      <c r="J1003" s="24"/>
      <c r="K1003" s="11" t="b">
        <f t="shared" si="3"/>
        <v>0</v>
      </c>
    </row>
    <row r="1004" ht="22.5" customHeight="1">
      <c r="A1004" s="12">
        <f t="shared" si="4"/>
        <v>4602</v>
      </c>
      <c r="B1004" s="6" t="s">
        <v>13235</v>
      </c>
      <c r="C1004" s="7" t="str">
        <f t="shared" si="7"/>
        <v>🔊</v>
      </c>
      <c r="D1004" s="8" t="s">
        <v>13236</v>
      </c>
      <c r="E1004" s="6" t="s">
        <v>99</v>
      </c>
      <c r="F1004" s="12" t="str">
        <f>IFERROR(__xludf.DUMMYFUNCTION("GOOGLETRANSLATE(B1004,""zh_cn"",""vi"")"),"nghèo")</f>
        <v>nghèo</v>
      </c>
      <c r="G1004" s="12"/>
      <c r="H1004" s="6"/>
      <c r="I1004" s="11" t="b">
        <f t="shared" si="2"/>
        <v>0</v>
      </c>
      <c r="J1004" s="24"/>
      <c r="K1004" s="11" t="b">
        <f t="shared" si="3"/>
        <v>0</v>
      </c>
    </row>
    <row r="1005" ht="22.5" customHeight="1">
      <c r="A1005" s="12">
        <f t="shared" si="4"/>
        <v>4603</v>
      </c>
      <c r="B1005" s="6" t="s">
        <v>13237</v>
      </c>
      <c r="C1005" s="7" t="str">
        <f t="shared" si="7"/>
        <v>🔊</v>
      </c>
      <c r="D1005" s="8" t="s">
        <v>13238</v>
      </c>
      <c r="E1005" s="6" t="s">
        <v>27</v>
      </c>
      <c r="F1005" s="12" t="str">
        <f>IFERROR(__xludf.DUMMYFUNCTION("GOOGLETRANSLATE(B1005,""zh_cn"",""vi"")"),"Tính thường xuyên")</f>
        <v>Tính thường xuyên</v>
      </c>
      <c r="G1005" s="12"/>
      <c r="H1005" s="6"/>
      <c r="I1005" s="11" t="b">
        <f t="shared" si="2"/>
        <v>0</v>
      </c>
      <c r="J1005" s="24"/>
      <c r="K1005" s="11" t="b">
        <f t="shared" si="3"/>
        <v>0</v>
      </c>
    </row>
    <row r="1006" ht="22.5" customHeight="1">
      <c r="A1006" s="12">
        <f t="shared" si="4"/>
        <v>4604</v>
      </c>
      <c r="B1006" s="6" t="s">
        <v>13239</v>
      </c>
      <c r="C1006" s="7" t="str">
        <f t="shared" si="7"/>
        <v>🔊</v>
      </c>
      <c r="D1006" s="8" t="s">
        <v>13240</v>
      </c>
      <c r="E1006" s="6" t="s">
        <v>3430</v>
      </c>
      <c r="F1006" s="12" t="str">
        <f>IFERROR(__xludf.DUMMYFUNCTION("GOOGLETRANSLATE(B1006,""zh_cn"",""vi"")"),"độ dốc")</f>
        <v>độ dốc</v>
      </c>
      <c r="G1006" s="12"/>
      <c r="H1006" s="6"/>
      <c r="I1006" s="11" t="b">
        <f t="shared" si="2"/>
        <v>0</v>
      </c>
      <c r="J1006" s="24"/>
      <c r="K1006" s="11" t="b">
        <f t="shared" si="3"/>
        <v>0</v>
      </c>
    </row>
    <row r="1007" ht="22.5" customHeight="1">
      <c r="A1007" s="12">
        <f t="shared" si="4"/>
        <v>4605</v>
      </c>
      <c r="B1007" s="6" t="s">
        <v>13241</v>
      </c>
      <c r="C1007" s="7" t="str">
        <f t="shared" si="7"/>
        <v>🔊</v>
      </c>
      <c r="D1007" s="8" t="s">
        <v>13240</v>
      </c>
      <c r="E1007" s="6" t="s">
        <v>13</v>
      </c>
      <c r="F1007" s="12" t="str">
        <f>IFERROR(__xludf.DUMMYFUNCTION("GOOGLETRANSLATE(B1007,""zh_cn"",""vi"")"),"bắn tung tóe")</f>
        <v>bắn tung tóe</v>
      </c>
      <c r="G1007" s="12"/>
      <c r="H1007" s="6"/>
      <c r="I1007" s="11" t="b">
        <f t="shared" si="2"/>
        <v>0</v>
      </c>
      <c r="J1007" s="24"/>
      <c r="K1007" s="11" t="b">
        <f t="shared" si="3"/>
        <v>0</v>
      </c>
    </row>
    <row r="1008" ht="22.5" customHeight="1">
      <c r="A1008" s="12">
        <f t="shared" si="4"/>
        <v>4606</v>
      </c>
      <c r="B1008" s="6" t="s">
        <v>13242</v>
      </c>
      <c r="C1008" s="7" t="str">
        <f t="shared" si="7"/>
        <v>🔊</v>
      </c>
      <c r="D1008" s="8" t="s">
        <v>13243</v>
      </c>
      <c r="E1008" s="6" t="s">
        <v>13</v>
      </c>
      <c r="F1008" s="12" t="str">
        <f>IFERROR(__xludf.DUMMYFUNCTION("GOOGLETRANSLATE(B1008,""zh_cn"",""vi"")"),"Phá sản")</f>
        <v>Phá sản</v>
      </c>
      <c r="G1008" s="12"/>
      <c r="H1008" s="6"/>
      <c r="I1008" s="11" t="b">
        <f t="shared" si="2"/>
        <v>0</v>
      </c>
      <c r="J1008" s="24"/>
      <c r="K1008" s="11" t="b">
        <f t="shared" si="3"/>
        <v>0</v>
      </c>
    </row>
    <row r="1009" ht="22.5" customHeight="1">
      <c r="A1009" s="12">
        <f t="shared" si="4"/>
        <v>4607</v>
      </c>
      <c r="B1009" s="6" t="s">
        <v>13244</v>
      </c>
      <c r="C1009" s="7" t="str">
        <f t="shared" si="7"/>
        <v>🔊</v>
      </c>
      <c r="D1009" s="8" t="s">
        <v>13245</v>
      </c>
      <c r="E1009" s="6" t="s">
        <v>99</v>
      </c>
      <c r="F1009" s="12" t="str">
        <f>IFERROR(__xludf.DUMMYFUNCTION("GOOGLETRANSLATE(B1009,""zh_cn"",""vi"")"),"cấp bách")</f>
        <v>cấp bách</v>
      </c>
      <c r="G1009" s="12"/>
      <c r="H1009" s="6"/>
      <c r="I1009" s="11" t="b">
        <f t="shared" si="2"/>
        <v>0</v>
      </c>
      <c r="J1009" s="24"/>
      <c r="K1009" s="11" t="b">
        <f t="shared" si="3"/>
        <v>0</v>
      </c>
    </row>
    <row r="1010" ht="22.5" customHeight="1">
      <c r="A1010" s="12">
        <f t="shared" si="4"/>
        <v>4608</v>
      </c>
      <c r="B1010" s="6" t="s">
        <v>13246</v>
      </c>
      <c r="C1010" s="7" t="str">
        <f t="shared" si="7"/>
        <v>🔊</v>
      </c>
      <c r="D1010" s="8" t="s">
        <v>13247</v>
      </c>
      <c r="E1010" s="6" t="s">
        <v>13</v>
      </c>
      <c r="F1010" s="12" t="str">
        <f>IFERROR(__xludf.DUMMYFUNCTION("GOOGLETRANSLATE(B1010,""zh_cn"",""vi"")"),"rung động")</f>
        <v>rung động</v>
      </c>
      <c r="G1010" s="12"/>
      <c r="H1010" s="6"/>
      <c r="I1010" s="11" t="b">
        <f t="shared" si="2"/>
        <v>0</v>
      </c>
      <c r="J1010" s="24"/>
      <c r="K1010" s="11" t="b">
        <f t="shared" si="3"/>
        <v>0</v>
      </c>
    </row>
    <row r="1011" ht="22.5" customHeight="1">
      <c r="A1011" s="12">
        <f t="shared" si="4"/>
        <v>4609</v>
      </c>
      <c r="B1011" s="6" t="s">
        <v>13248</v>
      </c>
      <c r="C1011" s="7" t="str">
        <f t="shared" si="7"/>
        <v>🔊</v>
      </c>
      <c r="D1011" s="8" t="s">
        <v>13247</v>
      </c>
      <c r="E1011" s="6" t="s">
        <v>13</v>
      </c>
      <c r="F1011" s="12" t="str">
        <f>IFERROR(__xludf.DUMMYFUNCTION("GOOGLETRANSLATE(B1011,""zh_cn"",""vi"")"),"cửa hàng")</f>
        <v>cửa hàng</v>
      </c>
      <c r="G1011" s="12"/>
      <c r="H1011" s="6"/>
      <c r="I1011" s="11" t="b">
        <f t="shared" si="2"/>
        <v>0</v>
      </c>
      <c r="J1011" s="24"/>
      <c r="K1011" s="11" t="b">
        <f t="shared" si="3"/>
        <v>0</v>
      </c>
    </row>
    <row r="1012" ht="22.5" customHeight="1">
      <c r="A1012" s="12">
        <f t="shared" si="4"/>
        <v>4610</v>
      </c>
      <c r="B1012" s="6" t="s">
        <v>13249</v>
      </c>
      <c r="C1012" s="7" t="str">
        <f t="shared" si="7"/>
        <v>🔊</v>
      </c>
      <c r="D1012" s="8" t="s">
        <v>13250</v>
      </c>
      <c r="E1012" s="6" t="s">
        <v>13</v>
      </c>
      <c r="F1012" s="12" t="str">
        <f>IFERROR(__xludf.DUMMYFUNCTION("GOOGLETRANSLATE(B1012,""zh_cn"",""vi"")"),"dập tắt")</f>
        <v>dập tắt</v>
      </c>
      <c r="G1012" s="12"/>
      <c r="H1012" s="6"/>
      <c r="I1012" s="11" t="b">
        <f t="shared" si="2"/>
        <v>0</v>
      </c>
      <c r="J1012" s="24"/>
      <c r="K1012" s="11" t="b">
        <f t="shared" si="3"/>
        <v>0</v>
      </c>
    </row>
    <row r="1013" ht="22.5" customHeight="1">
      <c r="A1013" s="12">
        <f t="shared" si="4"/>
        <v>4611</v>
      </c>
      <c r="B1013" s="6" t="s">
        <v>13251</v>
      </c>
      <c r="C1013" s="7" t="str">
        <f t="shared" si="7"/>
        <v>🔊</v>
      </c>
      <c r="D1013" s="8" t="s">
        <v>13252</v>
      </c>
      <c r="E1013" s="6" t="s">
        <v>99</v>
      </c>
      <c r="F1013" s="12" t="str">
        <f>IFERROR(__xludf.DUMMYFUNCTION("GOOGLETRANSLATE(B1013,""zh_cn"",""vi"")"),"đơn giản")</f>
        <v>đơn giản</v>
      </c>
      <c r="G1013" s="12"/>
      <c r="H1013" s="6"/>
      <c r="I1013" s="11" t="b">
        <f t="shared" si="2"/>
        <v>0</v>
      </c>
      <c r="J1013" s="24"/>
      <c r="K1013" s="11" t="b">
        <f t="shared" si="3"/>
        <v>0</v>
      </c>
    </row>
    <row r="1014" ht="22.5" customHeight="1">
      <c r="A1014" s="12">
        <f t="shared" si="4"/>
        <v>4612</v>
      </c>
      <c r="B1014" s="6" t="s">
        <v>13253</v>
      </c>
      <c r="C1014" s="7" t="str">
        <f t="shared" si="7"/>
        <v>🔊</v>
      </c>
      <c r="D1014" s="8" t="s">
        <v>13254</v>
      </c>
      <c r="E1014" s="6" t="s">
        <v>99</v>
      </c>
      <c r="F1014" s="12" t="str">
        <f>IFERROR(__xludf.DUMMYFUNCTION("GOOGLETRANSLATE(B1014,""zh_cn"",""vi"")"),"phù hợp")</f>
        <v>phù hợp</v>
      </c>
      <c r="G1014" s="12"/>
      <c r="H1014" s="6"/>
      <c r="I1014" s="11" t="b">
        <f t="shared" si="2"/>
        <v>0</v>
      </c>
      <c r="J1014" s="24"/>
      <c r="K1014" s="11" t="b">
        <f t="shared" si="3"/>
        <v>0</v>
      </c>
    </row>
    <row r="1015" ht="22.5" customHeight="1">
      <c r="A1015" s="12">
        <f t="shared" si="4"/>
        <v>4613</v>
      </c>
      <c r="B1015" s="6" t="s">
        <v>13255</v>
      </c>
      <c r="C1015" s="7" t="str">
        <f t="shared" si="7"/>
        <v>🔊</v>
      </c>
      <c r="D1015" s="8" t="s">
        <v>13256</v>
      </c>
      <c r="E1015" s="6" t="s">
        <v>61</v>
      </c>
      <c r="F1015" s="12" t="str">
        <f>IFERROR(__xludf.DUMMYFUNCTION("GOOGLETRANSLATE(B1015,""zh_cn"",""vi"")"),"chính xác")</f>
        <v>chính xác</v>
      </c>
      <c r="G1015" s="12"/>
      <c r="H1015" s="6"/>
      <c r="I1015" s="11" t="b">
        <f t="shared" si="2"/>
        <v>0</v>
      </c>
      <c r="J1015" s="24"/>
      <c r="K1015" s="11" t="b">
        <f t="shared" si="3"/>
        <v>0</v>
      </c>
    </row>
    <row r="1016" ht="22.5" customHeight="1">
      <c r="A1016" s="12">
        <f t="shared" si="4"/>
        <v>4614</v>
      </c>
      <c r="B1016" s="6" t="s">
        <v>13257</v>
      </c>
      <c r="C1016" s="7" t="str">
        <f t="shared" si="7"/>
        <v>🔊</v>
      </c>
      <c r="D1016" s="8" t="s">
        <v>567</v>
      </c>
      <c r="E1016" s="6" t="s">
        <v>13</v>
      </c>
      <c r="F1016" s="12" t="str">
        <f>IFERROR(__xludf.DUMMYFUNCTION("GOOGLETRANSLATE(B1016,""zh_cn"",""vi"")"),"Sự lôi kéo")</f>
        <v>Sự lôi kéo</v>
      </c>
      <c r="G1016" s="12"/>
      <c r="H1016" s="6"/>
      <c r="I1016" s="11" t="b">
        <f t="shared" si="2"/>
        <v>0</v>
      </c>
      <c r="J1016" s="24"/>
      <c r="K1016" s="11" t="b">
        <f t="shared" si="3"/>
        <v>0</v>
      </c>
    </row>
    <row r="1017" ht="22.5" customHeight="1">
      <c r="A1017" s="12">
        <f t="shared" si="4"/>
        <v>4615</v>
      </c>
      <c r="B1017" s="6" t="s">
        <v>13258</v>
      </c>
      <c r="C1017" s="7" t="str">
        <f t="shared" si="7"/>
        <v>🔊</v>
      </c>
      <c r="D1017" s="8" t="s">
        <v>13259</v>
      </c>
      <c r="E1017" s="6" t="s">
        <v>27</v>
      </c>
      <c r="F1017" s="12" t="str">
        <f>IFERROR(__xludf.DUMMYFUNCTION("GOOGLETRANSLATE(B1017,""zh_cn"",""vi"")"),"súng")</f>
        <v>súng</v>
      </c>
      <c r="G1017" s="12"/>
      <c r="H1017" s="6"/>
      <c r="I1017" s="11" t="b">
        <f t="shared" si="2"/>
        <v>0</v>
      </c>
      <c r="J1017" s="24"/>
      <c r="K1017" s="11" t="b">
        <f t="shared" si="3"/>
        <v>0</v>
      </c>
    </row>
    <row r="1018" ht="22.5" customHeight="1">
      <c r="A1018" s="12">
        <f t="shared" si="4"/>
        <v>4616</v>
      </c>
      <c r="B1018" s="6" t="s">
        <v>13260</v>
      </c>
      <c r="C1018" s="7" t="str">
        <f t="shared" si="7"/>
        <v>🔊</v>
      </c>
      <c r="D1018" s="8" t="s">
        <v>13261</v>
      </c>
      <c r="E1018" s="6" t="s">
        <v>27</v>
      </c>
      <c r="F1018" s="12" t="str">
        <f>IFERROR(__xludf.DUMMYFUNCTION("GOOGLETRANSLATE(B1018,""zh_cn"",""vi"")"),"tường")</f>
        <v>tường</v>
      </c>
      <c r="G1018" s="12"/>
      <c r="H1018" s="6"/>
      <c r="I1018" s="11" t="b">
        <f t="shared" si="2"/>
        <v>0</v>
      </c>
      <c r="J1018" s="24"/>
      <c r="K1018" s="11" t="b">
        <f t="shared" si="3"/>
        <v>0</v>
      </c>
    </row>
    <row r="1019" ht="22.5" customHeight="1">
      <c r="A1019" s="12">
        <f t="shared" si="4"/>
        <v>4617</v>
      </c>
      <c r="B1019" s="6" t="s">
        <v>13262</v>
      </c>
      <c r="C1019" s="7" t="str">
        <f t="shared" si="7"/>
        <v>🔊</v>
      </c>
      <c r="D1019" s="8" t="s">
        <v>13263</v>
      </c>
      <c r="E1019" s="6" t="s">
        <v>13</v>
      </c>
      <c r="F1019" s="12" t="str">
        <f>IFERROR(__xludf.DUMMYFUNCTION("GOOGLETRANSLATE(B1019,""zh_cn"",""vi"")"),"tăng cường")</f>
        <v>tăng cường</v>
      </c>
      <c r="G1019" s="12"/>
      <c r="H1019" s="6"/>
      <c r="I1019" s="11" t="b">
        <f t="shared" si="2"/>
        <v>0</v>
      </c>
      <c r="J1019" s="24"/>
      <c r="K1019" s="11" t="b">
        <f t="shared" si="3"/>
        <v>0</v>
      </c>
    </row>
    <row r="1020" ht="22.5" customHeight="1">
      <c r="A1020" s="12">
        <f t="shared" si="4"/>
        <v>4618</v>
      </c>
      <c r="B1020" s="6" t="s">
        <v>13264</v>
      </c>
      <c r="C1020" s="7" t="str">
        <f t="shared" si="7"/>
        <v>🔊</v>
      </c>
      <c r="D1020" s="8" t="s">
        <v>13265</v>
      </c>
      <c r="E1020" s="6" t="s">
        <v>13</v>
      </c>
      <c r="F1020" s="12" t="str">
        <f>IFERROR(__xludf.DUMMYFUNCTION("GOOGLETRANSLATE(B1020,""zh_cn"",""vi"")"),"lực lượng")</f>
        <v>lực lượng</v>
      </c>
      <c r="G1020" s="12"/>
      <c r="H1020" s="6"/>
      <c r="I1020" s="11" t="b">
        <f t="shared" si="2"/>
        <v>0</v>
      </c>
      <c r="J1020" s="24"/>
      <c r="K1020" s="11" t="b">
        <f t="shared" si="3"/>
        <v>0</v>
      </c>
    </row>
    <row r="1021" ht="22.5" customHeight="1">
      <c r="A1021" s="12">
        <f t="shared" si="4"/>
        <v>4619</v>
      </c>
      <c r="B1021" s="6" t="s">
        <v>13266</v>
      </c>
      <c r="C1021" s="7" t="str">
        <f t="shared" si="7"/>
        <v>🔊</v>
      </c>
      <c r="D1021" s="8" t="s">
        <v>13267</v>
      </c>
      <c r="E1021" s="6" t="s">
        <v>416</v>
      </c>
      <c r="F1021" s="12" t="str">
        <f>IFERROR(__xludf.DUMMYFUNCTION("GOOGLETRANSLATE(B1021,""zh_cn"",""vi"")"),"mạnh")</f>
        <v>mạnh</v>
      </c>
      <c r="G1021" s="12"/>
      <c r="H1021" s="6"/>
      <c r="I1021" s="11" t="b">
        <f t="shared" si="2"/>
        <v>0</v>
      </c>
      <c r="J1021" s="24"/>
      <c r="K1021" s="11" t="b">
        <f t="shared" si="3"/>
        <v>0</v>
      </c>
    </row>
    <row r="1022" ht="22.5" customHeight="1">
      <c r="A1022" s="12">
        <f t="shared" si="4"/>
        <v>4620</v>
      </c>
      <c r="B1022" s="6" t="s">
        <v>13268</v>
      </c>
      <c r="C1022" s="7" t="str">
        <f t="shared" si="7"/>
        <v>🔊</v>
      </c>
      <c r="D1022" s="8" t="s">
        <v>13269</v>
      </c>
      <c r="E1022" s="14"/>
      <c r="F1022" s="12" t="str">
        <f>IFERROR(__xludf.DUMMYFUNCTION("GOOGLETRANSLATE(B1022,""zh_cn"",""vi"")"),"hàng nghìn hộ gia đình")</f>
        <v>hàng nghìn hộ gia đình</v>
      </c>
      <c r="G1022" s="12"/>
      <c r="H1022" s="6"/>
      <c r="I1022" s="11" t="b">
        <f t="shared" si="2"/>
        <v>0</v>
      </c>
      <c r="J1022" s="24"/>
      <c r="K1022" s="11" t="b">
        <f t="shared" si="3"/>
        <v>0</v>
      </c>
    </row>
    <row r="1023" ht="22.5" customHeight="1">
      <c r="A1023" s="12">
        <f t="shared" si="4"/>
        <v>4621</v>
      </c>
      <c r="B1023" s="6" t="s">
        <v>13270</v>
      </c>
      <c r="C1023" s="7" t="str">
        <f t="shared" si="7"/>
        <v>🔊</v>
      </c>
      <c r="D1023" s="8" t="s">
        <v>13271</v>
      </c>
      <c r="E1023" s="6" t="s">
        <v>27</v>
      </c>
      <c r="F1023" s="12" t="str">
        <f>IFERROR(__xludf.DUMMYFUNCTION("GOOGLETRANSLATE(B1023,""zh_cn"",""vi"")"),"triển vọng")</f>
        <v>triển vọng</v>
      </c>
      <c r="G1023" s="12"/>
      <c r="H1023" s="6"/>
      <c r="I1023" s="11" t="b">
        <f t="shared" si="2"/>
        <v>0</v>
      </c>
      <c r="J1023" s="24"/>
      <c r="K1023" s="11" t="b">
        <f t="shared" si="3"/>
        <v>0</v>
      </c>
    </row>
    <row r="1024" ht="22.5" customHeight="1">
      <c r="A1024" s="12">
        <f t="shared" si="4"/>
        <v>4622</v>
      </c>
      <c r="B1024" s="6" t="s">
        <v>13272</v>
      </c>
      <c r="C1024" s="7" t="str">
        <f t="shared" si="7"/>
        <v>🔊</v>
      </c>
      <c r="D1024" s="8" t="s">
        <v>13273</v>
      </c>
      <c r="E1024" s="6" t="s">
        <v>27</v>
      </c>
      <c r="F1024" s="12" t="str">
        <f>IFERROR(__xludf.DUMMYFUNCTION("GOOGLETRANSLATE(B1024,""zh_cn"",""vi"")"),"tiềm năng")</f>
        <v>tiềm năng</v>
      </c>
      <c r="G1024" s="12"/>
      <c r="H1024" s="6"/>
      <c r="I1024" s="11" t="b">
        <f t="shared" si="2"/>
        <v>0</v>
      </c>
      <c r="J1024" s="24"/>
      <c r="K1024" s="11" t="b">
        <f t="shared" si="3"/>
        <v>0</v>
      </c>
    </row>
    <row r="1025" ht="22.5" customHeight="1">
      <c r="A1025" s="12">
        <f t="shared" si="4"/>
        <v>4623</v>
      </c>
      <c r="B1025" s="6" t="s">
        <v>13274</v>
      </c>
      <c r="C1025" s="7" t="str">
        <f t="shared" si="7"/>
        <v>🔊</v>
      </c>
      <c r="D1025" s="8" t="s">
        <v>13275</v>
      </c>
      <c r="E1025" s="6" t="s">
        <v>27</v>
      </c>
      <c r="F1025" s="12" t="str">
        <f>IFERROR(__xludf.DUMMYFUNCTION("GOOGLETRANSLATE(B1025,""zh_cn"",""vi"")"),"Giai đoạn đầu")</f>
        <v>Giai đoạn đầu</v>
      </c>
      <c r="G1025" s="12"/>
      <c r="H1025" s="6"/>
      <c r="I1025" s="11" t="b">
        <f t="shared" si="2"/>
        <v>0</v>
      </c>
      <c r="J1025" s="24"/>
      <c r="K1025" s="11" t="b">
        <f t="shared" si="3"/>
        <v>0</v>
      </c>
    </row>
    <row r="1026" ht="22.5" customHeight="1">
      <c r="A1026" s="12">
        <f t="shared" si="4"/>
        <v>4624</v>
      </c>
      <c r="B1026" s="6" t="s">
        <v>13276</v>
      </c>
      <c r="C1026" s="7" t="str">
        <f t="shared" si="7"/>
        <v>🔊</v>
      </c>
      <c r="D1026" s="8" t="s">
        <v>13277</v>
      </c>
      <c r="E1026" s="6" t="s">
        <v>27</v>
      </c>
      <c r="F1026" s="12" t="str">
        <f>IFERROR(__xludf.DUMMYFUNCTION("GOOGLETRANSLATE(B1026,""zh_cn"",""vi"")"),"tiền đề")</f>
        <v>tiền đề</v>
      </c>
      <c r="G1026" s="12"/>
      <c r="H1026" s="6"/>
      <c r="I1026" s="11" t="b">
        <f t="shared" si="2"/>
        <v>0</v>
      </c>
      <c r="J1026" s="24"/>
      <c r="K1026" s="11" t="b">
        <f t="shared" si="3"/>
        <v>0</v>
      </c>
    </row>
    <row r="1027" ht="22.5" customHeight="1">
      <c r="A1027" s="12">
        <f t="shared" si="4"/>
        <v>4625</v>
      </c>
      <c r="B1027" s="6" t="s">
        <v>13278</v>
      </c>
      <c r="C1027" s="7" t="str">
        <f t="shared" si="7"/>
        <v>🔊</v>
      </c>
      <c r="D1027" s="8" t="s">
        <v>13279</v>
      </c>
      <c r="E1027" s="6" t="s">
        <v>416</v>
      </c>
      <c r="F1027" s="12" t="str">
        <f>IFERROR(__xludf.DUMMYFUNCTION("GOOGLETRANSLATE(B1027,""zh_cn"",""vi"")"),"sự khiêm tốn")</f>
        <v>sự khiêm tốn</v>
      </c>
      <c r="G1027" s="12"/>
      <c r="H1027" s="6"/>
      <c r="I1027" s="11" t="b">
        <f t="shared" si="2"/>
        <v>0</v>
      </c>
      <c r="J1027" s="24"/>
      <c r="K1027" s="11" t="b">
        <f t="shared" si="3"/>
        <v>0</v>
      </c>
    </row>
    <row r="1028" ht="22.5" customHeight="1">
      <c r="A1028" s="12">
        <f t="shared" si="4"/>
        <v>4626</v>
      </c>
      <c r="B1028" s="6" t="s">
        <v>13280</v>
      </c>
      <c r="C1028" s="7" t="str">
        <f t="shared" si="7"/>
        <v>🔊</v>
      </c>
      <c r="D1028" s="8" t="s">
        <v>13281</v>
      </c>
      <c r="E1028" s="6" t="s">
        <v>27</v>
      </c>
      <c r="F1028" s="12" t="str">
        <f>IFERROR(__xludf.DUMMYFUNCTION("GOOGLETRANSLATE(B1028,""zh_cn"",""vi"")"),"trước")</f>
        <v>trước</v>
      </c>
      <c r="G1028" s="12"/>
      <c r="H1028" s="6"/>
      <c r="I1028" s="11" t="b">
        <f t="shared" si="2"/>
        <v>0</v>
      </c>
      <c r="J1028" s="24"/>
      <c r="K1028" s="11" t="b">
        <f t="shared" si="3"/>
        <v>0</v>
      </c>
    </row>
    <row r="1029" ht="22.5" customHeight="1">
      <c r="A1029" s="12">
        <f t="shared" si="4"/>
        <v>4627</v>
      </c>
      <c r="B1029" s="6" t="s">
        <v>13282</v>
      </c>
      <c r="C1029" s="7" t="str">
        <f t="shared" si="7"/>
        <v>🔊</v>
      </c>
      <c r="D1029" s="8" t="s">
        <v>5202</v>
      </c>
      <c r="E1029" s="6" t="s">
        <v>13</v>
      </c>
      <c r="F1029" s="12" t="str">
        <f>IFERROR(__xludf.DUMMYFUNCTION("GOOGLETRANSLATE(B1029,""zh_cn"",""vi"")"),"Nhìn")</f>
        <v>Nhìn</v>
      </c>
      <c r="G1029" s="12"/>
      <c r="H1029" s="6"/>
      <c r="I1029" s="11" t="b">
        <f t="shared" si="2"/>
        <v>0</v>
      </c>
      <c r="J1029" s="24"/>
      <c r="K1029" s="11" t="b">
        <f t="shared" si="3"/>
        <v>0</v>
      </c>
    </row>
    <row r="1030" ht="22.5" customHeight="1">
      <c r="A1030" s="12">
        <f t="shared" si="4"/>
        <v>4628</v>
      </c>
      <c r="B1030" s="6" t="s">
        <v>13283</v>
      </c>
      <c r="C1030" s="7" t="str">
        <f t="shared" si="7"/>
        <v>🔊</v>
      </c>
      <c r="D1030" s="8" t="s">
        <v>13284</v>
      </c>
      <c r="E1030" s="6" t="s">
        <v>27</v>
      </c>
      <c r="F1030" s="12" t="str">
        <f>IFERROR(__xludf.DUMMYFUNCTION("GOOGLETRANSLATE(B1030,""zh_cn"",""vi"")"),"cầu")</f>
        <v>cầu</v>
      </c>
      <c r="G1030" s="12"/>
      <c r="H1030" s="6"/>
      <c r="I1030" s="11" t="b">
        <f t="shared" si="2"/>
        <v>0</v>
      </c>
      <c r="J1030" s="24"/>
      <c r="K1030" s="11" t="b">
        <f t="shared" si="3"/>
        <v>0</v>
      </c>
    </row>
    <row r="1031" ht="22.5" customHeight="1">
      <c r="A1031" s="12">
        <f t="shared" si="4"/>
        <v>4629</v>
      </c>
      <c r="B1031" s="6" t="s">
        <v>13285</v>
      </c>
      <c r="C1031" s="7" t="str">
        <f t="shared" si="7"/>
        <v>🔊</v>
      </c>
      <c r="D1031" s="8" t="s">
        <v>13286</v>
      </c>
      <c r="E1031" s="6" t="s">
        <v>99</v>
      </c>
      <c r="F1031" s="12" t="str">
        <f>IFERROR(__xludf.DUMMYFUNCTION("GOOGLETRANSLATE(B1031,""zh_cn"",""vi"")"),"thông minh")</f>
        <v>thông minh</v>
      </c>
      <c r="G1031" s="12"/>
      <c r="H1031" s="6"/>
      <c r="I1031" s="11" t="b">
        <f t="shared" si="2"/>
        <v>0</v>
      </c>
      <c r="J1031" s="24"/>
      <c r="K1031" s="11" t="b">
        <f t="shared" si="3"/>
        <v>0</v>
      </c>
    </row>
    <row r="1032" ht="22.5" customHeight="1">
      <c r="A1032" s="12">
        <f t="shared" si="4"/>
        <v>4630</v>
      </c>
      <c r="B1032" s="6" t="s">
        <v>13287</v>
      </c>
      <c r="C1032" s="7" t="str">
        <f t="shared" si="7"/>
        <v>🔊</v>
      </c>
      <c r="D1032" s="8" t="s">
        <v>13288</v>
      </c>
      <c r="E1032" s="6" t="s">
        <v>61</v>
      </c>
      <c r="F1032" s="12" t="str">
        <f>IFERROR(__xludf.DUMMYFUNCTION("GOOGLETRANSLATE(B1032,""zh_cn"",""vi"")"),"chính xác")</f>
        <v>chính xác</v>
      </c>
      <c r="G1032" s="12"/>
      <c r="H1032" s="6"/>
      <c r="I1032" s="11" t="b">
        <f t="shared" si="2"/>
        <v>0</v>
      </c>
      <c r="J1032" s="24"/>
      <c r="K1032" s="11" t="b">
        <f t="shared" si="3"/>
        <v>0</v>
      </c>
    </row>
    <row r="1033" ht="22.5" customHeight="1">
      <c r="A1033" s="12">
        <f t="shared" si="4"/>
        <v>4631</v>
      </c>
      <c r="B1033" s="6" t="s">
        <v>13289</v>
      </c>
      <c r="C1033" s="7" t="str">
        <f t="shared" si="7"/>
        <v>🔊</v>
      </c>
      <c r="D1033" s="8" t="s">
        <v>13290</v>
      </c>
      <c r="E1033" s="6" t="s">
        <v>27</v>
      </c>
      <c r="F1033" s="12" t="str">
        <f>IFERROR(__xludf.DUMMYFUNCTION("GOOGLETRANSLATE(B1033,""zh_cn"",""vi"")"),"lúc đầu")</f>
        <v>lúc đầu</v>
      </c>
      <c r="G1033" s="12"/>
      <c r="H1033" s="6"/>
      <c r="I1033" s="11" t="b">
        <f t="shared" si="2"/>
        <v>0</v>
      </c>
      <c r="J1033" s="24"/>
      <c r="K1033" s="11" t="b">
        <f t="shared" si="3"/>
        <v>0</v>
      </c>
    </row>
    <row r="1034" ht="22.5" customHeight="1">
      <c r="A1034" s="12">
        <f t="shared" si="4"/>
        <v>4632</v>
      </c>
      <c r="B1034" s="6" t="s">
        <v>13291</v>
      </c>
      <c r="C1034" s="7" t="str">
        <f t="shared" si="7"/>
        <v>🔊</v>
      </c>
      <c r="D1034" s="8" t="s">
        <v>13292</v>
      </c>
      <c r="E1034" s="6" t="s">
        <v>27</v>
      </c>
      <c r="F1034" s="12" t="str">
        <f>IFERROR(__xludf.DUMMYFUNCTION("GOOGLETRANSLATE(B1034,""zh_cn"",""vi"")"),"điểm bắt đầu")</f>
        <v>điểm bắt đầu</v>
      </c>
      <c r="G1034" s="12"/>
      <c r="H1034" s="6"/>
      <c r="I1034" s="11" t="b">
        <f t="shared" si="2"/>
        <v>0</v>
      </c>
      <c r="J1034" s="24"/>
      <c r="K1034" s="11" t="b">
        <f t="shared" si="3"/>
        <v>0</v>
      </c>
    </row>
    <row r="1035" ht="22.5" customHeight="1">
      <c r="A1035" s="12">
        <f t="shared" si="4"/>
        <v>4633</v>
      </c>
      <c r="B1035" s="6" t="s">
        <v>13293</v>
      </c>
      <c r="C1035" s="7" t="str">
        <f t="shared" si="7"/>
        <v>🔊</v>
      </c>
      <c r="D1035" s="8" t="s">
        <v>13294</v>
      </c>
      <c r="E1035" s="6" t="s">
        <v>13</v>
      </c>
      <c r="F1035" s="12" t="str">
        <f>IFERROR(__xludf.DUMMYFUNCTION("GOOGLETRANSLATE(B1035,""zh_cn"",""vi"")"),"khởi nghiệp")</f>
        <v>khởi nghiệp</v>
      </c>
      <c r="G1035" s="12"/>
      <c r="H1035" s="6"/>
      <c r="I1035" s="11" t="b">
        <f t="shared" si="2"/>
        <v>0</v>
      </c>
      <c r="J1035" s="24"/>
      <c r="K1035" s="11" t="b">
        <f t="shared" si="3"/>
        <v>0</v>
      </c>
    </row>
    <row r="1036" ht="22.5" customHeight="1">
      <c r="A1036" s="12">
        <f t="shared" si="4"/>
        <v>4634</v>
      </c>
      <c r="B1036" s="6" t="s">
        <v>13295</v>
      </c>
      <c r="C1036" s="7" t="str">
        <f t="shared" si="7"/>
        <v>🔊</v>
      </c>
      <c r="D1036" s="8" t="s">
        <v>13296</v>
      </c>
      <c r="E1036" s="6" t="s">
        <v>99</v>
      </c>
      <c r="F1036" s="12" t="str">
        <f>IFERROR(__xludf.DUMMYFUNCTION("GOOGLETRANSLATE(B1036,""zh_cn"",""vi"")"),"thực tế")</f>
        <v>thực tế</v>
      </c>
      <c r="G1036" s="12"/>
      <c r="H1036" s="6"/>
      <c r="I1036" s="11" t="b">
        <f t="shared" si="2"/>
        <v>0</v>
      </c>
      <c r="J1036" s="24"/>
      <c r="K1036" s="11" t="b">
        <f t="shared" si="3"/>
        <v>0</v>
      </c>
    </row>
    <row r="1037" ht="22.5" customHeight="1">
      <c r="A1037" s="12">
        <f t="shared" si="4"/>
        <v>4635</v>
      </c>
      <c r="B1037" s="6" t="s">
        <v>13297</v>
      </c>
      <c r="C1037" s="7" t="str">
        <f t="shared" si="7"/>
        <v>🔊</v>
      </c>
      <c r="D1037" s="8" t="s">
        <v>13298</v>
      </c>
      <c r="E1037" s="6" t="s">
        <v>13</v>
      </c>
      <c r="F1037" s="12" t="str">
        <f>IFERROR(__xludf.DUMMYFUNCTION("GOOGLETRANSLATE(B1037,""zh_cn"",""vi"")"),"Cảm hứng")</f>
        <v>Cảm hứng</v>
      </c>
      <c r="G1037" s="12"/>
      <c r="H1037" s="6"/>
      <c r="I1037" s="11" t="b">
        <f t="shared" si="2"/>
        <v>0</v>
      </c>
      <c r="J1037" s="24"/>
      <c r="K1037" s="11" t="b">
        <f t="shared" si="3"/>
        <v>0</v>
      </c>
    </row>
    <row r="1038" ht="22.5" customHeight="1">
      <c r="A1038" s="12">
        <f t="shared" si="4"/>
        <v>4636</v>
      </c>
      <c r="B1038" s="6" t="s">
        <v>13299</v>
      </c>
      <c r="C1038" s="7" t="str">
        <f t="shared" si="7"/>
        <v>🔊</v>
      </c>
      <c r="D1038" s="8" t="s">
        <v>13300</v>
      </c>
      <c r="E1038" s="6" t="s">
        <v>27</v>
      </c>
      <c r="F1038" s="12" t="str">
        <f>IFERROR(__xludf.DUMMYFUNCTION("GOOGLETRANSLATE(B1038,""zh_cn"",""vi"")"),"bầu không khí")</f>
        <v>bầu không khí</v>
      </c>
      <c r="G1038" s="12"/>
      <c r="H1038" s="6"/>
      <c r="I1038" s="11" t="b">
        <f t="shared" si="2"/>
        <v>0</v>
      </c>
      <c r="J1038" s="24"/>
      <c r="K1038" s="11" t="b">
        <f t="shared" si="3"/>
        <v>0</v>
      </c>
    </row>
    <row r="1039" ht="22.5" customHeight="1">
      <c r="A1039" s="12">
        <f t="shared" si="4"/>
        <v>4637</v>
      </c>
      <c r="B1039" s="6" t="s">
        <v>13301</v>
      </c>
      <c r="C1039" s="7" t="str">
        <f t="shared" si="7"/>
        <v>🔊</v>
      </c>
      <c r="D1039" s="8" t="s">
        <v>13302</v>
      </c>
      <c r="E1039" s="6" t="s">
        <v>27</v>
      </c>
      <c r="F1039" s="12" t="str">
        <f>IFERROR(__xludf.DUMMYFUNCTION("GOOGLETRANSLATE(B1039,""zh_cn"",""vi"")"),"Trong lúc")</f>
        <v>Trong lúc</v>
      </c>
      <c r="G1039" s="12"/>
      <c r="H1039" s="6"/>
      <c r="I1039" s="11" t="b">
        <f t="shared" si="2"/>
        <v>0</v>
      </c>
      <c r="J1039" s="24"/>
      <c r="K1039" s="11" t="b">
        <f t="shared" si="3"/>
        <v>0</v>
      </c>
    </row>
    <row r="1040" ht="22.5" customHeight="1">
      <c r="A1040" s="12">
        <f t="shared" si="4"/>
        <v>4638</v>
      </c>
      <c r="B1040" s="6" t="s">
        <v>13303</v>
      </c>
      <c r="C1040" s="7" t="str">
        <f t="shared" si="7"/>
        <v>🔊</v>
      </c>
      <c r="D1040" s="8" t="s">
        <v>5233</v>
      </c>
      <c r="E1040" s="6" t="s">
        <v>416</v>
      </c>
      <c r="F1040" s="12" t="str">
        <f>IFERROR(__xludf.DUMMYFUNCTION("GOOGLETRANSLATE(B1040,""zh_cn"",""vi"")"),"thông thoáng")</f>
        <v>thông thoáng</v>
      </c>
      <c r="G1040" s="12"/>
      <c r="H1040" s="6"/>
      <c r="I1040" s="11" t="b">
        <f t="shared" si="2"/>
        <v>0</v>
      </c>
      <c r="J1040" s="24"/>
      <c r="K1040" s="11" t="b">
        <f t="shared" si="3"/>
        <v>0</v>
      </c>
    </row>
    <row r="1041" ht="22.5" customHeight="1">
      <c r="A1041" s="12">
        <f t="shared" si="4"/>
        <v>4639</v>
      </c>
      <c r="B1041" s="6" t="s">
        <v>13304</v>
      </c>
      <c r="C1041" s="7" t="str">
        <f t="shared" si="7"/>
        <v>🔊</v>
      </c>
      <c r="D1041" s="8" t="s">
        <v>13305</v>
      </c>
      <c r="E1041" s="6" t="s">
        <v>27</v>
      </c>
      <c r="F1041" s="12" t="str">
        <f>IFERROR(__xludf.DUMMYFUNCTION("GOOGLETRANSLATE(B1041,""zh_cn"",""vi"")"),"sáng sớm")</f>
        <v>sáng sớm</v>
      </c>
      <c r="G1041" s="12"/>
      <c r="H1041" s="6"/>
      <c r="I1041" s="11" t="b">
        <f t="shared" si="2"/>
        <v>0</v>
      </c>
      <c r="J1041" s="24"/>
      <c r="K1041" s="11" t="b">
        <f t="shared" si="3"/>
        <v>0</v>
      </c>
    </row>
    <row r="1042" ht="22.5" customHeight="1">
      <c r="A1042" s="12">
        <f t="shared" si="4"/>
        <v>4640</v>
      </c>
      <c r="B1042" s="6" t="s">
        <v>13306</v>
      </c>
      <c r="C1042" s="7" t="str">
        <f t="shared" si="7"/>
        <v>🔊</v>
      </c>
      <c r="D1042" s="8" t="s">
        <v>13307</v>
      </c>
      <c r="E1042" s="6" t="s">
        <v>27</v>
      </c>
      <c r="F1042" s="12" t="str">
        <f>IFERROR(__xludf.DUMMYFUNCTION("GOOGLETRANSLATE(B1042,""zh_cn"",""vi"")"),"thiếu niên")</f>
        <v>thiếu niên</v>
      </c>
      <c r="G1042" s="12"/>
      <c r="H1042" s="6"/>
      <c r="I1042" s="11" t="b">
        <f t="shared" si="2"/>
        <v>0</v>
      </c>
      <c r="J1042" s="24"/>
      <c r="K1042" s="11" t="b">
        <f t="shared" si="3"/>
        <v>0</v>
      </c>
    </row>
    <row r="1043" ht="22.5" customHeight="1">
      <c r="A1043" s="12">
        <f t="shared" si="4"/>
        <v>4641</v>
      </c>
      <c r="B1043" s="6" t="s">
        <v>13308</v>
      </c>
      <c r="C1043" s="7" t="str">
        <f t="shared" si="7"/>
        <v>🔊</v>
      </c>
      <c r="D1043" s="8" t="s">
        <v>13309</v>
      </c>
      <c r="E1043" s="6" t="s">
        <v>27</v>
      </c>
      <c r="F1043" s="12" t="str">
        <f>IFERROR(__xludf.DUMMYFUNCTION("GOOGLETRANSLATE(B1043,""zh_cn"",""vi"")"),"tuổi dậy thì")</f>
        <v>tuổi dậy thì</v>
      </c>
      <c r="G1043" s="12"/>
      <c r="H1043" s="6"/>
      <c r="I1043" s="11" t="b">
        <f t="shared" si="2"/>
        <v>0</v>
      </c>
      <c r="J1043" s="24"/>
      <c r="K1043" s="11" t="b">
        <f t="shared" si="3"/>
        <v>0</v>
      </c>
    </row>
    <row r="1044" ht="22.5" customHeight="1">
      <c r="A1044" s="12">
        <f t="shared" si="4"/>
        <v>4642</v>
      </c>
      <c r="B1044" s="6" t="s">
        <v>13310</v>
      </c>
      <c r="C1044" s="7" t="str">
        <f t="shared" si="7"/>
        <v>🔊</v>
      </c>
      <c r="D1044" s="8" t="s">
        <v>13311</v>
      </c>
      <c r="E1044" s="6" t="s">
        <v>99</v>
      </c>
      <c r="F1044" s="12" t="str">
        <f>IFERROR(__xludf.DUMMYFUNCTION("GOOGLETRANSLATE(B1044,""zh_cn"",""vi"")"),"ánh sáng")</f>
        <v>ánh sáng</v>
      </c>
      <c r="G1044" s="12"/>
      <c r="H1044" s="6"/>
      <c r="I1044" s="11" t="b">
        <f t="shared" si="2"/>
        <v>0</v>
      </c>
      <c r="J1044" s="24"/>
      <c r="K1044" s="11" t="b">
        <f t="shared" si="3"/>
        <v>0</v>
      </c>
    </row>
    <row r="1045" ht="22.5" customHeight="1">
      <c r="A1045" s="12">
        <f t="shared" si="4"/>
        <v>4643</v>
      </c>
      <c r="B1045" s="6" t="s">
        <v>13312</v>
      </c>
      <c r="C1045" s="7" t="str">
        <f t="shared" si="7"/>
        <v>🔊</v>
      </c>
      <c r="D1045" s="8" t="s">
        <v>13313</v>
      </c>
      <c r="E1045" s="6" t="s">
        <v>27</v>
      </c>
      <c r="F1045" s="12" t="str">
        <f>IFERROR(__xludf.DUMMYFUNCTION("GOOGLETRANSLATE(B1045,""zh_cn"",""vi"")"),"kịch bản")</f>
        <v>kịch bản</v>
      </c>
      <c r="G1045" s="12"/>
      <c r="H1045" s="6"/>
      <c r="I1045" s="11" t="b">
        <f t="shared" si="2"/>
        <v>0</v>
      </c>
      <c r="J1045" s="24"/>
      <c r="K1045" s="11" t="b">
        <f t="shared" si="3"/>
        <v>0</v>
      </c>
    </row>
    <row r="1046" ht="22.5" customHeight="1">
      <c r="A1046" s="12">
        <f t="shared" si="4"/>
        <v>4644</v>
      </c>
      <c r="B1046" s="6" t="s">
        <v>13314</v>
      </c>
      <c r="C1046" s="7" t="str">
        <f t="shared" si="7"/>
        <v>🔊</v>
      </c>
      <c r="D1046" s="8" t="s">
        <v>13315</v>
      </c>
      <c r="E1046" s="6" t="s">
        <v>99</v>
      </c>
      <c r="F1046" s="12" t="str">
        <f>IFERROR(__xludf.DUMMYFUNCTION("GOOGLETRANSLATE(B1046,""zh_cn"",""vi"")"),"lau dọn")</f>
        <v>lau dọn</v>
      </c>
      <c r="G1046" s="12"/>
      <c r="H1046" s="6"/>
      <c r="I1046" s="11" t="b">
        <f t="shared" si="2"/>
        <v>0</v>
      </c>
      <c r="J1046" s="24"/>
      <c r="K1046" s="11" t="b">
        <f t="shared" si="3"/>
        <v>0</v>
      </c>
    </row>
    <row r="1047" ht="22.5" customHeight="1">
      <c r="A1047" s="12">
        <f t="shared" si="4"/>
        <v>4645</v>
      </c>
      <c r="B1047" s="6" t="s">
        <v>13316</v>
      </c>
      <c r="C1047" s="7" t="str">
        <f t="shared" si="7"/>
        <v>🔊</v>
      </c>
      <c r="D1047" s="8" t="s">
        <v>13317</v>
      </c>
      <c r="E1047" s="6" t="s">
        <v>99</v>
      </c>
      <c r="F1047" s="12" t="str">
        <f>IFERROR(__xludf.DUMMYFUNCTION("GOOGLETRANSLATE(B1047,""zh_cn"",""vi"")"),"nhiều nắng")</f>
        <v>nhiều nắng</v>
      </c>
      <c r="G1047" s="12"/>
      <c r="H1047" s="6"/>
      <c r="I1047" s="11" t="b">
        <f t="shared" si="2"/>
        <v>0</v>
      </c>
      <c r="J1047" s="24"/>
      <c r="K1047" s="11" t="b">
        <f t="shared" si="3"/>
        <v>0</v>
      </c>
    </row>
    <row r="1048" ht="22.5" customHeight="1">
      <c r="A1048" s="12">
        <f t="shared" si="4"/>
        <v>4646</v>
      </c>
      <c r="B1048" s="6" t="s">
        <v>13318</v>
      </c>
      <c r="C1048" s="7" t="str">
        <f t="shared" si="7"/>
        <v>🔊</v>
      </c>
      <c r="D1048" s="8" t="s">
        <v>13319</v>
      </c>
      <c r="E1048" s="6" t="s">
        <v>13</v>
      </c>
      <c r="F1048" s="12" t="str">
        <f>IFERROR(__xludf.DUMMYFUNCTION("GOOGLETRANSLATE(B1048,""zh_cn"",""vi"")"),"Dọn dẹp")</f>
        <v>Dọn dẹp</v>
      </c>
      <c r="G1048" s="12"/>
      <c r="H1048" s="6"/>
      <c r="I1048" s="11" t="b">
        <f t="shared" si="2"/>
        <v>0</v>
      </c>
      <c r="J1048" s="24"/>
      <c r="K1048" s="11" t="b">
        <f t="shared" si="3"/>
        <v>0</v>
      </c>
    </row>
    <row r="1049" ht="22.5" customHeight="1">
      <c r="A1049" s="12">
        <f t="shared" si="4"/>
        <v>4647</v>
      </c>
      <c r="B1049" s="6" t="s">
        <v>13320</v>
      </c>
      <c r="C1049" s="7" t="str">
        <f t="shared" si="7"/>
        <v>🔊</v>
      </c>
      <c r="D1049" s="8" t="s">
        <v>13321</v>
      </c>
      <c r="E1049" s="6" t="s">
        <v>13</v>
      </c>
      <c r="F1049" s="12" t="str">
        <f>IFERROR(__xludf.DUMMYFUNCTION("GOOGLETRANSLATE(B1049,""zh_cn"",""vi"")"),"dọn dẹp")</f>
        <v>dọn dẹp</v>
      </c>
      <c r="G1049" s="12"/>
      <c r="H1049" s="6"/>
      <c r="I1049" s="11" t="b">
        <f t="shared" si="2"/>
        <v>0</v>
      </c>
      <c r="J1049" s="24"/>
      <c r="K1049" s="11" t="b">
        <f t="shared" si="3"/>
        <v>0</v>
      </c>
    </row>
    <row r="1050" ht="22.5" customHeight="1">
      <c r="A1050" s="12">
        <f t="shared" si="4"/>
        <v>4648</v>
      </c>
      <c r="B1050" s="6" t="s">
        <v>13322</v>
      </c>
      <c r="C1050" s="7" t="str">
        <f t="shared" si="7"/>
        <v>🔊</v>
      </c>
      <c r="D1050" s="8" t="s">
        <v>13323</v>
      </c>
      <c r="E1050" s="6" t="s">
        <v>13</v>
      </c>
      <c r="F1050" s="12" t="str">
        <f>IFERROR(__xludf.DUMMYFUNCTION("GOOGLETRANSLATE(B1050,""zh_cn"",""vi"")"),"Nghe")</f>
        <v>Nghe</v>
      </c>
      <c r="G1050" s="12"/>
      <c r="H1050" s="6"/>
      <c r="I1050" s="11" t="b">
        <f t="shared" si="2"/>
        <v>0</v>
      </c>
      <c r="J1050" s="24"/>
      <c r="K1050" s="11" t="b">
        <f t="shared" si="3"/>
        <v>0</v>
      </c>
    </row>
    <row r="1051" ht="22.5" customHeight="1">
      <c r="A1051" s="12">
        <f t="shared" si="4"/>
        <v>4649</v>
      </c>
      <c r="B1051" s="6" t="s">
        <v>13324</v>
      </c>
      <c r="C1051" s="7" t="str">
        <f t="shared" si="7"/>
        <v>🔊</v>
      </c>
      <c r="D1051" s="8" t="s">
        <v>13325</v>
      </c>
      <c r="E1051" s="6" t="s">
        <v>13</v>
      </c>
      <c r="F1051" s="12" t="str">
        <f>IFERROR(__xludf.DUMMYFUNCTION("GOOGLETRANSLATE(B1051,""zh_cn"",""vi"")"),"Dọn dẹp")</f>
        <v>Dọn dẹp</v>
      </c>
      <c r="G1051" s="12"/>
      <c r="H1051" s="6"/>
      <c r="I1051" s="11" t="b">
        <f t="shared" si="2"/>
        <v>0</v>
      </c>
      <c r="J1051" s="24"/>
      <c r="K1051" s="11" t="b">
        <f t="shared" si="3"/>
        <v>0</v>
      </c>
    </row>
    <row r="1052" ht="22.5" customHeight="1">
      <c r="A1052" s="12">
        <f t="shared" si="4"/>
        <v>4650</v>
      </c>
      <c r="B1052" s="6" t="s">
        <v>13326</v>
      </c>
      <c r="C1052" s="7" t="str">
        <f t="shared" si="7"/>
        <v>🔊</v>
      </c>
      <c r="D1052" s="8" t="s">
        <v>13327</v>
      </c>
      <c r="E1052" s="6" t="s">
        <v>99</v>
      </c>
      <c r="F1052" s="12" t="str">
        <f>IFERROR(__xludf.DUMMYFUNCTION("GOOGLETRANSLATE(B1052,""zh_cn"",""vi"")"),"Thông thoáng")</f>
        <v>Thông thoáng</v>
      </c>
      <c r="G1052" s="12"/>
      <c r="H1052" s="6"/>
      <c r="I1052" s="11" t="b">
        <f t="shared" si="2"/>
        <v>0</v>
      </c>
      <c r="J1052" s="24"/>
      <c r="K1052" s="11" t="b">
        <f t="shared" si="3"/>
        <v>0</v>
      </c>
    </row>
    <row r="1053" ht="22.5" customHeight="1">
      <c r="A1053" s="12">
        <f t="shared" si="4"/>
        <v>4651</v>
      </c>
      <c r="B1053" s="6" t="s">
        <v>13328</v>
      </c>
      <c r="C1053" s="7" t="str">
        <f t="shared" si="7"/>
        <v>🔊</v>
      </c>
      <c r="D1053" s="8" t="s">
        <v>13329</v>
      </c>
      <c r="E1053" s="6" t="s">
        <v>232</v>
      </c>
      <c r="F1053" s="12" t="str">
        <f>IFERROR(__xludf.DUMMYFUNCTION("GOOGLETRANSLATE(B1053,""zh_cn"",""vi"")"),"xu hướng")</f>
        <v>xu hướng</v>
      </c>
      <c r="G1053" s="12"/>
      <c r="H1053" s="6"/>
      <c r="I1053" s="11" t="b">
        <f t="shared" si="2"/>
        <v>0</v>
      </c>
      <c r="J1053" s="24"/>
      <c r="K1053" s="11" t="b">
        <f t="shared" si="3"/>
        <v>0</v>
      </c>
    </row>
    <row r="1054" ht="22.5" customHeight="1">
      <c r="A1054" s="12">
        <f t="shared" si="4"/>
        <v>4652</v>
      </c>
      <c r="B1054" s="6" t="s">
        <v>13330</v>
      </c>
      <c r="C1054" s="7" t="str">
        <f t="shared" si="7"/>
        <v>🔊</v>
      </c>
      <c r="D1054" s="8" t="s">
        <v>13331</v>
      </c>
      <c r="E1054" s="6" t="s">
        <v>27</v>
      </c>
      <c r="F1054" s="12" t="str">
        <f>IFERROR(__xludf.DUMMYFUNCTION("GOOGLETRANSLATE(B1054,""zh_cn"",""vi"")"),"tình huống")</f>
        <v>tình huống</v>
      </c>
      <c r="G1054" s="12"/>
      <c r="H1054" s="6"/>
      <c r="I1054" s="11" t="b">
        <f t="shared" si="2"/>
        <v>0</v>
      </c>
      <c r="J1054" s="24"/>
      <c r="K1054" s="11" t="b">
        <f t="shared" si="3"/>
        <v>0</v>
      </c>
    </row>
    <row r="1055" ht="22.5" customHeight="1">
      <c r="A1055" s="12">
        <f t="shared" si="4"/>
        <v>4653</v>
      </c>
      <c r="B1055" s="6" t="s">
        <v>13332</v>
      </c>
      <c r="C1055" s="7" t="str">
        <f t="shared" si="7"/>
        <v>🔊</v>
      </c>
      <c r="D1055" s="8" t="s">
        <v>13333</v>
      </c>
      <c r="E1055" s="6" t="s">
        <v>416</v>
      </c>
      <c r="F1055" s="12" t="str">
        <f>IFERROR(__xludf.DUMMYFUNCTION("GOOGLETRANSLATE(B1055,""zh_cn"",""vi"")"),"tỉnh táo hoàn toàn")</f>
        <v>tỉnh táo hoàn toàn</v>
      </c>
      <c r="G1055" s="12"/>
      <c r="H1055" s="6"/>
      <c r="I1055" s="11" t="b">
        <f t="shared" si="2"/>
        <v>0</v>
      </c>
      <c r="J1055" s="24"/>
      <c r="K1055" s="11" t="b">
        <f t="shared" si="3"/>
        <v>0</v>
      </c>
    </row>
    <row r="1056" ht="22.5" customHeight="1">
      <c r="A1056" s="12">
        <f t="shared" si="4"/>
        <v>4654</v>
      </c>
      <c r="B1056" s="6" t="s">
        <v>13334</v>
      </c>
      <c r="C1056" s="7" t="str">
        <f t="shared" si="7"/>
        <v>🔊</v>
      </c>
      <c r="D1056" s="8" t="s">
        <v>13335</v>
      </c>
      <c r="E1056" s="6" t="s">
        <v>99</v>
      </c>
      <c r="F1056" s="12" t="str">
        <f>IFERROR(__xludf.DUMMYFUNCTION("GOOGLETRANSLATE(B1056,""zh_cn"",""vi"")"),"Siêng năng")</f>
        <v>Siêng năng</v>
      </c>
      <c r="G1056" s="12"/>
      <c r="H1056" s="6"/>
      <c r="I1056" s="11" t="b">
        <f t="shared" si="2"/>
        <v>0</v>
      </c>
      <c r="J1056" s="24"/>
      <c r="K1056" s="11" t="b">
        <f t="shared" si="3"/>
        <v>0</v>
      </c>
    </row>
    <row r="1057" ht="22.5" customHeight="1">
      <c r="A1057" s="12">
        <f t="shared" si="4"/>
        <v>4655</v>
      </c>
      <c r="B1057" s="6" t="s">
        <v>13336</v>
      </c>
      <c r="C1057" s="7" t="str">
        <f t="shared" si="7"/>
        <v>🔊</v>
      </c>
      <c r="D1057" s="8" t="s">
        <v>13337</v>
      </c>
      <c r="E1057" s="6" t="s">
        <v>99</v>
      </c>
      <c r="F1057" s="12" t="str">
        <f>IFERROR(__xludf.DUMMYFUNCTION("GOOGLETRANSLATE(B1057,""zh_cn"",""vi"")"),"đóng")</f>
        <v>đóng</v>
      </c>
      <c r="G1057" s="12"/>
      <c r="H1057" s="6"/>
      <c r="I1057" s="11" t="b">
        <f t="shared" si="2"/>
        <v>0</v>
      </c>
      <c r="J1057" s="24"/>
      <c r="K1057" s="11" t="b">
        <f t="shared" si="3"/>
        <v>0</v>
      </c>
    </row>
    <row r="1058" ht="22.5" customHeight="1">
      <c r="A1058" s="12">
        <f t="shared" si="4"/>
        <v>4656</v>
      </c>
      <c r="B1058" s="6" t="s">
        <v>13338</v>
      </c>
      <c r="C1058" s="7" t="str">
        <f t="shared" si="7"/>
        <v>🔊</v>
      </c>
      <c r="D1058" s="8" t="s">
        <v>13339</v>
      </c>
      <c r="E1058" s="6" t="s">
        <v>27</v>
      </c>
      <c r="F1058" s="12" t="str">
        <f>IFERROR(__xludf.DUMMYFUNCTION("GOOGLETRANSLATE(B1058,""zh_cn"",""vi"")"),"họ hàng")</f>
        <v>họ hàng</v>
      </c>
      <c r="G1058" s="12"/>
      <c r="H1058" s="6"/>
      <c r="I1058" s="11" t="b">
        <f t="shared" si="2"/>
        <v>0</v>
      </c>
      <c r="J1058" s="24"/>
      <c r="K1058" s="11" t="b">
        <f t="shared" si="3"/>
        <v>0</v>
      </c>
    </row>
    <row r="1059" ht="22.5" customHeight="1">
      <c r="A1059" s="12">
        <f t="shared" si="4"/>
        <v>4657</v>
      </c>
      <c r="B1059" s="6" t="s">
        <v>13340</v>
      </c>
      <c r="C1059" s="7" t="str">
        <f t="shared" si="7"/>
        <v>🔊</v>
      </c>
      <c r="D1059" s="8" t="s">
        <v>13341</v>
      </c>
      <c r="E1059" s="6" t="s">
        <v>13</v>
      </c>
      <c r="F1059" s="12" t="str">
        <f>IFERROR(__xludf.DUMMYFUNCTION("GOOGLETRANSLATE(B1059,""zh_cn"",""vi"")"),"gian lận")</f>
        <v>gian lận</v>
      </c>
      <c r="G1059" s="12"/>
      <c r="H1059" s="6"/>
      <c r="I1059" s="11" t="b">
        <f t="shared" si="2"/>
        <v>0</v>
      </c>
      <c r="J1059" s="24"/>
      <c r="K1059" s="11" t="b">
        <f t="shared" si="3"/>
        <v>0</v>
      </c>
    </row>
    <row r="1060" ht="22.5" customHeight="1">
      <c r="A1060" s="12">
        <f t="shared" si="4"/>
        <v>4658</v>
      </c>
      <c r="B1060" s="6" t="s">
        <v>13342</v>
      </c>
      <c r="C1060" s="7" t="str">
        <f t="shared" si="7"/>
        <v>🔊</v>
      </c>
      <c r="D1060" s="8" t="s">
        <v>13343</v>
      </c>
      <c r="E1060" s="6" t="s">
        <v>99</v>
      </c>
      <c r="F1060" s="12" t="str">
        <f>IFERROR(__xludf.DUMMYFUNCTION("GOOGLETRANSLATE(B1060,""zh_cn"",""vi"")"),"hoàn thành")</f>
        <v>hoàn thành</v>
      </c>
      <c r="G1060" s="12"/>
      <c r="H1060" s="6"/>
      <c r="I1060" s="11" t="b">
        <f t="shared" si="2"/>
        <v>0</v>
      </c>
      <c r="J1060" s="24"/>
      <c r="K1060" s="11" t="b">
        <f t="shared" si="3"/>
        <v>0</v>
      </c>
    </row>
    <row r="1061" ht="22.5" customHeight="1">
      <c r="A1061" s="12">
        <f t="shared" si="4"/>
        <v>4659</v>
      </c>
      <c r="B1061" s="6" t="s">
        <v>13344</v>
      </c>
      <c r="C1061" s="7" t="str">
        <f t="shared" si="7"/>
        <v>🔊</v>
      </c>
      <c r="D1061" s="8" t="s">
        <v>13345</v>
      </c>
      <c r="E1061" s="6" t="s">
        <v>232</v>
      </c>
      <c r="F1061" s="12" t="str">
        <f>IFERROR(__xludf.DUMMYFUNCTION("GOOGLETRANSLATE(B1061,""zh_cn"",""vi"")"),"Khải Huyền")</f>
        <v>Khải Huyền</v>
      </c>
      <c r="G1061" s="12"/>
      <c r="H1061" s="6"/>
      <c r="I1061" s="11" t="b">
        <f t="shared" si="2"/>
        <v>0</v>
      </c>
      <c r="J1061" s="24"/>
      <c r="K1061" s="11" t="b">
        <f t="shared" si="3"/>
        <v>0</v>
      </c>
    </row>
    <row r="1062" ht="22.5" customHeight="1">
      <c r="A1062" s="12">
        <f t="shared" si="4"/>
        <v>4660</v>
      </c>
      <c r="B1062" s="6" t="s">
        <v>13346</v>
      </c>
      <c r="C1062" s="7" t="str">
        <f t="shared" si="7"/>
        <v>🔊</v>
      </c>
      <c r="D1062" s="8" t="s">
        <v>13345</v>
      </c>
      <c r="E1062" s="6" t="s">
        <v>27</v>
      </c>
      <c r="F1062" s="12" t="str">
        <f>IFERROR(__xludf.DUMMYFUNCTION("GOOGLETRANSLATE(B1062,""zh_cn"",""vi"")"),"để ý")</f>
        <v>để ý</v>
      </c>
      <c r="G1062" s="12"/>
      <c r="H1062" s="6"/>
      <c r="I1062" s="11" t="b">
        <f t="shared" si="2"/>
        <v>0</v>
      </c>
      <c r="J1062" s="24"/>
      <c r="K1062" s="11" t="b">
        <f t="shared" si="3"/>
        <v>0</v>
      </c>
    </row>
    <row r="1063" ht="22.5" customHeight="1">
      <c r="A1063" s="12">
        <f t="shared" si="4"/>
        <v>4661</v>
      </c>
      <c r="B1063" s="6" t="s">
        <v>13347</v>
      </c>
      <c r="C1063" s="7" t="str">
        <f t="shared" si="7"/>
        <v>🔊</v>
      </c>
      <c r="D1063" s="8" t="s">
        <v>13348</v>
      </c>
      <c r="E1063" s="6" t="s">
        <v>27</v>
      </c>
      <c r="F1063" s="12" t="str">
        <f>IFERROR(__xludf.DUMMYFUNCTION("GOOGLETRANSLATE(B1063,""zh_cn"",""vi"")"),"khí")</f>
        <v>khí</v>
      </c>
      <c r="G1063" s="12"/>
      <c r="H1063" s="6"/>
      <c r="I1063" s="11" t="b">
        <f t="shared" si="2"/>
        <v>0</v>
      </c>
      <c r="J1063" s="24"/>
      <c r="K1063" s="11" t="b">
        <f t="shared" si="3"/>
        <v>0</v>
      </c>
    </row>
    <row r="1064" ht="22.5" customHeight="1">
      <c r="A1064" s="12">
        <f t="shared" si="4"/>
        <v>4662</v>
      </c>
      <c r="B1064" s="6" t="s">
        <v>13349</v>
      </c>
      <c r="C1064" s="7" t="str">
        <f t="shared" si="7"/>
        <v>🔊</v>
      </c>
      <c r="D1064" s="8" t="s">
        <v>1435</v>
      </c>
      <c r="E1064" s="6" t="s">
        <v>13</v>
      </c>
      <c r="F1064" s="12" t="str">
        <f>IFERROR(__xludf.DUMMYFUNCTION("GOOGLETRANSLATE(B1064,""zh_cn"",""vi"")"),"ăn xin")</f>
        <v>ăn xin</v>
      </c>
      <c r="G1064" s="12"/>
      <c r="H1064" s="6"/>
      <c r="I1064" s="11" t="b">
        <f t="shared" si="2"/>
        <v>0</v>
      </c>
      <c r="J1064" s="24"/>
      <c r="K1064" s="11" t="b">
        <f t="shared" si="3"/>
        <v>0</v>
      </c>
    </row>
    <row r="1065" ht="22.5" customHeight="1">
      <c r="A1065" s="12">
        <f t="shared" si="4"/>
        <v>4663</v>
      </c>
      <c r="B1065" s="6" t="s">
        <v>13350</v>
      </c>
      <c r="C1065" s="7" t="str">
        <f t="shared" si="7"/>
        <v>🔊</v>
      </c>
      <c r="D1065" s="8" t="s">
        <v>13351</v>
      </c>
      <c r="E1065" s="6" t="s">
        <v>13</v>
      </c>
      <c r="F1065" s="12" t="str">
        <f>IFERROR(__xludf.DUMMYFUNCTION("GOOGLETRANSLATE(B1065,""zh_cn"",""vi"")"),"Đề xuất")</f>
        <v>Đề xuất</v>
      </c>
      <c r="G1065" s="12"/>
      <c r="H1065" s="6"/>
      <c r="I1065" s="11" t="b">
        <f t="shared" si="2"/>
        <v>0</v>
      </c>
      <c r="J1065" s="24"/>
      <c r="K1065" s="11" t="b">
        <f t="shared" si="3"/>
        <v>0</v>
      </c>
    </row>
    <row r="1066" ht="22.5" customHeight="1">
      <c r="A1066" s="12">
        <f t="shared" si="4"/>
        <v>4664</v>
      </c>
      <c r="B1066" s="6" t="s">
        <v>13352</v>
      </c>
      <c r="C1066" s="7" t="str">
        <f t="shared" si="7"/>
        <v>🔊</v>
      </c>
      <c r="D1066" s="8" t="s">
        <v>13353</v>
      </c>
      <c r="E1066" s="6" t="s">
        <v>13</v>
      </c>
      <c r="F1066" s="12" t="str">
        <f>IFERROR(__xludf.DUMMYFUNCTION("GOOGLETRANSLATE(B1066,""zh_cn"",""vi"")"),"SOS")</f>
        <v>SOS</v>
      </c>
      <c r="G1066" s="12"/>
      <c r="H1066" s="6"/>
      <c r="I1066" s="11" t="b">
        <f t="shared" si="2"/>
        <v>0</v>
      </c>
      <c r="J1066" s="24"/>
      <c r="K1066" s="11" t="b">
        <f t="shared" si="3"/>
        <v>0</v>
      </c>
    </row>
    <row r="1067" ht="22.5" customHeight="1">
      <c r="A1067" s="12">
        <f t="shared" si="4"/>
        <v>4665</v>
      </c>
      <c r="B1067" s="6" t="s">
        <v>13354</v>
      </c>
      <c r="C1067" s="7" t="str">
        <f t="shared" si="7"/>
        <v>🔊</v>
      </c>
      <c r="D1067" s="8" t="s">
        <v>13355</v>
      </c>
      <c r="E1067" s="6" t="s">
        <v>13</v>
      </c>
      <c r="F1067" s="12" t="str">
        <f>IFERROR(__xludf.DUMMYFUNCTION("GOOGLETRANSLATE(B1067,""zh_cn"",""vi"")"),"Tìm việc làm")</f>
        <v>Tìm việc làm</v>
      </c>
      <c r="G1067" s="12"/>
      <c r="H1067" s="6"/>
      <c r="I1067" s="11" t="b">
        <f t="shared" si="2"/>
        <v>0</v>
      </c>
      <c r="J1067" s="24"/>
      <c r="K1067" s="11" t="b">
        <f t="shared" si="3"/>
        <v>0</v>
      </c>
    </row>
    <row r="1068" ht="22.5" customHeight="1">
      <c r="A1068" s="12">
        <f t="shared" si="4"/>
        <v>4666</v>
      </c>
      <c r="B1068" s="6" t="s">
        <v>13356</v>
      </c>
      <c r="C1068" s="7" t="str">
        <f t="shared" si="7"/>
        <v>🔊</v>
      </c>
      <c r="D1068" s="8" t="s">
        <v>13357</v>
      </c>
      <c r="E1068" s="6" t="s">
        <v>13</v>
      </c>
      <c r="F1068" s="12" t="str">
        <f>IFERROR(__xludf.DUMMYFUNCTION("GOOGLETRANSLATE(B1068,""zh_cn"",""vi"")"),"Giúp đỡ")</f>
        <v>Giúp đỡ</v>
      </c>
      <c r="G1068" s="12"/>
      <c r="H1068" s="6"/>
      <c r="I1068" s="11" t="b">
        <f t="shared" si="2"/>
        <v>0</v>
      </c>
      <c r="J1068" s="24"/>
      <c r="K1068" s="11" t="b">
        <f t="shared" si="3"/>
        <v>0</v>
      </c>
    </row>
    <row r="1069" ht="22.5" customHeight="1">
      <c r="A1069" s="12">
        <f t="shared" si="4"/>
        <v>4667</v>
      </c>
      <c r="B1069" s="6" t="s">
        <v>13358</v>
      </c>
      <c r="C1069" s="7" t="str">
        <f t="shared" si="7"/>
        <v>🔊</v>
      </c>
      <c r="D1069" s="8" t="s">
        <v>13359</v>
      </c>
      <c r="E1069" s="6" t="s">
        <v>13</v>
      </c>
      <c r="F1069" s="12" t="str">
        <f>IFERROR(__xludf.DUMMYFUNCTION("GOOGLETRANSLATE(B1069,""zh_cn"",""vi"")"),"trông chờ")</f>
        <v>trông chờ</v>
      </c>
      <c r="G1069" s="12"/>
      <c r="H1069" s="6"/>
      <c r="I1069" s="11" t="b">
        <f t="shared" si="2"/>
        <v>0</v>
      </c>
      <c r="J1069" s="24"/>
      <c r="K1069" s="11" t="b">
        <f t="shared" si="3"/>
        <v>0</v>
      </c>
    </row>
    <row r="1070" ht="22.5" customHeight="1">
      <c r="A1070" s="12">
        <f t="shared" si="4"/>
        <v>4668</v>
      </c>
      <c r="B1070" s="6" t="s">
        <v>13360</v>
      </c>
      <c r="C1070" s="7" t="str">
        <f t="shared" si="7"/>
        <v>🔊</v>
      </c>
      <c r="D1070" s="8" t="s">
        <v>13361</v>
      </c>
      <c r="E1070" s="6" t="s">
        <v>27</v>
      </c>
      <c r="F1070" s="12" t="str">
        <f>IFERROR(__xludf.DUMMYFUNCTION("GOOGLETRANSLATE(B1070,""zh_cn"",""vi"")"),"mùi")</f>
        <v>mùi</v>
      </c>
      <c r="G1070" s="12"/>
      <c r="H1070" s="6"/>
      <c r="I1070" s="11" t="b">
        <f t="shared" si="2"/>
        <v>0</v>
      </c>
      <c r="J1070" s="24"/>
      <c r="K1070" s="11" t="b">
        <f t="shared" si="3"/>
        <v>0</v>
      </c>
    </row>
    <row r="1071" ht="22.5" customHeight="1">
      <c r="A1071" s="12">
        <f t="shared" si="4"/>
        <v>4669</v>
      </c>
      <c r="B1071" s="6" t="s">
        <v>13362</v>
      </c>
      <c r="C1071" s="7" t="str">
        <f t="shared" si="7"/>
        <v>🔊</v>
      </c>
      <c r="D1071" s="8" t="s">
        <v>13363</v>
      </c>
      <c r="E1071" s="6" t="s">
        <v>27</v>
      </c>
      <c r="F1071" s="12" t="str">
        <f>IFERROR(__xludf.DUMMYFUNCTION("GOOGLETRANSLATE(B1071,""zh_cn"",""vi"")"),"thuật ngữ")</f>
        <v>thuật ngữ</v>
      </c>
      <c r="G1071" s="12"/>
      <c r="H1071" s="6"/>
      <c r="I1071" s="11" t="b">
        <f t="shared" si="2"/>
        <v>0</v>
      </c>
      <c r="J1071" s="24"/>
      <c r="K1071" s="11" t="b">
        <f t="shared" si="3"/>
        <v>0</v>
      </c>
    </row>
    <row r="1072" ht="22.5" customHeight="1">
      <c r="A1072" s="12">
        <f t="shared" si="4"/>
        <v>4670</v>
      </c>
      <c r="B1072" s="6" t="s">
        <v>13364</v>
      </c>
      <c r="C1072" s="7" t="str">
        <f t="shared" si="7"/>
        <v>🔊</v>
      </c>
      <c r="D1072" s="8" t="s">
        <v>13365</v>
      </c>
      <c r="E1072" s="6" t="s">
        <v>232</v>
      </c>
      <c r="F1072" s="12" t="str">
        <f>IFERROR(__xludf.DUMMYFUNCTION("GOOGLETRANSLATE(B1072,""zh_cn"",""vi"")"),"nguồn gốc")</f>
        <v>nguồn gốc</v>
      </c>
      <c r="G1072" s="12"/>
      <c r="H1072" s="6"/>
      <c r="I1072" s="11" t="b">
        <f t="shared" si="2"/>
        <v>0</v>
      </c>
      <c r="J1072" s="24"/>
      <c r="K1072" s="11" t="b">
        <f t="shared" si="3"/>
        <v>0</v>
      </c>
    </row>
    <row r="1073" ht="22.5" customHeight="1">
      <c r="A1073" s="12">
        <f t="shared" si="4"/>
        <v>4671</v>
      </c>
      <c r="B1073" s="6" t="s">
        <v>13366</v>
      </c>
      <c r="C1073" s="7" t="str">
        <f t="shared" si="7"/>
        <v>🔊</v>
      </c>
      <c r="D1073" s="8" t="s">
        <v>13367</v>
      </c>
      <c r="E1073" s="6" t="s">
        <v>27</v>
      </c>
      <c r="F1073" s="12" t="str">
        <f>IFERROR(__xludf.DUMMYFUNCTION("GOOGLETRANSLATE(B1073,""zh_cn"",""vi"")"),"tính khí")</f>
        <v>tính khí</v>
      </c>
      <c r="G1073" s="12"/>
      <c r="H1073" s="6"/>
      <c r="I1073" s="11" t="b">
        <f t="shared" si="2"/>
        <v>0</v>
      </c>
      <c r="J1073" s="24"/>
      <c r="K1073" s="11" t="b">
        <f t="shared" si="3"/>
        <v>0</v>
      </c>
    </row>
    <row r="1074" ht="22.5" customHeight="1">
      <c r="A1074" s="12">
        <f t="shared" si="4"/>
        <v>4672</v>
      </c>
      <c r="B1074" s="6" t="s">
        <v>13368</v>
      </c>
      <c r="C1074" s="7" t="str">
        <f t="shared" si="7"/>
        <v>🔊</v>
      </c>
      <c r="D1074" s="8" t="s">
        <v>13369</v>
      </c>
      <c r="E1074" s="6" t="s">
        <v>27</v>
      </c>
      <c r="F1074" s="12" t="str">
        <f>IFERROR(__xludf.DUMMYFUNCTION("GOOGLETRANSLATE(B1074,""zh_cn"",""vi"")"),"cái")</f>
        <v>cái</v>
      </c>
      <c r="G1074" s="12"/>
      <c r="H1074" s="6"/>
      <c r="I1074" s="11" t="b">
        <f t="shared" si="2"/>
        <v>0</v>
      </c>
      <c r="J1074" s="24"/>
      <c r="K1074" s="11" t="b">
        <f t="shared" si="3"/>
        <v>0</v>
      </c>
    </row>
    <row r="1075" ht="22.5" customHeight="1">
      <c r="A1075" s="12">
        <f t="shared" si="4"/>
        <v>4673</v>
      </c>
      <c r="B1075" s="6" t="s">
        <v>13370</v>
      </c>
      <c r="C1075" s="7" t="str">
        <f t="shared" si="7"/>
        <v>🔊</v>
      </c>
      <c r="D1075" s="8" t="s">
        <v>5278</v>
      </c>
      <c r="E1075" s="6" t="s">
        <v>27</v>
      </c>
      <c r="F1075" s="12" t="str">
        <f>IFERROR(__xludf.DUMMYFUNCTION("GOOGLETRANSLATE(B1075,""zh_cn"",""vi"")"),"bài hát")</f>
        <v>bài hát</v>
      </c>
      <c r="G1075" s="12"/>
      <c r="H1075" s="6"/>
      <c r="I1075" s="11" t="b">
        <f t="shared" si="2"/>
        <v>0</v>
      </c>
      <c r="J1075" s="24"/>
      <c r="K1075" s="11" t="b">
        <f t="shared" si="3"/>
        <v>0</v>
      </c>
    </row>
    <row r="1076" ht="22.5" customHeight="1">
      <c r="A1076" s="12">
        <f t="shared" si="4"/>
        <v>4674</v>
      </c>
      <c r="B1076" s="6" t="s">
        <v>13371</v>
      </c>
      <c r="C1076" s="7" t="str">
        <f t="shared" si="7"/>
        <v>🔊</v>
      </c>
      <c r="D1076" s="8" t="s">
        <v>5278</v>
      </c>
      <c r="E1076" s="6" t="s">
        <v>13</v>
      </c>
      <c r="F1076" s="12" t="str">
        <f>IFERROR(__xludf.DUMMYFUNCTION("GOOGLETRANSLATE(B1076,""zh_cn"",""vi"")"),"Kết hôn")</f>
        <v>Kết hôn</v>
      </c>
      <c r="G1076" s="12"/>
      <c r="H1076" s="6"/>
      <c r="I1076" s="11" t="b">
        <f t="shared" si="2"/>
        <v>0</v>
      </c>
      <c r="J1076" s="24"/>
      <c r="K1076" s="11" t="b">
        <f t="shared" si="3"/>
        <v>0</v>
      </c>
    </row>
    <row r="1077" ht="22.5" customHeight="1">
      <c r="A1077" s="12">
        <f t="shared" si="4"/>
        <v>4675</v>
      </c>
      <c r="B1077" s="6" t="s">
        <v>13372</v>
      </c>
      <c r="C1077" s="7" t="str">
        <f t="shared" si="7"/>
        <v>🔊</v>
      </c>
      <c r="D1077" s="8" t="s">
        <v>9248</v>
      </c>
      <c r="E1077" s="6" t="s">
        <v>27</v>
      </c>
      <c r="F1077" s="12" t="str">
        <f>IFERROR(__xludf.DUMMYFUNCTION("GOOGLETRANSLATE(B1077,""zh_cn"",""vi"")"),"phiếu giảm giá")</f>
        <v>phiếu giảm giá</v>
      </c>
      <c r="G1077" s="12"/>
      <c r="H1077" s="6"/>
      <c r="I1077" s="11" t="b">
        <f t="shared" si="2"/>
        <v>0</v>
      </c>
      <c r="J1077" s="24"/>
      <c r="K1077" s="11" t="b">
        <f t="shared" si="3"/>
        <v>0</v>
      </c>
    </row>
    <row r="1078" ht="22.5" customHeight="1">
      <c r="A1078" s="12">
        <f t="shared" si="4"/>
        <v>4676</v>
      </c>
      <c r="B1078" s="6" t="s">
        <v>13373</v>
      </c>
      <c r="C1078" s="7" t="str">
        <f t="shared" si="7"/>
        <v>🔊</v>
      </c>
      <c r="D1078" s="8" t="s">
        <v>13374</v>
      </c>
      <c r="E1078" s="6" t="s">
        <v>57</v>
      </c>
      <c r="F1078" s="12" t="str">
        <f>IFERROR(__xludf.DUMMYFUNCTION("GOOGLETRANSLATE(B1078,""zh_cn"",""vi"")"),"khóa")</f>
        <v>khóa</v>
      </c>
      <c r="G1078" s="12"/>
      <c r="H1078" s="6"/>
      <c r="I1078" s="11" t="b">
        <f t="shared" si="2"/>
        <v>0</v>
      </c>
      <c r="J1078" s="24"/>
      <c r="K1078" s="11" t="b">
        <f t="shared" si="3"/>
        <v>0</v>
      </c>
    </row>
    <row r="1079" ht="22.5" customHeight="1">
      <c r="A1079" s="12">
        <f t="shared" si="4"/>
        <v>4677</v>
      </c>
      <c r="B1079" s="6" t="s">
        <v>13375</v>
      </c>
      <c r="C1079" s="7" t="str">
        <f t="shared" si="7"/>
        <v>🔊</v>
      </c>
      <c r="D1079" s="8" t="s">
        <v>13376</v>
      </c>
      <c r="E1079" s="6" t="s">
        <v>27</v>
      </c>
      <c r="F1079" s="12" t="str">
        <f>IFERROR(__xludf.DUMMYFUNCTION("GOOGLETRANSLATE(B1079,""zh_cn"",""vi"")"),"Quy trình đầy đủ")</f>
        <v>Quy trình đầy đủ</v>
      </c>
      <c r="G1079" s="12"/>
      <c r="H1079" s="6"/>
      <c r="I1079" s="11" t="b">
        <f t="shared" si="2"/>
        <v>0</v>
      </c>
      <c r="J1079" s="24"/>
      <c r="K1079" s="11" t="b">
        <f t="shared" si="3"/>
        <v>0</v>
      </c>
    </row>
    <row r="1080" ht="22.5" customHeight="1">
      <c r="A1080" s="12">
        <f t="shared" si="4"/>
        <v>4678</v>
      </c>
      <c r="B1080" s="6" t="s">
        <v>13377</v>
      </c>
      <c r="C1080" s="7" t="str">
        <f t="shared" si="7"/>
        <v>🔊</v>
      </c>
      <c r="D1080" s="8" t="s">
        <v>9251</v>
      </c>
      <c r="E1080" s="6" t="s">
        <v>27</v>
      </c>
      <c r="F1080" s="12" t="str">
        <f>IFERROR(__xludf.DUMMYFUNCTION("GOOGLETRANSLATE(B1080,""zh_cn"",""vi"")"),"sức mạnh đó")</f>
        <v>sức mạnh đó</v>
      </c>
      <c r="G1080" s="12"/>
      <c r="H1080" s="6"/>
      <c r="I1080" s="11" t="b">
        <f t="shared" si="2"/>
        <v>0</v>
      </c>
      <c r="J1080" s="24"/>
      <c r="K1080" s="11" t="b">
        <f t="shared" si="3"/>
        <v>0</v>
      </c>
    </row>
    <row r="1081" ht="22.5" customHeight="1">
      <c r="A1081" s="12">
        <f t="shared" si="4"/>
        <v>4679</v>
      </c>
      <c r="B1081" s="6" t="s">
        <v>13378</v>
      </c>
      <c r="C1081" s="7" t="str">
        <f t="shared" si="7"/>
        <v>🔊</v>
      </c>
      <c r="D1081" s="8" t="s">
        <v>13379</v>
      </c>
      <c r="E1081" s="6" t="s">
        <v>13</v>
      </c>
      <c r="F1081" s="12" t="str">
        <f>IFERROR(__xludf.DUMMYFUNCTION("GOOGLETRANSLATE(B1081,""zh_cn"",""vi"")"),"thay thế")</f>
        <v>thay thế</v>
      </c>
      <c r="G1081" s="12"/>
      <c r="H1081" s="6"/>
      <c r="I1081" s="11" t="b">
        <f t="shared" si="2"/>
        <v>0</v>
      </c>
      <c r="J1081" s="24"/>
      <c r="K1081" s="11" t="b">
        <f t="shared" si="3"/>
        <v>0</v>
      </c>
    </row>
    <row r="1082" ht="22.5" customHeight="1">
      <c r="A1082" s="12">
        <f t="shared" si="4"/>
        <v>4680</v>
      </c>
      <c r="B1082" s="6" t="s">
        <v>13380</v>
      </c>
      <c r="C1082" s="7" t="str">
        <f t="shared" si="7"/>
        <v>🔊</v>
      </c>
      <c r="D1082" s="8" t="s">
        <v>13381</v>
      </c>
      <c r="E1082" s="6" t="s">
        <v>27</v>
      </c>
      <c r="F1082" s="12" t="str">
        <f>IFERROR(__xludf.DUMMYFUNCTION("GOOGLETRANSLATE(B1082,""zh_cn"",""vi"")"),"kênh")</f>
        <v>kênh</v>
      </c>
      <c r="G1082" s="12"/>
      <c r="H1082" s="6"/>
      <c r="I1082" s="11" t="b">
        <f t="shared" si="2"/>
        <v>0</v>
      </c>
      <c r="J1082" s="24"/>
      <c r="K1082" s="11" t="b">
        <f t="shared" si="3"/>
        <v>0</v>
      </c>
    </row>
    <row r="1083" ht="22.5" customHeight="1">
      <c r="A1083" s="12">
        <f t="shared" si="4"/>
        <v>4681</v>
      </c>
      <c r="B1083" s="6" t="s">
        <v>13382</v>
      </c>
      <c r="C1083" s="7" t="str">
        <f t="shared" si="7"/>
        <v>🔊</v>
      </c>
      <c r="D1083" s="8" t="s">
        <v>13383</v>
      </c>
      <c r="E1083" s="6" t="s">
        <v>13</v>
      </c>
      <c r="F1083" s="12" t="str">
        <f>IFERROR(__xludf.DUMMYFUNCTION("GOOGLETRANSLATE(B1083,""zh_cn"",""vi"")"),"thành lập")</f>
        <v>thành lập</v>
      </c>
      <c r="G1083" s="12"/>
      <c r="H1083" s="6"/>
      <c r="I1083" s="11" t="b">
        <f t="shared" si="2"/>
        <v>0</v>
      </c>
      <c r="J1083" s="24"/>
      <c r="K1083" s="11" t="b">
        <f t="shared" si="3"/>
        <v>0</v>
      </c>
    </row>
    <row r="1084" ht="22.5" customHeight="1">
      <c r="A1084" s="12">
        <f t="shared" si="4"/>
        <v>4682</v>
      </c>
      <c r="B1084" s="6" t="s">
        <v>13384</v>
      </c>
      <c r="C1084" s="7" t="str">
        <f t="shared" si="7"/>
        <v>🔊</v>
      </c>
      <c r="D1084" s="8" t="s">
        <v>13385</v>
      </c>
      <c r="E1084" s="6" t="s">
        <v>27</v>
      </c>
      <c r="F1084" s="12" t="str">
        <f>IFERROR(__xludf.DUMMYFUNCTION("GOOGLETRANSLATE(B1084,""zh_cn"",""vi"")"),"khuyết điểm")</f>
        <v>khuyết điểm</v>
      </c>
      <c r="G1084" s="12"/>
      <c r="H1084" s="6"/>
      <c r="I1084" s="11" t="b">
        <f t="shared" si="2"/>
        <v>0</v>
      </c>
      <c r="J1084" s="24"/>
      <c r="K1084" s="11" t="b">
        <f t="shared" si="3"/>
        <v>0</v>
      </c>
    </row>
    <row r="1085" ht="22.5" customHeight="1">
      <c r="A1085" s="12">
        <f t="shared" si="4"/>
        <v>4683</v>
      </c>
      <c r="B1085" s="6" t="s">
        <v>13386</v>
      </c>
      <c r="C1085" s="7" t="str">
        <f t="shared" si="7"/>
        <v>🔊</v>
      </c>
      <c r="D1085" s="8" t="s">
        <v>13387</v>
      </c>
      <c r="E1085" s="6" t="s">
        <v>13</v>
      </c>
      <c r="F1085" s="12" t="str">
        <f>IFERROR(__xludf.DUMMYFUNCTION("GOOGLETRANSLATE(B1085,""zh_cn"",""vi"")"),"phân biệt")</f>
        <v>phân biệt</v>
      </c>
      <c r="G1085" s="12"/>
      <c r="H1085" s="6"/>
      <c r="I1085" s="11" t="b">
        <f t="shared" si="2"/>
        <v>0</v>
      </c>
      <c r="J1085" s="24"/>
      <c r="K1085" s="11" t="b">
        <f t="shared" si="3"/>
        <v>0</v>
      </c>
    </row>
    <row r="1086" ht="22.5" customHeight="1">
      <c r="A1086" s="12">
        <f t="shared" si="4"/>
        <v>4684</v>
      </c>
      <c r="B1086" s="6" t="s">
        <v>13388</v>
      </c>
      <c r="C1086" s="7" t="str">
        <f t="shared" si="7"/>
        <v>🔊</v>
      </c>
      <c r="D1086" s="8" t="s">
        <v>13389</v>
      </c>
      <c r="E1086" s="6" t="s">
        <v>27</v>
      </c>
      <c r="F1086" s="12" t="str">
        <f>IFERROR(__xludf.DUMMYFUNCTION("GOOGLETRANSLATE(B1086,""zh_cn"",""vi"")"),"quần chúng")</f>
        <v>quần chúng</v>
      </c>
      <c r="G1086" s="12"/>
      <c r="H1086" s="6"/>
      <c r="I1086" s="11" t="b">
        <f t="shared" si="2"/>
        <v>0</v>
      </c>
      <c r="J1086" s="24"/>
      <c r="K1086" s="11" t="b">
        <f t="shared" si="3"/>
        <v>0</v>
      </c>
    </row>
    <row r="1087" ht="22.5" customHeight="1">
      <c r="A1087" s="12">
        <f t="shared" si="4"/>
        <v>4685</v>
      </c>
      <c r="B1087" s="6" t="s">
        <v>13390</v>
      </c>
      <c r="C1087" s="7" t="str">
        <f t="shared" si="7"/>
        <v>🔊</v>
      </c>
      <c r="D1087" s="8" t="s">
        <v>13391</v>
      </c>
      <c r="E1087" s="6" t="s">
        <v>27</v>
      </c>
      <c r="F1087" s="12" t="str">
        <f>IFERROR(__xludf.DUMMYFUNCTION("GOOGLETRANSLATE(B1087,""zh_cn"",""vi"")"),"nếm")</f>
        <v>nếm</v>
      </c>
      <c r="G1087" s="12"/>
      <c r="H1087" s="6"/>
      <c r="I1087" s="11" t="b">
        <f t="shared" si="2"/>
        <v>0</v>
      </c>
      <c r="J1087" s="24"/>
      <c r="K1087" s="11" t="b">
        <f t="shared" si="3"/>
        <v>0</v>
      </c>
    </row>
    <row r="1088" ht="22.5" customHeight="1">
      <c r="A1088" s="12">
        <f t="shared" si="4"/>
        <v>4686</v>
      </c>
      <c r="B1088" s="6" t="s">
        <v>13392</v>
      </c>
      <c r="C1088" s="7" t="str">
        <f t="shared" si="7"/>
        <v>🔊</v>
      </c>
      <c r="D1088" s="8" t="s">
        <v>13393</v>
      </c>
      <c r="E1088" s="6" t="s">
        <v>13</v>
      </c>
      <c r="F1088" s="12" t="str">
        <f>IFERROR(__xludf.DUMMYFUNCTION("GOOGLETRANSLATE(B1088,""zh_cn"",""vi"")"),"thuốc nhuộm")</f>
        <v>thuốc nhuộm</v>
      </c>
      <c r="G1088" s="12"/>
      <c r="H1088" s="6"/>
      <c r="I1088" s="11" t="b">
        <f t="shared" si="2"/>
        <v>0</v>
      </c>
      <c r="J1088" s="24"/>
      <c r="K1088" s="11" t="b">
        <f t="shared" si="3"/>
        <v>0</v>
      </c>
    </row>
    <row r="1089" ht="22.5" customHeight="1">
      <c r="A1089" s="12">
        <f t="shared" si="4"/>
        <v>4687</v>
      </c>
      <c r="B1089" s="6" t="s">
        <v>13394</v>
      </c>
      <c r="C1089" s="7" t="str">
        <f t="shared" si="7"/>
        <v>🔊</v>
      </c>
      <c r="D1089" s="8" t="s">
        <v>13395</v>
      </c>
      <c r="E1089" s="6" t="s">
        <v>27</v>
      </c>
      <c r="F1089" s="12" t="str">
        <f>IFERROR(__xludf.DUMMYFUNCTION("GOOGLETRANSLATE(B1089,""zh_cn"",""vi"")"),"nhiên liệu")</f>
        <v>nhiên liệu</v>
      </c>
      <c r="G1089" s="12"/>
      <c r="H1089" s="6"/>
      <c r="I1089" s="11" t="b">
        <f t="shared" si="2"/>
        <v>0</v>
      </c>
      <c r="J1089" s="24"/>
      <c r="K1089" s="11" t="b">
        <f t="shared" si="3"/>
        <v>0</v>
      </c>
    </row>
    <row r="1090" ht="22.5" customHeight="1">
      <c r="A1090" s="12">
        <f t="shared" si="4"/>
        <v>4688</v>
      </c>
      <c r="B1090" s="6" t="s">
        <v>13396</v>
      </c>
      <c r="C1090" s="7" t="str">
        <f t="shared" si="7"/>
        <v>🔊</v>
      </c>
      <c r="D1090" s="8" t="s">
        <v>13397</v>
      </c>
      <c r="E1090" s="6" t="s">
        <v>27</v>
      </c>
      <c r="F1090" s="12" t="str">
        <f>IFERROR(__xludf.DUMMYFUNCTION("GOOGLETRANSLATE(B1090,""zh_cn"",""vi"")"),"Các chủ đề nóng")</f>
        <v>Các chủ đề nóng</v>
      </c>
      <c r="G1090" s="12"/>
      <c r="H1090" s="6"/>
      <c r="I1090" s="11" t="b">
        <f t="shared" si="2"/>
        <v>0</v>
      </c>
      <c r="J1090" s="24"/>
      <c r="K1090" s="11" t="b">
        <f t="shared" si="3"/>
        <v>0</v>
      </c>
    </row>
    <row r="1091" ht="22.5" customHeight="1">
      <c r="A1091" s="12">
        <f t="shared" si="4"/>
        <v>4689</v>
      </c>
      <c r="B1091" s="6" t="s">
        <v>13398</v>
      </c>
      <c r="C1091" s="7" t="str">
        <f t="shared" si="7"/>
        <v>🔊</v>
      </c>
      <c r="D1091" s="8" t="s">
        <v>13399</v>
      </c>
      <c r="E1091" s="6" t="s">
        <v>27</v>
      </c>
      <c r="F1091" s="12" t="str">
        <f>IFERROR(__xludf.DUMMYFUNCTION("GOOGLETRANSLATE(B1091,""zh_cn"",""vi"")"),"nhiệt")</f>
        <v>nhiệt</v>
      </c>
      <c r="G1091" s="12"/>
      <c r="H1091" s="6"/>
      <c r="I1091" s="11" t="b">
        <f t="shared" si="2"/>
        <v>0</v>
      </c>
      <c r="J1091" s="24"/>
      <c r="K1091" s="11" t="b">
        <f t="shared" si="3"/>
        <v>0</v>
      </c>
    </row>
    <row r="1092" ht="22.5" customHeight="1">
      <c r="A1092" s="12">
        <f t="shared" si="4"/>
        <v>4690</v>
      </c>
      <c r="B1092" s="6" t="s">
        <v>13400</v>
      </c>
      <c r="C1092" s="7" t="str">
        <f t="shared" si="7"/>
        <v>🔊</v>
      </c>
      <c r="D1092" s="8" t="s">
        <v>13401</v>
      </c>
      <c r="E1092" s="6" t="s">
        <v>27</v>
      </c>
      <c r="F1092" s="12" t="str">
        <f>IFERROR(__xludf.DUMMYFUNCTION("GOOGLETRANSLATE(B1092,""zh_cn"",""vi"")"),"Phổ biến")</f>
        <v>Phổ biến</v>
      </c>
      <c r="G1092" s="12"/>
      <c r="H1092" s="6"/>
      <c r="I1092" s="11" t="b">
        <f t="shared" si="2"/>
        <v>0</v>
      </c>
      <c r="J1092" s="24"/>
      <c r="K1092" s="11" t="b">
        <f t="shared" si="3"/>
        <v>0</v>
      </c>
    </row>
    <row r="1093" ht="22.5" customHeight="1">
      <c r="A1093" s="12">
        <f t="shared" si="4"/>
        <v>4691</v>
      </c>
      <c r="B1093" s="6" t="s">
        <v>13402</v>
      </c>
      <c r="C1093" s="7" t="str">
        <f t="shared" si="7"/>
        <v>🔊</v>
      </c>
      <c r="D1093" s="8" t="s">
        <v>13403</v>
      </c>
      <c r="E1093" s="6" t="s">
        <v>13</v>
      </c>
      <c r="F1093" s="12" t="str">
        <f>IFERROR(__xludf.DUMMYFUNCTION("GOOGLETRANSLATE(B1093,""zh_cn"",""vi"")"),"Thừa nhận sai lầm")</f>
        <v>Thừa nhận sai lầm</v>
      </c>
      <c r="G1093" s="12"/>
      <c r="H1093" s="6"/>
      <c r="I1093" s="11" t="b">
        <f t="shared" si="2"/>
        <v>0</v>
      </c>
      <c r="J1093" s="24"/>
      <c r="K1093" s="11" t="b">
        <f t="shared" si="3"/>
        <v>0</v>
      </c>
    </row>
    <row r="1094" ht="22.5" customHeight="1">
      <c r="A1094" s="12">
        <f t="shared" si="4"/>
        <v>4692</v>
      </c>
      <c r="B1094" s="6" t="s">
        <v>13404</v>
      </c>
      <c r="C1094" s="7" t="str">
        <f t="shared" si="7"/>
        <v>🔊</v>
      </c>
      <c r="D1094" s="8" t="s">
        <v>13405</v>
      </c>
      <c r="E1094" s="6" t="s">
        <v>13</v>
      </c>
      <c r="F1094" s="12" t="str">
        <f>IFERROR(__xludf.DUMMYFUNCTION("GOOGLETRANSLATE(B1094,""zh_cn"",""vi"")"),"Sự quyết tâm")</f>
        <v>Sự quyết tâm</v>
      </c>
      <c r="G1094" s="12"/>
      <c r="H1094" s="6"/>
      <c r="I1094" s="11" t="b">
        <f t="shared" si="2"/>
        <v>0</v>
      </c>
      <c r="J1094" s="24"/>
      <c r="K1094" s="11" t="b">
        <f t="shared" si="3"/>
        <v>0</v>
      </c>
    </row>
    <row r="1095" ht="22.5" customHeight="1">
      <c r="A1095" s="12">
        <f t="shared" si="4"/>
        <v>4693</v>
      </c>
      <c r="B1095" s="6" t="s">
        <v>13406</v>
      </c>
      <c r="C1095" s="7" t="str">
        <f t="shared" si="7"/>
        <v>🔊</v>
      </c>
      <c r="D1095" s="8" t="s">
        <v>13407</v>
      </c>
      <c r="E1095" s="6" t="s">
        <v>61</v>
      </c>
      <c r="F1095" s="12" t="str">
        <f>IFERROR(__xludf.DUMMYFUNCTION("GOOGLETRANSLATE(B1095,""zh_cn"",""vi"")"),"Vẫn")</f>
        <v>Vẫn</v>
      </c>
      <c r="G1095" s="12"/>
      <c r="H1095" s="6"/>
      <c r="I1095" s="11" t="b">
        <f t="shared" si="2"/>
        <v>0</v>
      </c>
      <c r="J1095" s="24"/>
      <c r="K1095" s="11" t="b">
        <f t="shared" si="3"/>
        <v>0</v>
      </c>
    </row>
    <row r="1096" ht="22.5" customHeight="1">
      <c r="A1096" s="12">
        <f t="shared" si="4"/>
        <v>4694</v>
      </c>
      <c r="B1096" s="6" t="s">
        <v>13408</v>
      </c>
      <c r="C1096" s="7" t="str">
        <f t="shared" si="7"/>
        <v>🔊</v>
      </c>
      <c r="D1096" s="8" t="s">
        <v>13409</v>
      </c>
      <c r="E1096" s="14"/>
      <c r="F1096" s="12" t="str">
        <f>IFERROR(__xludf.DUMMYFUNCTION("GOOGLETRANSLATE(B1096,""zh_cn"",""vi"")"),"Trí tuệ nhân tạo")</f>
        <v>Trí tuệ nhân tạo</v>
      </c>
      <c r="G1096" s="12"/>
      <c r="H1096" s="6"/>
      <c r="I1096" s="11" t="b">
        <f t="shared" si="2"/>
        <v>0</v>
      </c>
      <c r="J1096" s="24"/>
      <c r="K1096" s="11" t="b">
        <f t="shared" si="3"/>
        <v>0</v>
      </c>
    </row>
    <row r="1097" ht="22.5" customHeight="1">
      <c r="A1097" s="12">
        <f t="shared" si="4"/>
        <v>4695</v>
      </c>
      <c r="B1097" s="6" t="s">
        <v>13410</v>
      </c>
      <c r="C1097" s="7" t="str">
        <f t="shared" si="7"/>
        <v>🔊</v>
      </c>
      <c r="D1097" s="8" t="s">
        <v>13411</v>
      </c>
      <c r="E1097" s="6" t="s">
        <v>106</v>
      </c>
      <c r="F1097" s="12" t="str">
        <f>IFERROR(__xludf.DUMMYFUNCTION("GOOGLETRANSLATE(B1097,""zh_cn"",""vi"")"),"những người khác")</f>
        <v>những người khác</v>
      </c>
      <c r="G1097" s="12"/>
      <c r="H1097" s="6"/>
      <c r="I1097" s="11" t="b">
        <f t="shared" si="2"/>
        <v>0</v>
      </c>
      <c r="J1097" s="24"/>
      <c r="K1097" s="11" t="b">
        <f t="shared" si="3"/>
        <v>0</v>
      </c>
    </row>
    <row r="1098" ht="22.5" customHeight="1">
      <c r="A1098" s="12">
        <f t="shared" si="4"/>
        <v>4696</v>
      </c>
      <c r="B1098" s="6" t="s">
        <v>13412</v>
      </c>
      <c r="C1098" s="7" t="str">
        <f t="shared" si="7"/>
        <v>🔊</v>
      </c>
      <c r="D1098" s="8" t="s">
        <v>13413</v>
      </c>
      <c r="E1098" s="6" t="s">
        <v>13</v>
      </c>
      <c r="F1098" s="12" t="str">
        <f>IFERROR(__xludf.DUMMYFUNCTION("GOOGLETRANSLATE(B1098,""zh_cn"",""vi"")"),"bình quân đầu người")</f>
        <v>bình quân đầu người</v>
      </c>
      <c r="G1098" s="12"/>
      <c r="H1098" s="6"/>
      <c r="I1098" s="11" t="b">
        <f t="shared" si="2"/>
        <v>0</v>
      </c>
      <c r="J1098" s="24"/>
      <c r="K1098" s="11" t="b">
        <f t="shared" si="3"/>
        <v>0</v>
      </c>
    </row>
    <row r="1099" ht="22.5" customHeight="1">
      <c r="A1099" s="12">
        <f t="shared" si="4"/>
        <v>4697</v>
      </c>
      <c r="B1099" s="6" t="s">
        <v>13414</v>
      </c>
      <c r="C1099" s="7" t="str">
        <f t="shared" si="7"/>
        <v>🔊</v>
      </c>
      <c r="D1099" s="8" t="s">
        <v>13415</v>
      </c>
      <c r="E1099" s="6" t="s">
        <v>13</v>
      </c>
      <c r="F1099" s="12" t="str">
        <f>IFERROR(__xludf.DUMMYFUNCTION("GOOGLETRANSLATE(B1099,""zh_cn"",""vi"")"),"Sự chấp thuận")</f>
        <v>Sự chấp thuận</v>
      </c>
      <c r="G1099" s="12"/>
      <c r="H1099" s="6"/>
      <c r="I1099" s="11" t="b">
        <f t="shared" si="2"/>
        <v>0</v>
      </c>
      <c r="J1099" s="24"/>
      <c r="K1099" s="11" t="b">
        <f t="shared" si="3"/>
        <v>0</v>
      </c>
    </row>
    <row r="1100" ht="22.5" customHeight="1">
      <c r="A1100" s="12">
        <f t="shared" si="4"/>
        <v>4698</v>
      </c>
      <c r="B1100" s="6" t="s">
        <v>13416</v>
      </c>
      <c r="C1100" s="7" t="str">
        <f t="shared" si="7"/>
        <v>🔊</v>
      </c>
      <c r="D1100" s="8" t="s">
        <v>13417</v>
      </c>
      <c r="E1100" s="14"/>
      <c r="F1100" s="12" t="str">
        <f>IFERROR(__xludf.DUMMYFUNCTION("GOOGLETRANSLATE(B1100,""zh_cn"",""vi"")"),"Đám đông")</f>
        <v>Đám đông</v>
      </c>
      <c r="G1100" s="12"/>
      <c r="H1100" s="6"/>
      <c r="I1100" s="11" t="b">
        <f t="shared" si="2"/>
        <v>0</v>
      </c>
      <c r="J1100" s="24"/>
      <c r="K1100" s="11" t="b">
        <f t="shared" si="3"/>
        <v>0</v>
      </c>
    </row>
    <row r="1101" ht="22.5" customHeight="1">
      <c r="A1101" s="12">
        <f t="shared" si="4"/>
        <v>4699</v>
      </c>
      <c r="B1101" s="6" t="s">
        <v>13418</v>
      </c>
      <c r="C1101" s="7" t="str">
        <f t="shared" si="7"/>
        <v>🔊</v>
      </c>
      <c r="D1101" s="8" t="s">
        <v>13419</v>
      </c>
      <c r="E1101" s="6" t="s">
        <v>27</v>
      </c>
      <c r="F1101" s="12" t="str">
        <f>IFERROR(__xludf.DUMMYFUNCTION("GOOGLETRANSLATE(B1101,""zh_cn"",""vi"")"),"người")</f>
        <v>người</v>
      </c>
      <c r="G1101" s="12"/>
      <c r="H1101" s="6"/>
      <c r="I1101" s="11" t="b">
        <f t="shared" si="2"/>
        <v>0</v>
      </c>
      <c r="J1101" s="24"/>
      <c r="K1101" s="11" t="b">
        <f t="shared" si="3"/>
        <v>0</v>
      </c>
    </row>
    <row r="1102" ht="22.5" customHeight="1">
      <c r="A1102" s="12">
        <f t="shared" si="4"/>
        <v>4700</v>
      </c>
      <c r="B1102" s="6" t="s">
        <v>13420</v>
      </c>
      <c r="C1102" s="7" t="str">
        <f t="shared" si="7"/>
        <v>🔊</v>
      </c>
      <c r="D1102" s="8" t="s">
        <v>13419</v>
      </c>
      <c r="E1102" s="6" t="s">
        <v>27</v>
      </c>
      <c r="F1102" s="12" t="str">
        <f>IFERROR(__xludf.DUMMYFUNCTION("GOOGLETRANSLATE(B1102,""zh_cn"",""vi"")"),"nhân viên")</f>
        <v>nhân viên</v>
      </c>
      <c r="G1102" s="12"/>
      <c r="H1102" s="6"/>
      <c r="I1102" s="11" t="b">
        <f t="shared" si="2"/>
        <v>0</v>
      </c>
      <c r="J1102" s="24"/>
      <c r="K1102" s="11" t="b">
        <f t="shared" si="3"/>
        <v>0</v>
      </c>
    </row>
    <row r="1103" ht="22.5" customHeight="1">
      <c r="A1103" s="12">
        <f t="shared" si="4"/>
        <v>4701</v>
      </c>
      <c r="B1103" s="6" t="s">
        <v>13421</v>
      </c>
      <c r="C1103" s="7" t="str">
        <f t="shared" si="7"/>
        <v>🔊</v>
      </c>
      <c r="D1103" s="8" t="s">
        <v>13422</v>
      </c>
      <c r="E1103" s="6" t="s">
        <v>13</v>
      </c>
      <c r="F1103" s="12" t="str">
        <f>IFERROR(__xludf.DUMMYFUNCTION("GOOGLETRANSLATE(B1103,""zh_cn"",""vi"")"),"Con gấu")</f>
        <v>Con gấu</v>
      </c>
      <c r="G1103" s="12"/>
      <c r="H1103" s="6"/>
      <c r="I1103" s="11" t="b">
        <f t="shared" si="2"/>
        <v>0</v>
      </c>
      <c r="J1103" s="24"/>
      <c r="K1103" s="11" t="b">
        <f t="shared" si="3"/>
        <v>0</v>
      </c>
    </row>
    <row r="1104" ht="22.5" customHeight="1">
      <c r="A1104" s="12">
        <f t="shared" si="4"/>
        <v>4702</v>
      </c>
      <c r="B1104" s="6" t="s">
        <v>13423</v>
      </c>
      <c r="C1104" s="7" t="str">
        <f t="shared" si="7"/>
        <v>🔊</v>
      </c>
      <c r="D1104" s="8" t="s">
        <v>13424</v>
      </c>
      <c r="E1104" s="6" t="s">
        <v>13</v>
      </c>
      <c r="F1104" s="12" t="str">
        <f>IFERROR(__xludf.DUMMYFUNCTION("GOOGLETRANSLATE(B1104,""zh_cn"",""vi"")"),"Đồng ý")</f>
        <v>Đồng ý</v>
      </c>
      <c r="G1104" s="12"/>
      <c r="H1104" s="6"/>
      <c r="I1104" s="11" t="b">
        <f t="shared" si="2"/>
        <v>0</v>
      </c>
      <c r="J1104" s="24"/>
      <c r="K1104" s="11" t="b">
        <f t="shared" si="3"/>
        <v>0</v>
      </c>
    </row>
    <row r="1105" ht="22.5" customHeight="1">
      <c r="A1105" s="12">
        <f t="shared" si="4"/>
        <v>4703</v>
      </c>
      <c r="B1105" s="6" t="s">
        <v>13425</v>
      </c>
      <c r="C1105" s="7" t="str">
        <f t="shared" si="7"/>
        <v>🔊</v>
      </c>
      <c r="D1105" s="8" t="s">
        <v>13426</v>
      </c>
      <c r="E1105" s="6" t="s">
        <v>99</v>
      </c>
      <c r="F1105" s="12" t="str">
        <f>IFERROR(__xludf.DUMMYFUNCTION("GOOGLETRANSLATE(B1105,""zh_cn"",""vi"")"),"Nhân loại")</f>
        <v>Nhân loại</v>
      </c>
      <c r="G1105" s="12"/>
      <c r="H1105" s="6"/>
      <c r="I1105" s="11" t="b">
        <f t="shared" si="2"/>
        <v>0</v>
      </c>
      <c r="J1105" s="24"/>
      <c r="K1105" s="11" t="b">
        <f t="shared" si="3"/>
        <v>0</v>
      </c>
    </row>
    <row r="1106" ht="22.5" customHeight="1">
      <c r="A1106" s="12">
        <f t="shared" si="4"/>
        <v>4704</v>
      </c>
      <c r="B1106" s="6" t="s">
        <v>13427</v>
      </c>
      <c r="C1106" s="7" t="str">
        <f t="shared" si="7"/>
        <v>🔊</v>
      </c>
      <c r="D1106" s="8" t="s">
        <v>13428</v>
      </c>
      <c r="E1106" s="6" t="s">
        <v>27</v>
      </c>
      <c r="F1106" s="12" t="str">
        <f>IFERROR(__xludf.DUMMYFUNCTION("GOOGLETRANSLATE(B1106,""zh_cn"",""vi"")"),"vỉa hè")</f>
        <v>vỉa hè</v>
      </c>
      <c r="G1106" s="12"/>
      <c r="H1106" s="6"/>
      <c r="I1106" s="11" t="b">
        <f t="shared" si="2"/>
        <v>0</v>
      </c>
      <c r="J1106" s="24"/>
      <c r="K1106" s="11" t="b">
        <f t="shared" si="3"/>
        <v>0</v>
      </c>
    </row>
    <row r="1107" ht="22.5" customHeight="1">
      <c r="A1107" s="12">
        <f t="shared" si="4"/>
        <v>4705</v>
      </c>
      <c r="B1107" s="6" t="s">
        <v>13429</v>
      </c>
      <c r="C1107" s="7" t="str">
        <f t="shared" si="7"/>
        <v>🔊</v>
      </c>
      <c r="D1107" s="8" t="s">
        <v>13430</v>
      </c>
      <c r="E1107" s="6" t="s">
        <v>13</v>
      </c>
      <c r="F1107" s="12" t="str">
        <f>IFERROR(__xludf.DUMMYFUNCTION("GOOGLETRANSLATE(B1107,""zh_cn"",""vi"")"),"nhận thức")</f>
        <v>nhận thức</v>
      </c>
      <c r="G1107" s="12"/>
      <c r="H1107" s="6"/>
      <c r="I1107" s="11" t="b">
        <f t="shared" si="2"/>
        <v>0</v>
      </c>
      <c r="J1107" s="24"/>
      <c r="K1107" s="11" t="b">
        <f t="shared" si="3"/>
        <v>0</v>
      </c>
    </row>
    <row r="1108" ht="22.5" customHeight="1">
      <c r="A1108" s="12">
        <f t="shared" si="4"/>
        <v>4706</v>
      </c>
      <c r="B1108" s="6" t="s">
        <v>13431</v>
      </c>
      <c r="C1108" s="7" t="str">
        <f t="shared" si="7"/>
        <v>🔊</v>
      </c>
      <c r="D1108" s="8" t="s">
        <v>13432</v>
      </c>
      <c r="E1108" s="6" t="s">
        <v>27</v>
      </c>
      <c r="F1108" s="12" t="str">
        <f>IFERROR(__xludf.DUMMYFUNCTION("GOOGLETRANSLATE(B1108,""zh_cn"",""vi"")"),"bình nước nóng")</f>
        <v>bình nước nóng</v>
      </c>
      <c r="G1108" s="12"/>
      <c r="H1108" s="6"/>
      <c r="I1108" s="11" t="b">
        <f t="shared" si="2"/>
        <v>0</v>
      </c>
      <c r="J1108" s="24"/>
      <c r="K1108" s="11" t="b">
        <f t="shared" si="3"/>
        <v>0</v>
      </c>
    </row>
    <row r="1109" ht="22.5" customHeight="1">
      <c r="A1109" s="12">
        <f t="shared" si="4"/>
        <v>4707</v>
      </c>
      <c r="B1109" s="6" t="s">
        <v>13433</v>
      </c>
      <c r="C1109" s="7" t="str">
        <f t="shared" si="7"/>
        <v>🔊</v>
      </c>
      <c r="D1109" s="8" t="s">
        <v>13434</v>
      </c>
      <c r="E1109" s="6" t="s">
        <v>27</v>
      </c>
      <c r="F1109" s="12" t="str">
        <f>IFERROR(__xludf.DUMMYFUNCTION("GOOGLETRANSLATE(B1109,""zh_cn"",""vi"")"),"đường dây nóng")</f>
        <v>đường dây nóng</v>
      </c>
      <c r="G1109" s="12"/>
      <c r="H1109" s="6"/>
      <c r="I1109" s="11" t="b">
        <f t="shared" si="2"/>
        <v>0</v>
      </c>
      <c r="J1109" s="24"/>
      <c r="K1109" s="11" t="b">
        <f t="shared" si="3"/>
        <v>0</v>
      </c>
    </row>
    <row r="1110" ht="22.5" customHeight="1">
      <c r="A1110" s="12">
        <f t="shared" si="4"/>
        <v>4708</v>
      </c>
      <c r="B1110" s="6" t="s">
        <v>13435</v>
      </c>
      <c r="C1110" s="7" t="str">
        <f t="shared" si="7"/>
        <v>🔊</v>
      </c>
      <c r="D1110" s="8" t="s">
        <v>13436</v>
      </c>
      <c r="E1110" s="6" t="s">
        <v>13</v>
      </c>
      <c r="F1110" s="12" t="str">
        <f>IFERROR(__xludf.DUMMYFUNCTION("GOOGLETRANSLATE(B1110,""zh_cn"",""vi"")"),"Được tranh luận sôi nổi")</f>
        <v>Được tranh luận sôi nổi</v>
      </c>
      <c r="G1110" s="12"/>
      <c r="H1110" s="6"/>
      <c r="I1110" s="11" t="b">
        <f t="shared" si="2"/>
        <v>0</v>
      </c>
      <c r="J1110" s="24"/>
      <c r="K1110" s="11" t="b">
        <f t="shared" si="3"/>
        <v>0</v>
      </c>
    </row>
    <row r="1111" ht="22.5" customHeight="1">
      <c r="A1111" s="12">
        <f t="shared" si="4"/>
        <v>4709</v>
      </c>
      <c r="B1111" s="6" t="s">
        <v>13437</v>
      </c>
      <c r="C1111" s="7" t="str">
        <f t="shared" si="7"/>
        <v>🔊</v>
      </c>
      <c r="D1111" s="8" t="s">
        <v>13438</v>
      </c>
      <c r="E1111" s="6" t="s">
        <v>27</v>
      </c>
      <c r="F1111" s="12" t="str">
        <f>IFERROR(__xludf.DUMMYFUNCTION("GOOGLETRANSLATE(B1111,""zh_cn"",""vi"")"),"Trong tương lai")</f>
        <v>Trong tương lai</v>
      </c>
      <c r="G1111" s="12"/>
      <c r="H1111" s="6"/>
      <c r="I1111" s="11" t="b">
        <f t="shared" si="2"/>
        <v>0</v>
      </c>
      <c r="J1111" s="24"/>
      <c r="K1111" s="11" t="b">
        <f t="shared" si="3"/>
        <v>0</v>
      </c>
    </row>
    <row r="1112" ht="22.5" customHeight="1">
      <c r="A1112" s="12">
        <f t="shared" si="4"/>
        <v>4710</v>
      </c>
      <c r="B1112" s="6" t="s">
        <v>13439</v>
      </c>
      <c r="C1112" s="7" t="str">
        <f t="shared" si="7"/>
        <v>🔊</v>
      </c>
      <c r="D1112" s="8" t="s">
        <v>13440</v>
      </c>
      <c r="E1112" s="6" t="s">
        <v>27</v>
      </c>
      <c r="F1112" s="12" t="str">
        <f>IFERROR(__xludf.DUMMYFUNCTION("GOOGLETRANSLATE(B1112,""zh_cn"",""vi"")"),"Gần đây")</f>
        <v>Gần đây</v>
      </c>
      <c r="G1112" s="12"/>
      <c r="H1112" s="6"/>
      <c r="I1112" s="11" t="b">
        <f t="shared" si="2"/>
        <v>0</v>
      </c>
      <c r="J1112" s="24"/>
      <c r="K1112" s="11" t="b">
        <f t="shared" si="3"/>
        <v>0</v>
      </c>
    </row>
    <row r="1113" ht="22.5" customHeight="1">
      <c r="A1113" s="12">
        <f t="shared" si="4"/>
        <v>4711</v>
      </c>
      <c r="B1113" s="6" t="s">
        <v>13441</v>
      </c>
      <c r="C1113" s="7" t="str">
        <f t="shared" si="7"/>
        <v>🔊</v>
      </c>
      <c r="D1113" s="8" t="s">
        <v>13442</v>
      </c>
      <c r="E1113" s="6" t="s">
        <v>27</v>
      </c>
      <c r="F1113" s="12" t="str">
        <f>IFERROR(__xludf.DUMMYFUNCTION("GOOGLETRANSLATE(B1113,""zh_cn"",""vi"")"),"ngày và đêm")</f>
        <v>ngày và đêm</v>
      </c>
      <c r="G1113" s="12"/>
      <c r="H1113" s="6"/>
      <c r="I1113" s="11" t="b">
        <f t="shared" si="2"/>
        <v>0</v>
      </c>
      <c r="J1113" s="24"/>
      <c r="K1113" s="11" t="b">
        <f t="shared" si="3"/>
        <v>0</v>
      </c>
    </row>
    <row r="1114" ht="22.5" customHeight="1">
      <c r="A1114" s="12">
        <f t="shared" si="4"/>
        <v>4712</v>
      </c>
      <c r="B1114" s="6" t="s">
        <v>13443</v>
      </c>
      <c r="C1114" s="7" t="str">
        <f t="shared" si="7"/>
        <v>🔊</v>
      </c>
      <c r="D1114" s="8" t="s">
        <v>13444</v>
      </c>
      <c r="E1114" s="6" t="s">
        <v>61</v>
      </c>
      <c r="F1114" s="12" t="str">
        <f>IFERROR(__xludf.DUMMYFUNCTION("GOOGLETRANSLATE(B1114,""zh_cn"",""vi"")"),"ngày càng")</f>
        <v>ngày càng</v>
      </c>
      <c r="G1114" s="12"/>
      <c r="H1114" s="6"/>
      <c r="I1114" s="11" t="b">
        <f t="shared" si="2"/>
        <v>0</v>
      </c>
      <c r="J1114" s="24"/>
      <c r="K1114" s="11" t="b">
        <f t="shared" si="3"/>
        <v>0</v>
      </c>
    </row>
    <row r="1115" ht="22.5" customHeight="1">
      <c r="A1115" s="12">
        <f t="shared" si="4"/>
        <v>4713</v>
      </c>
      <c r="B1115" s="6" t="s">
        <v>13445</v>
      </c>
      <c r="C1115" s="7" t="str">
        <f t="shared" si="7"/>
        <v>🔊</v>
      </c>
      <c r="D1115" s="8" t="s">
        <v>13446</v>
      </c>
      <c r="E1115" s="6" t="s">
        <v>13</v>
      </c>
      <c r="F1115" s="12" t="str">
        <f>IFERROR(__xludf.DUMMYFUNCTION("GOOGLETRANSLATE(B1115,""zh_cn"",""vi"")"),"Hợp nhất")</f>
        <v>Hợp nhất</v>
      </c>
      <c r="G1115" s="12"/>
      <c r="H1115" s="6"/>
      <c r="I1115" s="11" t="b">
        <f t="shared" si="2"/>
        <v>0</v>
      </c>
      <c r="J1115" s="24"/>
      <c r="K1115" s="11" t="b">
        <f t="shared" si="3"/>
        <v>0</v>
      </c>
    </row>
    <row r="1116" ht="22.5" customHeight="1">
      <c r="A1116" s="12">
        <f t="shared" si="4"/>
        <v>4714</v>
      </c>
      <c r="B1116" s="6" t="s">
        <v>13447</v>
      </c>
      <c r="C1116" s="7" t="str">
        <f t="shared" si="7"/>
        <v>🔊</v>
      </c>
      <c r="D1116" s="8" t="s">
        <v>13448</v>
      </c>
      <c r="E1116" s="6" t="s">
        <v>13</v>
      </c>
      <c r="F1116" s="12" t="str">
        <f>IFERROR(__xludf.DUMMYFUNCTION("GOOGLETRANSLATE(B1116,""zh_cn"",""vi"")"),"tan chảy")</f>
        <v>tan chảy</v>
      </c>
      <c r="G1116" s="12"/>
      <c r="H1116" s="6"/>
      <c r="I1116" s="11" t="b">
        <f t="shared" si="2"/>
        <v>0</v>
      </c>
      <c r="J1116" s="24"/>
      <c r="K1116" s="11" t="b">
        <f t="shared" si="3"/>
        <v>0</v>
      </c>
    </row>
    <row r="1117" ht="22.5" customHeight="1">
      <c r="A1117" s="12">
        <f t="shared" si="4"/>
        <v>4715</v>
      </c>
      <c r="B1117" s="6" t="s">
        <v>13449</v>
      </c>
      <c r="C1117" s="7" t="str">
        <f t="shared" si="7"/>
        <v>🔊</v>
      </c>
      <c r="D1117" s="8" t="s">
        <v>13450</v>
      </c>
      <c r="E1117" s="6" t="s">
        <v>27</v>
      </c>
      <c r="F1117" s="12" t="str">
        <f>IFERROR(__xludf.DUMMYFUNCTION("GOOGLETRANSLATE(B1117,""zh_cn"",""vi"")"),"dung tích")</f>
        <v>dung tích</v>
      </c>
      <c r="G1117" s="12"/>
      <c r="H1117" s="6"/>
      <c r="I1117" s="11" t="b">
        <f t="shared" si="2"/>
        <v>0</v>
      </c>
      <c r="J1117" s="24"/>
      <c r="K1117" s="11" t="b">
        <f t="shared" si="3"/>
        <v>0</v>
      </c>
    </row>
    <row r="1118" ht="22.5" customHeight="1">
      <c r="A1118" s="12">
        <f t="shared" si="4"/>
        <v>4716</v>
      </c>
      <c r="B1118" s="6" t="s">
        <v>13451</v>
      </c>
      <c r="C1118" s="7" t="str">
        <f t="shared" si="7"/>
        <v>🔊</v>
      </c>
      <c r="D1118" s="8" t="s">
        <v>13452</v>
      </c>
      <c r="E1118" s="6" t="s">
        <v>13</v>
      </c>
      <c r="F1118" s="12" t="str">
        <f>IFERROR(__xludf.DUMMYFUNCTION("GOOGLETRANSLATE(B1118,""zh_cn"",""vi"")"),"Tích hợp")</f>
        <v>Tích hợp</v>
      </c>
      <c r="G1118" s="12"/>
      <c r="H1118" s="6"/>
      <c r="I1118" s="11" t="b">
        <f t="shared" si="2"/>
        <v>0</v>
      </c>
      <c r="J1118" s="24"/>
      <c r="K1118" s="11" t="b">
        <f t="shared" si="3"/>
        <v>0</v>
      </c>
    </row>
    <row r="1119" ht="22.5" customHeight="1">
      <c r="A1119" s="12">
        <f t="shared" si="4"/>
        <v>4717</v>
      </c>
      <c r="B1119" s="6" t="s">
        <v>13453</v>
      </c>
      <c r="C1119" s="7" t="str">
        <f t="shared" si="7"/>
        <v>🔊</v>
      </c>
      <c r="D1119" s="8" t="s">
        <v>13454</v>
      </c>
      <c r="E1119" s="6" t="s">
        <v>27</v>
      </c>
      <c r="F1119" s="12" t="str">
        <f>IFERROR(__xludf.DUMMYFUNCTION("GOOGLETRANSLATE(B1119,""zh_cn"",""vi"")"),"tôn kính")</f>
        <v>tôn kính</v>
      </c>
      <c r="G1119" s="12"/>
      <c r="H1119" s="6"/>
      <c r="I1119" s="11" t="b">
        <f t="shared" si="2"/>
        <v>0</v>
      </c>
      <c r="J1119" s="24"/>
      <c r="K1119" s="11" t="b">
        <f t="shared" si="3"/>
        <v>0</v>
      </c>
    </row>
    <row r="1120" ht="22.5" customHeight="1">
      <c r="A1120" s="12">
        <f t="shared" si="4"/>
        <v>4718</v>
      </c>
      <c r="B1120" s="6" t="s">
        <v>13455</v>
      </c>
      <c r="C1120" s="7" t="str">
        <f t="shared" si="7"/>
        <v>🔊</v>
      </c>
      <c r="D1120" s="8" t="s">
        <v>13456</v>
      </c>
      <c r="E1120" s="6" t="s">
        <v>99</v>
      </c>
      <c r="F1120" s="12" t="str">
        <f>IFERROR(__xludf.DUMMYFUNCTION("GOOGLETRANSLATE(B1120,""zh_cn"",""vi"")"),"mềm mại")</f>
        <v>mềm mại</v>
      </c>
      <c r="G1120" s="12"/>
      <c r="H1120" s="6"/>
      <c r="I1120" s="11" t="b">
        <f t="shared" si="2"/>
        <v>0</v>
      </c>
      <c r="J1120" s="24"/>
      <c r="K1120" s="11" t="b">
        <f t="shared" si="3"/>
        <v>0</v>
      </c>
    </row>
    <row r="1121" ht="22.5" customHeight="1">
      <c r="A1121" s="12">
        <f t="shared" si="4"/>
        <v>4719</v>
      </c>
      <c r="B1121" s="6" t="s">
        <v>13457</v>
      </c>
      <c r="C1121" s="7" t="str">
        <f t="shared" si="7"/>
        <v>🔊</v>
      </c>
      <c r="D1121" s="8" t="s">
        <v>13458</v>
      </c>
      <c r="E1121" s="6" t="s">
        <v>13</v>
      </c>
      <c r="F1121" s="12" t="str">
        <f>IFERROR(__xludf.DUMMYFUNCTION("GOOGLETRANSLATE(B1121,""zh_cn"",""vi"")"),"Lối vào")</f>
        <v>Lối vào</v>
      </c>
      <c r="G1121" s="12"/>
      <c r="H1121" s="6"/>
      <c r="I1121" s="11" t="b">
        <f t="shared" si="2"/>
        <v>0</v>
      </c>
      <c r="J1121" s="24"/>
      <c r="K1121" s="11" t="b">
        <f t="shared" si="3"/>
        <v>0</v>
      </c>
    </row>
    <row r="1122" ht="22.5" customHeight="1">
      <c r="A1122" s="12">
        <f t="shared" si="4"/>
        <v>4720</v>
      </c>
      <c r="B1122" s="6" t="s">
        <v>13459</v>
      </c>
      <c r="C1122" s="7" t="str">
        <f t="shared" si="7"/>
        <v>🔊</v>
      </c>
      <c r="D1122" s="8" t="s">
        <v>13460</v>
      </c>
      <c r="E1122" s="6" t="s">
        <v>232</v>
      </c>
      <c r="F1122" s="12" t="str">
        <f>IFERROR(__xludf.DUMMYFUNCTION("GOOGLETRANSLATE(B1122,""zh_cn"",""vi"")"),"Bắt đầu")</f>
        <v>Bắt đầu</v>
      </c>
      <c r="G1122" s="12"/>
      <c r="H1122" s="6"/>
      <c r="I1122" s="11" t="b">
        <f t="shared" si="2"/>
        <v>0</v>
      </c>
      <c r="J1122" s="24"/>
      <c r="K1122" s="11" t="b">
        <f t="shared" si="3"/>
        <v>0</v>
      </c>
    </row>
    <row r="1123" ht="22.5" customHeight="1">
      <c r="A1123" s="12">
        <f t="shared" si="4"/>
        <v>4721</v>
      </c>
      <c r="B1123" s="6" t="s">
        <v>13461</v>
      </c>
      <c r="C1123" s="7" t="str">
        <f t="shared" si="7"/>
        <v>🔊</v>
      </c>
      <c r="D1123" s="8" t="s">
        <v>13462</v>
      </c>
      <c r="E1123" s="6" t="s">
        <v>27</v>
      </c>
      <c r="F1123" s="12" t="str">
        <f>IFERROR(__xludf.DUMMYFUNCTION("GOOGLETRANSLATE(B1123,""zh_cn"",""vi"")"),"sự yếu đuối")</f>
        <v>sự yếu đuối</v>
      </c>
      <c r="G1123" s="12"/>
      <c r="H1123" s="6"/>
      <c r="I1123" s="11" t="b">
        <f t="shared" si="2"/>
        <v>0</v>
      </c>
      <c r="J1123" s="24"/>
      <c r="K1123" s="11" t="b">
        <f t="shared" si="3"/>
        <v>0</v>
      </c>
    </row>
    <row r="1124" ht="22.5" customHeight="1">
      <c r="A1124" s="12">
        <f t="shared" si="4"/>
        <v>4722</v>
      </c>
      <c r="B1124" s="6" t="s">
        <v>13463</v>
      </c>
      <c r="C1124" s="7" t="str">
        <f t="shared" si="7"/>
        <v>🔊</v>
      </c>
      <c r="D1124" s="8" t="s">
        <v>13464</v>
      </c>
      <c r="E1124" s="6" t="s">
        <v>13</v>
      </c>
      <c r="F1124" s="12" t="str">
        <f>IFERROR(__xludf.DUMMYFUNCTION("GOOGLETRANSLATE(B1124,""zh_cn"",""vi"")"),"Đã chọn")</f>
        <v>Đã chọn</v>
      </c>
      <c r="G1124" s="12"/>
      <c r="H1124" s="6"/>
      <c r="I1124" s="11" t="b">
        <f t="shared" si="2"/>
        <v>0</v>
      </c>
      <c r="J1124" s="24"/>
      <c r="K1124" s="11" t="b">
        <f t="shared" si="3"/>
        <v>0</v>
      </c>
    </row>
    <row r="1125" ht="22.5" customHeight="1">
      <c r="A1125" s="12">
        <f t="shared" si="4"/>
        <v>4723</v>
      </c>
      <c r="B1125" s="6" t="s">
        <v>13465</v>
      </c>
      <c r="C1125" s="7" t="str">
        <f t="shared" si="7"/>
        <v>🔊</v>
      </c>
      <c r="D1125" s="8" t="s">
        <v>9383</v>
      </c>
      <c r="E1125" s="6" t="s">
        <v>13</v>
      </c>
      <c r="F1125" s="12" t="str">
        <f>IFERROR(__xludf.DUMMYFUNCTION("GOOGLETRANSLATE(B1125,""zh_cn"",""vi"")"),"lây lan")</f>
        <v>lây lan</v>
      </c>
      <c r="G1125" s="12"/>
      <c r="H1125" s="6"/>
      <c r="I1125" s="11" t="b">
        <f t="shared" si="2"/>
        <v>0</v>
      </c>
      <c r="J1125" s="24"/>
      <c r="K1125" s="11" t="b">
        <f t="shared" si="3"/>
        <v>0</v>
      </c>
    </row>
    <row r="1126" ht="22.5" customHeight="1">
      <c r="A1126" s="12">
        <f t="shared" si="4"/>
        <v>4724</v>
      </c>
      <c r="B1126" s="6" t="s">
        <v>13466</v>
      </c>
      <c r="C1126" s="7" t="str">
        <f t="shared" si="7"/>
        <v>🔊</v>
      </c>
      <c r="D1126" s="8" t="s">
        <v>13467</v>
      </c>
      <c r="E1126" s="6" t="s">
        <v>232</v>
      </c>
      <c r="F1126" s="12" t="str">
        <f>IFERROR(__xludf.DUMMYFUNCTION("GOOGLETRANSLATE(B1126,""zh_cn"",""vi"")"),"cống")</f>
        <v>cống</v>
      </c>
      <c r="G1126" s="12"/>
      <c r="H1126" s="6"/>
      <c r="I1126" s="11" t="b">
        <f t="shared" si="2"/>
        <v>0</v>
      </c>
      <c r="J1126" s="24"/>
      <c r="K1126" s="11" t="b">
        <f t="shared" si="3"/>
        <v>0</v>
      </c>
    </row>
    <row r="1127" ht="22.5" customHeight="1">
      <c r="A1127" s="12">
        <f t="shared" si="4"/>
        <v>4725</v>
      </c>
      <c r="B1127" s="36" t="s">
        <v>640</v>
      </c>
      <c r="C1127" s="7" t="str">
        <f t="shared" si="7"/>
        <v>🔊</v>
      </c>
      <c r="D1127" s="8" t="s">
        <v>13468</v>
      </c>
      <c r="E1127" s="6" t="s">
        <v>27</v>
      </c>
      <c r="F1127" s="12" t="str">
        <f>IFERROR(__xludf.DUMMYFUNCTION("GOOGLETRANSLATE(B1127,""zh_cn"",""vi"")"),"điều")</f>
        <v>điều</v>
      </c>
      <c r="G1127" s="12"/>
      <c r="H1127" s="6"/>
      <c r="I1127" s="11" t="b">
        <f t="shared" si="2"/>
        <v>0</v>
      </c>
      <c r="J1127" s="24"/>
      <c r="K1127" s="11" t="b">
        <f t="shared" si="3"/>
        <v>0</v>
      </c>
    </row>
    <row r="1128" ht="22.5" customHeight="1">
      <c r="A1128" s="12">
        <f t="shared" si="4"/>
        <v>4726</v>
      </c>
      <c r="B1128" s="6" t="s">
        <v>13469</v>
      </c>
      <c r="C1128" s="7" t="str">
        <f t="shared" si="7"/>
        <v>🔊</v>
      </c>
      <c r="D1128" s="8" t="s">
        <v>13470</v>
      </c>
      <c r="E1128" s="6" t="s">
        <v>13</v>
      </c>
      <c r="F1128" s="12" t="str">
        <f>IFERROR(__xludf.DUMMYFUNCTION("GOOGLETRANSLATE(B1128,""zh_cn"",""vi"")"),"Rải rác")</f>
        <v>Rải rác</v>
      </c>
      <c r="G1128" s="12"/>
      <c r="H1128" s="6"/>
      <c r="I1128" s="11" t="b">
        <f t="shared" si="2"/>
        <v>0</v>
      </c>
      <c r="J1128" s="24"/>
      <c r="K1128" s="11" t="b">
        <f t="shared" si="3"/>
        <v>0</v>
      </c>
    </row>
    <row r="1129" ht="22.5" customHeight="1">
      <c r="A1129" s="12">
        <f t="shared" si="4"/>
        <v>4727</v>
      </c>
      <c r="B1129" s="6" t="s">
        <v>13469</v>
      </c>
      <c r="C1129" s="7" t="str">
        <f t="shared" si="7"/>
        <v>🔊</v>
      </c>
      <c r="D1129" s="8" t="s">
        <v>2754</v>
      </c>
      <c r="E1129" s="6" t="s">
        <v>13</v>
      </c>
      <c r="F1129" s="12" t="str">
        <f>IFERROR(__xludf.DUMMYFUNCTION("GOOGLETRANSLATE(B1129,""zh_cn"",""vi"")"),"Rải rác")</f>
        <v>Rải rác</v>
      </c>
      <c r="G1129" s="12"/>
      <c r="H1129" s="6"/>
      <c r="I1129" s="11" t="b">
        <f t="shared" si="2"/>
        <v>0</v>
      </c>
      <c r="J1129" s="24"/>
      <c r="K1129" s="11" t="b">
        <f t="shared" si="3"/>
        <v>0</v>
      </c>
    </row>
    <row r="1130" ht="22.5" customHeight="1">
      <c r="A1130" s="12">
        <f t="shared" si="4"/>
        <v>4728</v>
      </c>
      <c r="B1130" s="6" t="s">
        <v>13471</v>
      </c>
      <c r="C1130" s="7" t="str">
        <f t="shared" si="7"/>
        <v>🔊</v>
      </c>
      <c r="D1130" s="8" t="s">
        <v>13472</v>
      </c>
      <c r="E1130" s="6" t="s">
        <v>13</v>
      </c>
      <c r="F1130" s="12" t="str">
        <f>IFERROR(__xludf.DUMMYFUNCTION("GOOGLETRANSLATE(B1130,""zh_cn"",""vi"")"),"Phân tán")</f>
        <v>Phân tán</v>
      </c>
      <c r="G1130" s="12"/>
      <c r="H1130" s="6"/>
      <c r="I1130" s="11" t="b">
        <f t="shared" si="2"/>
        <v>0</v>
      </c>
      <c r="J1130" s="24"/>
      <c r="K1130" s="11" t="b">
        <f t="shared" si="3"/>
        <v>0</v>
      </c>
    </row>
    <row r="1131" ht="22.5" customHeight="1">
      <c r="A1131" s="12">
        <f t="shared" si="4"/>
        <v>4729</v>
      </c>
      <c r="B1131" s="6" t="s">
        <v>13473</v>
      </c>
      <c r="C1131" s="7" t="str">
        <f t="shared" si="7"/>
        <v>🔊</v>
      </c>
      <c r="D1131" s="8" t="s">
        <v>13474</v>
      </c>
      <c r="E1131" s="6" t="s">
        <v>13</v>
      </c>
      <c r="F1131" s="12" t="str">
        <f>IFERROR(__xludf.DUMMYFUNCTION("GOOGLETRANSLATE(B1131,""zh_cn"",""vi"")"),"sự mất mát")</f>
        <v>sự mất mát</v>
      </c>
      <c r="G1131" s="12"/>
      <c r="H1131" s="6"/>
      <c r="I1131" s="11" t="b">
        <f t="shared" si="2"/>
        <v>0</v>
      </c>
      <c r="J1131" s="24"/>
      <c r="K1131" s="11" t="b">
        <f t="shared" si="3"/>
        <v>0</v>
      </c>
    </row>
    <row r="1132" ht="22.5" customHeight="1">
      <c r="A1132" s="12">
        <f t="shared" si="4"/>
        <v>4730</v>
      </c>
      <c r="B1132" s="6" t="s">
        <v>13475</v>
      </c>
      <c r="C1132" s="7" t="str">
        <f t="shared" si="7"/>
        <v>🔊</v>
      </c>
      <c r="D1132" s="8" t="s">
        <v>13476</v>
      </c>
      <c r="E1132" s="6" t="s">
        <v>27</v>
      </c>
      <c r="F1132" s="12" t="str">
        <f>IFERROR(__xludf.DUMMYFUNCTION("GOOGLETRANSLATE(B1132,""zh_cn"",""vi"")"),"tiếng nói")</f>
        <v>tiếng nói</v>
      </c>
      <c r="G1132" s="12"/>
      <c r="H1132" s="6"/>
      <c r="I1132" s="11" t="b">
        <f t="shared" si="2"/>
        <v>0</v>
      </c>
      <c r="J1132" s="24"/>
      <c r="K1132" s="11" t="b">
        <f t="shared" si="3"/>
        <v>0</v>
      </c>
    </row>
    <row r="1133" ht="22.5" customHeight="1">
      <c r="A1133" s="12">
        <f t="shared" si="4"/>
        <v>4731</v>
      </c>
      <c r="B1133" s="6" t="s">
        <v>13477</v>
      </c>
      <c r="C1133" s="7" t="str">
        <f t="shared" si="7"/>
        <v>🔊</v>
      </c>
      <c r="D1133" s="8" t="s">
        <v>13478</v>
      </c>
      <c r="E1133" s="6" t="s">
        <v>27</v>
      </c>
      <c r="F1133" s="12" t="str">
        <f>IFERROR(__xludf.DUMMYFUNCTION("GOOGLETRANSLATE(B1133,""zh_cn"",""vi"")"),"văn xuôi")</f>
        <v>văn xuôi</v>
      </c>
      <c r="G1133" s="12"/>
      <c r="H1133" s="6"/>
      <c r="I1133" s="11" t="b">
        <f t="shared" si="2"/>
        <v>0</v>
      </c>
      <c r="J1133" s="24"/>
      <c r="K1133" s="11" t="b">
        <f t="shared" si="3"/>
        <v>0</v>
      </c>
    </row>
    <row r="1134" ht="22.5" customHeight="1">
      <c r="A1134" s="12">
        <f t="shared" si="4"/>
        <v>4732</v>
      </c>
      <c r="B1134" s="6" t="s">
        <v>13479</v>
      </c>
      <c r="C1134" s="7" t="str">
        <f t="shared" si="7"/>
        <v>🔊</v>
      </c>
      <c r="D1134" s="8" t="s">
        <v>13480</v>
      </c>
      <c r="E1134" s="6" t="s">
        <v>13</v>
      </c>
      <c r="F1134" s="12" t="str">
        <f>IFERROR(__xludf.DUMMYFUNCTION("GOOGLETRANSLATE(B1134,""zh_cn"",""vi"")"),"quét")</f>
        <v>quét</v>
      </c>
      <c r="G1134" s="12"/>
      <c r="H1134" s="6"/>
      <c r="I1134" s="11" t="b">
        <f t="shared" si="2"/>
        <v>0</v>
      </c>
      <c r="J1134" s="24"/>
      <c r="K1134" s="11" t="b">
        <f t="shared" si="3"/>
        <v>0</v>
      </c>
    </row>
    <row r="1135" ht="22.5" customHeight="1">
      <c r="A1135" s="12">
        <f t="shared" si="4"/>
        <v>4733</v>
      </c>
      <c r="B1135" s="6" t="s">
        <v>13481</v>
      </c>
      <c r="C1135" s="7" t="str">
        <f t="shared" si="7"/>
        <v>🔊</v>
      </c>
      <c r="D1135" s="8" t="s">
        <v>13482</v>
      </c>
      <c r="E1135" s="6" t="s">
        <v>13</v>
      </c>
      <c r="F1135" s="12" t="str">
        <f>IFERROR(__xludf.DUMMYFUNCTION("GOOGLETRANSLATE(B1135,""zh_cn"",""vi"")"),"giết")</f>
        <v>giết</v>
      </c>
      <c r="G1135" s="12"/>
      <c r="H1135" s="6"/>
      <c r="I1135" s="11" t="b">
        <f t="shared" si="2"/>
        <v>0</v>
      </c>
      <c r="J1135" s="24"/>
      <c r="K1135" s="11" t="b">
        <f t="shared" si="3"/>
        <v>0</v>
      </c>
    </row>
    <row r="1136" ht="22.5" customHeight="1">
      <c r="A1136" s="12">
        <f t="shared" si="4"/>
        <v>4734</v>
      </c>
      <c r="B1136" s="6" t="s">
        <v>13483</v>
      </c>
      <c r="C1136" s="7" t="str">
        <f t="shared" si="7"/>
        <v>🔊</v>
      </c>
      <c r="D1136" s="8" t="s">
        <v>13484</v>
      </c>
      <c r="E1136" s="6" t="s">
        <v>232</v>
      </c>
      <c r="F1136" s="12" t="str">
        <f>IFERROR(__xludf.DUMMYFUNCTION("GOOGLETRANSLATE(B1136,""zh_cn"",""vi"")"),"phanh")</f>
        <v>phanh</v>
      </c>
      <c r="G1136" s="12"/>
      <c r="H1136" s="6"/>
      <c r="I1136" s="11" t="b">
        <f t="shared" si="2"/>
        <v>0</v>
      </c>
      <c r="J1136" s="24"/>
      <c r="K1136" s="11" t="b">
        <f t="shared" si="3"/>
        <v>0</v>
      </c>
    </row>
    <row r="1137" ht="22.5" customHeight="1">
      <c r="A1137" s="12">
        <f t="shared" si="4"/>
        <v>4735</v>
      </c>
      <c r="B1137" s="6" t="s">
        <v>13485</v>
      </c>
      <c r="C1137" s="7" t="str">
        <f t="shared" si="7"/>
        <v>🔊</v>
      </c>
      <c r="D1137" s="8" t="s">
        <v>13486</v>
      </c>
      <c r="E1137" s="6" t="s">
        <v>13</v>
      </c>
      <c r="F1137" s="12" t="str">
        <f>IFERROR(__xludf.DUMMYFUNCTION("GOOGLETRANSLATE(B1137,""zh_cn"",""vi"")"),"lọc")</f>
        <v>lọc</v>
      </c>
      <c r="G1137" s="12"/>
      <c r="H1137" s="6"/>
      <c r="I1137" s="11" t="b">
        <f t="shared" si="2"/>
        <v>0</v>
      </c>
      <c r="J1137" s="24"/>
      <c r="K1137" s="11" t="b">
        <f t="shared" si="3"/>
        <v>0</v>
      </c>
    </row>
    <row r="1138" ht="22.5" customHeight="1">
      <c r="A1138" s="12">
        <f t="shared" si="4"/>
        <v>4736</v>
      </c>
      <c r="B1138" s="6" t="s">
        <v>9401</v>
      </c>
      <c r="C1138" s="7" t="str">
        <f t="shared" si="7"/>
        <v>🔊</v>
      </c>
      <c r="D1138" s="8" t="s">
        <v>13487</v>
      </c>
      <c r="E1138" s="6" t="s">
        <v>47</v>
      </c>
      <c r="F1138" s="12" t="str">
        <f>IFERROR(__xludf.DUMMYFUNCTION("GOOGLETRANSLATE(B1138,""zh_cn"",""vi"")"),"cái quạt")</f>
        <v>cái quạt</v>
      </c>
      <c r="G1138" s="12"/>
      <c r="H1138" s="6"/>
      <c r="I1138" s="11" t="b">
        <f t="shared" si="2"/>
        <v>0</v>
      </c>
      <c r="J1138" s="24"/>
      <c r="K1138" s="11" t="b">
        <f t="shared" si="3"/>
        <v>0</v>
      </c>
    </row>
    <row r="1139" ht="22.5" customHeight="1">
      <c r="A1139" s="12">
        <f t="shared" si="4"/>
        <v>4737</v>
      </c>
      <c r="B1139" s="6" t="s">
        <v>13488</v>
      </c>
      <c r="C1139" s="7" t="str">
        <f t="shared" si="7"/>
        <v>🔊</v>
      </c>
      <c r="D1139" s="8" t="s">
        <v>13489</v>
      </c>
      <c r="E1139" s="6" t="s">
        <v>13</v>
      </c>
      <c r="F1139" s="12" t="str">
        <f>IFERROR(__xludf.DUMMYFUNCTION("GOOGLETRANSLATE(B1139,""zh_cn"",""vi"")"),"đèn flash")</f>
        <v>đèn flash</v>
      </c>
      <c r="G1139" s="12"/>
      <c r="H1139" s="6"/>
      <c r="I1139" s="11" t="b">
        <f t="shared" si="2"/>
        <v>0</v>
      </c>
      <c r="J1139" s="24"/>
      <c r="K1139" s="11" t="b">
        <f t="shared" si="3"/>
        <v>0</v>
      </c>
    </row>
    <row r="1140" ht="22.5" customHeight="1">
      <c r="A1140" s="12">
        <f t="shared" si="4"/>
        <v>4738</v>
      </c>
      <c r="B1140" s="6" t="s">
        <v>13490</v>
      </c>
      <c r="C1140" s="7" t="str">
        <f t="shared" si="7"/>
        <v>🔊</v>
      </c>
      <c r="D1140" s="8" t="s">
        <v>13491</v>
      </c>
      <c r="E1140" s="6" t="s">
        <v>27</v>
      </c>
      <c r="F1140" s="12" t="str">
        <f>IFERROR(__xludf.DUMMYFUNCTION("GOOGLETRANSLATE(B1140,""zh_cn"",""vi"")"),"sét")</f>
        <v>sét</v>
      </c>
      <c r="G1140" s="12"/>
      <c r="H1140" s="6"/>
      <c r="I1140" s="11" t="b">
        <f t="shared" si="2"/>
        <v>0</v>
      </c>
      <c r="J1140" s="24"/>
      <c r="K1140" s="11" t="b">
        <f t="shared" si="3"/>
        <v>0</v>
      </c>
    </row>
    <row r="1141" ht="22.5" customHeight="1">
      <c r="A1141" s="12">
        <f t="shared" si="4"/>
        <v>4739</v>
      </c>
      <c r="B1141" s="6" t="s">
        <v>13492</v>
      </c>
      <c r="C1141" s="7" t="str">
        <f t="shared" si="7"/>
        <v>🔊</v>
      </c>
      <c r="D1141" s="8" t="s">
        <v>13493</v>
      </c>
      <c r="E1141" s="6" t="s">
        <v>27</v>
      </c>
      <c r="F1141" s="12" t="str">
        <f>IFERROR(__xludf.DUMMYFUNCTION("GOOGLETRANSLATE(B1141,""zh_cn"",""vi"")"),"Đỉnh núi")</f>
        <v>Đỉnh núi</v>
      </c>
      <c r="G1141" s="12"/>
      <c r="H1141" s="6"/>
      <c r="I1141" s="11" t="b">
        <f t="shared" si="2"/>
        <v>0</v>
      </c>
      <c r="J1141" s="24"/>
      <c r="K1141" s="11" t="b">
        <f t="shared" si="3"/>
        <v>0</v>
      </c>
    </row>
    <row r="1142" ht="22.5" customHeight="1">
      <c r="A1142" s="12">
        <f t="shared" si="4"/>
        <v>4740</v>
      </c>
      <c r="B1142" s="6" t="s">
        <v>13494</v>
      </c>
      <c r="C1142" s="7" t="str">
        <f t="shared" si="7"/>
        <v>🔊</v>
      </c>
      <c r="D1142" s="8" t="s">
        <v>13495</v>
      </c>
      <c r="E1142" s="6" t="s">
        <v>27</v>
      </c>
      <c r="F1142" s="12" t="str">
        <f>IFERROR(__xludf.DUMMYFUNCTION("GOOGLETRANSLATE(B1142,""zh_cn"",""vi"")"),"đỉnh núi")</f>
        <v>đỉnh núi</v>
      </c>
      <c r="G1142" s="12"/>
      <c r="H1142" s="6"/>
      <c r="I1142" s="11" t="b">
        <f t="shared" si="2"/>
        <v>0</v>
      </c>
      <c r="J1142" s="24"/>
      <c r="K1142" s="11" t="b">
        <f t="shared" si="3"/>
        <v>0</v>
      </c>
    </row>
    <row r="1143" ht="22.5" customHeight="1">
      <c r="A1143" s="12">
        <f t="shared" si="4"/>
        <v>4741</v>
      </c>
      <c r="B1143" s="6" t="s">
        <v>13496</v>
      </c>
      <c r="C1143" s="7" t="str">
        <f t="shared" si="7"/>
        <v>🔊</v>
      </c>
      <c r="D1143" s="8" t="s">
        <v>13497</v>
      </c>
      <c r="E1143" s="6" t="s">
        <v>27</v>
      </c>
      <c r="F1143" s="12" t="str">
        <f>IFERROR(__xludf.DUMMYFUNCTION("GOOGLETRANSLATE(B1143,""zh_cn"",""vi"")"),"nhãn hiệu")</f>
        <v>nhãn hiệu</v>
      </c>
      <c r="G1143" s="12"/>
      <c r="H1143" s="6"/>
      <c r="I1143" s="11" t="b">
        <f t="shared" si="2"/>
        <v>0</v>
      </c>
      <c r="J1143" s="24"/>
      <c r="K1143" s="11" t="b">
        <f t="shared" si="3"/>
        <v>0</v>
      </c>
    </row>
    <row r="1144" ht="22.5" customHeight="1">
      <c r="A1144" s="12">
        <f t="shared" si="4"/>
        <v>4742</v>
      </c>
      <c r="B1144" s="6" t="s">
        <v>13498</v>
      </c>
      <c r="C1144" s="7" t="str">
        <f t="shared" si="7"/>
        <v>🔊</v>
      </c>
      <c r="D1144" s="8" t="s">
        <v>13499</v>
      </c>
      <c r="E1144" s="6" t="s">
        <v>13</v>
      </c>
      <c r="F1144" s="12" t="str">
        <f>IFERROR(__xludf.DUMMYFUNCTION("GOOGLETRANSLATE(B1144,""zh_cn"",""vi"")"),"Bị lừa")</f>
        <v>Bị lừa</v>
      </c>
      <c r="G1144" s="12"/>
      <c r="H1144" s="6"/>
      <c r="I1144" s="11" t="b">
        <f t="shared" si="2"/>
        <v>0</v>
      </c>
      <c r="J1144" s="24"/>
      <c r="K1144" s="11" t="b">
        <f t="shared" si="3"/>
        <v>0</v>
      </c>
    </row>
    <row r="1145" ht="22.5" customHeight="1">
      <c r="A1145" s="12">
        <f t="shared" si="4"/>
        <v>4743</v>
      </c>
      <c r="B1145" s="6" t="s">
        <v>13500</v>
      </c>
      <c r="C1145" s="7" t="str">
        <f t="shared" si="7"/>
        <v>🔊</v>
      </c>
      <c r="D1145" s="8" t="s">
        <v>13501</v>
      </c>
      <c r="E1145" s="6" t="s">
        <v>27</v>
      </c>
      <c r="F1145" s="12" t="str">
        <f>IFERROR(__xludf.DUMMYFUNCTION("GOOGLETRANSLATE(B1145,""zh_cn"",""vi"")"),"thượng đẳng")</f>
        <v>thượng đẳng</v>
      </c>
      <c r="G1145" s="12"/>
      <c r="H1145" s="6"/>
      <c r="I1145" s="11" t="b">
        <f t="shared" si="2"/>
        <v>0</v>
      </c>
      <c r="J1145" s="24"/>
      <c r="K1145" s="11" t="b">
        <f t="shared" si="3"/>
        <v>0</v>
      </c>
    </row>
    <row r="1146" ht="22.5" customHeight="1">
      <c r="A1146" s="12">
        <f t="shared" si="4"/>
        <v>4744</v>
      </c>
      <c r="B1146" s="6" t="s">
        <v>13502</v>
      </c>
      <c r="C1146" s="7" t="str">
        <f t="shared" si="7"/>
        <v>🔊</v>
      </c>
      <c r="D1146" s="8" t="s">
        <v>13503</v>
      </c>
      <c r="E1146" s="6" t="s">
        <v>13</v>
      </c>
      <c r="F1146" s="12" t="str">
        <f>IFERROR(__xludf.DUMMYFUNCTION("GOOGLETRANSLATE(B1146,""zh_cn"",""vi"")"),"Tham vọng")</f>
        <v>Tham vọng</v>
      </c>
      <c r="G1146" s="12"/>
      <c r="H1146" s="6"/>
      <c r="I1146" s="11" t="b">
        <f t="shared" si="2"/>
        <v>0</v>
      </c>
      <c r="J1146" s="24"/>
      <c r="K1146" s="11" t="b">
        <f t="shared" si="3"/>
        <v>0</v>
      </c>
    </row>
    <row r="1147" ht="22.5" customHeight="1">
      <c r="A1147" s="12">
        <f t="shared" si="4"/>
        <v>4745</v>
      </c>
      <c r="B1147" s="6" t="s">
        <v>13504</v>
      </c>
      <c r="C1147" s="7" t="str">
        <f t="shared" si="7"/>
        <v>🔊</v>
      </c>
      <c r="D1147" s="8" t="s">
        <v>13505</v>
      </c>
      <c r="E1147" s="6" t="s">
        <v>27</v>
      </c>
      <c r="F1147" s="12" t="str">
        <f>IFERROR(__xludf.DUMMYFUNCTION("GOOGLETRANSLATE(B1147,""zh_cn"",""vi"")"),"Vết thương")</f>
        <v>Vết thương</v>
      </c>
      <c r="G1147" s="12"/>
      <c r="H1147" s="6"/>
      <c r="I1147" s="11" t="b">
        <f t="shared" si="2"/>
        <v>0</v>
      </c>
      <c r="J1147" s="24"/>
      <c r="K1147" s="11" t="b">
        <f t="shared" si="3"/>
        <v>0</v>
      </c>
    </row>
    <row r="1148" ht="22.5" customHeight="1">
      <c r="A1148" s="12">
        <f t="shared" si="4"/>
        <v>4746</v>
      </c>
      <c r="B1148" s="6" t="s">
        <v>13506</v>
      </c>
      <c r="C1148" s="7" t="str">
        <f t="shared" si="7"/>
        <v>🔊</v>
      </c>
      <c r="D1148" s="8" t="s">
        <v>13507</v>
      </c>
      <c r="E1148" s="6" t="s">
        <v>13</v>
      </c>
      <c r="F1148" s="12" t="str">
        <f>IFERROR(__xludf.DUMMYFUNCTION("GOOGLETRANSLATE(B1148,""zh_cn"",""vi"")"),"Danh sách")</f>
        <v>Danh sách</v>
      </c>
      <c r="G1148" s="12"/>
      <c r="H1148" s="6"/>
      <c r="I1148" s="11" t="b">
        <f t="shared" si="2"/>
        <v>0</v>
      </c>
      <c r="J1148" s="24"/>
      <c r="K1148" s="11" t="b">
        <f t="shared" si="3"/>
        <v>0</v>
      </c>
    </row>
    <row r="1149" ht="22.5" customHeight="1">
      <c r="A1149" s="12">
        <f t="shared" si="4"/>
        <v>4747</v>
      </c>
      <c r="B1149" s="6" t="s">
        <v>13508</v>
      </c>
      <c r="C1149" s="7" t="str">
        <f t="shared" si="7"/>
        <v>🔊</v>
      </c>
      <c r="D1149" s="8" t="s">
        <v>13509</v>
      </c>
      <c r="E1149" s="6" t="s">
        <v>99</v>
      </c>
      <c r="F1149" s="12" t="str">
        <f>IFERROR(__xludf.DUMMYFUNCTION("GOOGLETRANSLATE(B1149,""zh_cn"",""vi"")"),"Những điều nêu trên")</f>
        <v>Những điều nêu trên</v>
      </c>
      <c r="G1149" s="12"/>
      <c r="H1149" s="6"/>
      <c r="I1149" s="11" t="b">
        <f t="shared" si="2"/>
        <v>0</v>
      </c>
      <c r="J1149" s="24"/>
      <c r="K1149" s="11" t="b">
        <f t="shared" si="3"/>
        <v>0</v>
      </c>
    </row>
    <row r="1150" ht="22.5" customHeight="1">
      <c r="A1150" s="12">
        <f t="shared" si="4"/>
        <v>4748</v>
      </c>
      <c r="B1150" s="6" t="s">
        <v>13510</v>
      </c>
      <c r="C1150" s="7" t="str">
        <f t="shared" si="7"/>
        <v>🔊</v>
      </c>
      <c r="D1150" s="8" t="s">
        <v>13511</v>
      </c>
      <c r="E1150" s="6" t="s">
        <v>13</v>
      </c>
      <c r="F1150" s="12" t="str">
        <f>IFERROR(__xludf.DUMMYFUNCTION("GOOGLETRANSLATE(B1150,""zh_cn"",""vi"")"),"Lên sân khấu")</f>
        <v>Lên sân khấu</v>
      </c>
      <c r="G1150" s="12"/>
      <c r="H1150" s="6"/>
      <c r="I1150" s="11" t="b">
        <f t="shared" si="2"/>
        <v>0</v>
      </c>
      <c r="J1150" s="24"/>
      <c r="K1150" s="11" t="b">
        <f t="shared" si="3"/>
        <v>0</v>
      </c>
    </row>
    <row r="1151" ht="22.5" customHeight="1">
      <c r="A1151" s="12">
        <f t="shared" si="4"/>
        <v>4749</v>
      </c>
      <c r="B1151" s="6" t="s">
        <v>13512</v>
      </c>
      <c r="C1151" s="7" t="str">
        <f t="shared" si="7"/>
        <v>🔊</v>
      </c>
      <c r="D1151" s="8" t="s">
        <v>13513</v>
      </c>
      <c r="E1151" s="6" t="s">
        <v>232</v>
      </c>
      <c r="F1151" s="12" t="str">
        <f>IFERROR(__xludf.DUMMYFUNCTION("GOOGLETRANSLATE(B1151,""zh_cn"",""vi"")"),"thương vong")</f>
        <v>thương vong</v>
      </c>
      <c r="G1151" s="12"/>
      <c r="H1151" s="6"/>
      <c r="I1151" s="11" t="b">
        <f t="shared" si="2"/>
        <v>0</v>
      </c>
      <c r="J1151" s="24"/>
      <c r="K1151" s="11" t="b">
        <f t="shared" si="3"/>
        <v>0</v>
      </c>
    </row>
    <row r="1152" ht="22.5" customHeight="1">
      <c r="A1152" s="12">
        <f t="shared" si="4"/>
        <v>4750</v>
      </c>
      <c r="B1152" s="6" t="s">
        <v>13514</v>
      </c>
      <c r="C1152" s="7" t="str">
        <f t="shared" si="7"/>
        <v>🔊</v>
      </c>
      <c r="D1152" s="8" t="s">
        <v>13515</v>
      </c>
      <c r="E1152" s="6" t="s">
        <v>27</v>
      </c>
      <c r="F1152" s="12" t="str">
        <f>IFERROR(__xludf.DUMMYFUNCTION("GOOGLETRANSLATE(B1152,""zh_cn"",""vi"")"),"Mười ngày đầu")</f>
        <v>Mười ngày đầu</v>
      </c>
      <c r="G1152" s="12"/>
      <c r="H1152" s="6"/>
      <c r="I1152" s="11" t="b">
        <f t="shared" si="2"/>
        <v>0</v>
      </c>
      <c r="J1152" s="24"/>
      <c r="K1152" s="11" t="b">
        <f t="shared" si="3"/>
        <v>0</v>
      </c>
    </row>
    <row r="1153" ht="22.5" customHeight="1">
      <c r="A1153" s="12">
        <f t="shared" si="4"/>
        <v>4751</v>
      </c>
      <c r="B1153" s="6" t="s">
        <v>13516</v>
      </c>
      <c r="C1153" s="7" t="str">
        <f t="shared" si="7"/>
        <v>🔊</v>
      </c>
      <c r="D1153" s="8" t="s">
        <v>13517</v>
      </c>
      <c r="E1153" s="6" t="s">
        <v>27</v>
      </c>
      <c r="F1153" s="12" t="str">
        <f>IFERROR(__xludf.DUMMYFUNCTION("GOOGLETRANSLATE(B1153,""zh_cn"",""vi"")"),"bị thương")</f>
        <v>bị thương</v>
      </c>
      <c r="G1153" s="12"/>
      <c r="H1153" s="6"/>
      <c r="I1153" s="11" t="b">
        <f t="shared" si="2"/>
        <v>0</v>
      </c>
      <c r="J1153" s="24"/>
      <c r="K1153" s="11" t="b">
        <f t="shared" si="3"/>
        <v>0</v>
      </c>
    </row>
    <row r="1154" ht="22.5" customHeight="1">
      <c r="A1154" s="12">
        <f t="shared" si="4"/>
        <v>4752</v>
      </c>
      <c r="B1154" s="6" t="s">
        <v>13518</v>
      </c>
      <c r="C1154" s="7" t="str">
        <f t="shared" si="7"/>
        <v>🔊</v>
      </c>
      <c r="D1154" s="8" t="s">
        <v>13519</v>
      </c>
      <c r="E1154" s="6" t="s">
        <v>27</v>
      </c>
      <c r="F1154" s="12" t="str">
        <f>IFERROR(__xludf.DUMMYFUNCTION("GOOGLETRANSLATE(B1154,""zh_cn"",""vi"")"),"sườn đồi")</f>
        <v>sườn đồi</v>
      </c>
      <c r="G1154" s="12"/>
      <c r="H1154" s="6"/>
      <c r="I1154" s="11" t="b">
        <f t="shared" si="2"/>
        <v>0</v>
      </c>
      <c r="J1154" s="24"/>
      <c r="K1154" s="11" t="b">
        <f t="shared" si="3"/>
        <v>0</v>
      </c>
    </row>
    <row r="1155" ht="22.5" customHeight="1">
      <c r="A1155" s="12">
        <f t="shared" si="4"/>
        <v>4753</v>
      </c>
      <c r="B1155" s="6" t="s">
        <v>13520</v>
      </c>
      <c r="C1155" s="7" t="str">
        <f t="shared" si="7"/>
        <v>🔊</v>
      </c>
      <c r="D1155" s="8" t="s">
        <v>13521</v>
      </c>
      <c r="E1155" s="6" t="s">
        <v>27</v>
      </c>
      <c r="F1155" s="12" t="str">
        <f>IFERROR(__xludf.DUMMYFUNCTION("GOOGLETRANSLATE(B1155,""zh_cn"",""vi"")"),"Những đứa trẻ")</f>
        <v>Những đứa trẻ</v>
      </c>
      <c r="G1155" s="12"/>
      <c r="H1155" s="6"/>
      <c r="I1155" s="11" t="b">
        <f t="shared" si="2"/>
        <v>0</v>
      </c>
      <c r="J1155" s="24"/>
      <c r="K1155" s="11" t="b">
        <f t="shared" si="3"/>
        <v>0</v>
      </c>
    </row>
    <row r="1156" ht="22.5" customHeight="1">
      <c r="A1156" s="12">
        <f t="shared" si="4"/>
        <v>4754</v>
      </c>
      <c r="B1156" s="6" t="s">
        <v>13522</v>
      </c>
      <c r="C1156" s="7" t="str">
        <f t="shared" si="7"/>
        <v>🔊</v>
      </c>
      <c r="D1156" s="8" t="s">
        <v>13523</v>
      </c>
      <c r="E1156" s="6" t="s">
        <v>27</v>
      </c>
      <c r="F1156" s="12" t="str">
        <f>IFERROR(__xludf.DUMMYFUNCTION("GOOGLETRANSLATE(B1156,""zh_cn"",""vi"")"),"cá mập")</f>
        <v>cá mập</v>
      </c>
      <c r="G1156" s="12"/>
      <c r="H1156" s="6"/>
      <c r="I1156" s="11" t="b">
        <f t="shared" si="2"/>
        <v>0</v>
      </c>
      <c r="J1156" s="24"/>
      <c r="K1156" s="11" t="b">
        <f t="shared" si="3"/>
        <v>0</v>
      </c>
    </row>
    <row r="1157" ht="22.5" customHeight="1">
      <c r="A1157" s="12">
        <f t="shared" si="4"/>
        <v>4755</v>
      </c>
      <c r="B1157" s="6" t="s">
        <v>13524</v>
      </c>
      <c r="C1157" s="7" t="str">
        <f t="shared" si="7"/>
        <v>🔊</v>
      </c>
      <c r="D1157" s="8" t="s">
        <v>13525</v>
      </c>
      <c r="E1157" s="6" t="s">
        <v>27</v>
      </c>
      <c r="F1157" s="12" t="str">
        <f>IFERROR(__xludf.DUMMYFUNCTION("GOOGLETRANSLATE(B1157,""zh_cn"",""vi"")"),"xã hội")</f>
        <v>xã hội</v>
      </c>
      <c r="G1157" s="12"/>
      <c r="H1157" s="6"/>
      <c r="I1157" s="11" t="b">
        <f t="shared" si="2"/>
        <v>0</v>
      </c>
      <c r="J1157" s="24"/>
      <c r="K1157" s="11" t="b">
        <f t="shared" si="3"/>
        <v>0</v>
      </c>
    </row>
    <row r="1158" ht="22.5" customHeight="1">
      <c r="A1158" s="12">
        <f t="shared" si="4"/>
        <v>4756</v>
      </c>
      <c r="B1158" s="6" t="s">
        <v>13526</v>
      </c>
      <c r="C1158" s="7" t="str">
        <f t="shared" si="7"/>
        <v>🔊</v>
      </c>
      <c r="D1158" s="8" t="s">
        <v>13525</v>
      </c>
      <c r="E1158" s="6" t="s">
        <v>13</v>
      </c>
      <c r="F1158" s="12" t="str">
        <f>IFERROR(__xludf.DUMMYFUNCTION("GOOGLETRANSLATE(B1158,""zh_cn"",""vi"")"),"bắn")</f>
        <v>bắn</v>
      </c>
      <c r="G1158" s="12"/>
      <c r="H1158" s="6"/>
      <c r="I1158" s="11" t="b">
        <f t="shared" si="2"/>
        <v>0</v>
      </c>
      <c r="J1158" s="24"/>
      <c r="K1158" s="11" t="b">
        <f t="shared" si="3"/>
        <v>0</v>
      </c>
    </row>
    <row r="1159" ht="22.5" customHeight="1">
      <c r="A1159" s="12">
        <f t="shared" si="4"/>
        <v>4757</v>
      </c>
      <c r="B1159" s="6" t="s">
        <v>13527</v>
      </c>
      <c r="C1159" s="7" t="str">
        <f t="shared" si="7"/>
        <v>🔊</v>
      </c>
      <c r="D1159" s="8" t="s">
        <v>13528</v>
      </c>
      <c r="E1159" s="6" t="s">
        <v>13</v>
      </c>
      <c r="F1159" s="12" t="str">
        <f>IFERROR(__xludf.DUMMYFUNCTION("GOOGLETRANSLATE(B1159,""zh_cn"",""vi"")"),"Liên quan đến")</f>
        <v>Liên quan đến</v>
      </c>
      <c r="G1159" s="12"/>
      <c r="H1159" s="6"/>
      <c r="I1159" s="11" t="b">
        <f t="shared" si="2"/>
        <v>0</v>
      </c>
      <c r="J1159" s="24"/>
      <c r="K1159" s="11" t="b">
        <f t="shared" si="3"/>
        <v>0</v>
      </c>
    </row>
    <row r="1160" ht="22.5" customHeight="1">
      <c r="A1160" s="12">
        <f t="shared" si="4"/>
        <v>4758</v>
      </c>
      <c r="B1160" s="6" t="s">
        <v>13529</v>
      </c>
      <c r="C1160" s="7" t="str">
        <f t="shared" si="7"/>
        <v>🔊</v>
      </c>
      <c r="D1160" s="8" t="s">
        <v>13530</v>
      </c>
      <c r="E1160" s="6" t="s">
        <v>13</v>
      </c>
      <c r="F1160" s="12" t="str">
        <f>IFERROR(__xludf.DUMMYFUNCTION("GOOGLETRANSLATE(B1160,""zh_cn"",""vi"")"),"bắn súng")</f>
        <v>bắn súng</v>
      </c>
      <c r="G1160" s="12"/>
      <c r="H1160" s="6"/>
      <c r="I1160" s="11" t="b">
        <f t="shared" si="2"/>
        <v>0</v>
      </c>
      <c r="J1160" s="24"/>
      <c r="K1160" s="11" t="b">
        <f t="shared" si="3"/>
        <v>0</v>
      </c>
    </row>
    <row r="1161" ht="22.5" customHeight="1">
      <c r="A1161" s="12">
        <f t="shared" si="4"/>
        <v>4759</v>
      </c>
      <c r="B1161" s="6" t="s">
        <v>13531</v>
      </c>
      <c r="C1161" s="7" t="str">
        <f t="shared" si="7"/>
        <v>🔊</v>
      </c>
      <c r="D1161" s="8" t="s">
        <v>13532</v>
      </c>
      <c r="E1161" s="6" t="s">
        <v>3430</v>
      </c>
      <c r="F1161" s="12" t="str">
        <f>IFERROR(__xludf.DUMMYFUNCTION("GOOGLETRANSLATE(B1161,""zh_cn"",""vi"")"),"chúa")</f>
        <v>chúa</v>
      </c>
      <c r="G1161" s="12"/>
      <c r="H1161" s="6"/>
      <c r="I1161" s="11" t="b">
        <f t="shared" si="2"/>
        <v>0</v>
      </c>
      <c r="J1161" s="24"/>
      <c r="K1161" s="11" t="b">
        <f t="shared" si="3"/>
        <v>0</v>
      </c>
    </row>
    <row r="1162" ht="22.5" customHeight="1">
      <c r="A1162" s="12">
        <f t="shared" si="4"/>
        <v>4760</v>
      </c>
      <c r="B1162" s="6" t="s">
        <v>13533</v>
      </c>
      <c r="C1162" s="7" t="str">
        <f t="shared" si="7"/>
        <v>🔊</v>
      </c>
      <c r="D1162" s="8" t="s">
        <v>2776</v>
      </c>
      <c r="E1162" s="6" t="s">
        <v>47</v>
      </c>
      <c r="F1162" s="12" t="str">
        <f>IFERROR(__xludf.DUMMYFUNCTION("GOOGLETRANSLATE(B1162,""zh_cn"",""vi"")"),"Lên 2")</f>
        <v>Lên 2</v>
      </c>
      <c r="G1162" s="12"/>
      <c r="H1162" s="6"/>
      <c r="I1162" s="11" t="b">
        <f t="shared" si="2"/>
        <v>0</v>
      </c>
      <c r="J1162" s="24"/>
      <c r="K1162" s="11" t="b">
        <f t="shared" si="3"/>
        <v>0</v>
      </c>
    </row>
    <row r="1163" ht="22.5" customHeight="1">
      <c r="A1163" s="12">
        <f t="shared" si="4"/>
        <v>4761</v>
      </c>
      <c r="B1163" s="6" t="s">
        <v>13534</v>
      </c>
      <c r="C1163" s="7" t="str">
        <f t="shared" si="7"/>
        <v>🔊</v>
      </c>
      <c r="D1163" s="8" t="s">
        <v>13535</v>
      </c>
      <c r="E1163" s="6" t="s">
        <v>13</v>
      </c>
      <c r="F1163" s="12" t="str">
        <f>IFERROR(__xludf.DUMMYFUNCTION("GOOGLETRANSLATE(B1163,""zh_cn"",""vi"")"),"phát ra")</f>
        <v>phát ra</v>
      </c>
      <c r="G1163" s="12"/>
      <c r="H1163" s="6"/>
      <c r="I1163" s="11" t="b">
        <f t="shared" si="2"/>
        <v>0</v>
      </c>
      <c r="J1163" s="24"/>
      <c r="K1163" s="11" t="b">
        <f t="shared" si="3"/>
        <v>0</v>
      </c>
    </row>
    <row r="1164" ht="22.5" customHeight="1">
      <c r="A1164" s="12">
        <f t="shared" si="4"/>
        <v>4762</v>
      </c>
      <c r="B1164" s="6" t="s">
        <v>13536</v>
      </c>
      <c r="C1164" s="7" t="str">
        <f t="shared" si="7"/>
        <v>🔊</v>
      </c>
      <c r="D1164" s="8" t="s">
        <v>13537</v>
      </c>
      <c r="E1164" s="6" t="s">
        <v>27</v>
      </c>
      <c r="F1164" s="12" t="str">
        <f>IFERROR(__xludf.DUMMYFUNCTION("GOOGLETRANSLATE(B1164,""zh_cn"",""vi"")"),"âm thanh")</f>
        <v>âm thanh</v>
      </c>
      <c r="G1164" s="12"/>
      <c r="H1164" s="6"/>
      <c r="I1164" s="11" t="b">
        <f t="shared" si="2"/>
        <v>0</v>
      </c>
      <c r="J1164" s="24"/>
      <c r="K1164" s="11" t="b">
        <f t="shared" si="3"/>
        <v>0</v>
      </c>
    </row>
    <row r="1165" ht="22.5" customHeight="1">
      <c r="A1165" s="12">
        <f t="shared" si="4"/>
        <v>4763</v>
      </c>
      <c r="B1165" s="6" t="s">
        <v>13538</v>
      </c>
      <c r="C1165" s="7" t="str">
        <f t="shared" si="7"/>
        <v>🔊</v>
      </c>
      <c r="D1165" s="8" t="s">
        <v>13539</v>
      </c>
      <c r="E1165" s="6" t="s">
        <v>27</v>
      </c>
      <c r="F1165" s="12" t="str">
        <f>IFERROR(__xludf.DUMMYFUNCTION("GOOGLETRANSLATE(B1165,""zh_cn"",""vi"")"),"sức sống")</f>
        <v>sức sống</v>
      </c>
      <c r="G1165" s="12"/>
      <c r="H1165" s="6"/>
      <c r="I1165" s="11" t="b">
        <f t="shared" si="2"/>
        <v>0</v>
      </c>
      <c r="J1165" s="24"/>
      <c r="K1165" s="11" t="b">
        <f t="shared" si="3"/>
        <v>0</v>
      </c>
    </row>
    <row r="1166" ht="22.5" customHeight="1">
      <c r="A1166" s="12">
        <f t="shared" si="4"/>
        <v>4764</v>
      </c>
      <c r="B1166" s="6" t="s">
        <v>13540</v>
      </c>
      <c r="C1166" s="7" t="str">
        <f t="shared" si="7"/>
        <v>🔊</v>
      </c>
      <c r="D1166" s="8" t="s">
        <v>13541</v>
      </c>
      <c r="E1166" s="6" t="s">
        <v>27</v>
      </c>
      <c r="F1166" s="12" t="str">
        <f>IFERROR(__xludf.DUMMYFUNCTION("GOOGLETRANSLATE(B1166,""zh_cn"",""vi"")"),"Sinh thái học")</f>
        <v>Sinh thái học</v>
      </c>
      <c r="G1166" s="12"/>
      <c r="H1166" s="6"/>
      <c r="I1166" s="11" t="b">
        <f t="shared" si="2"/>
        <v>0</v>
      </c>
      <c r="J1166" s="24"/>
      <c r="K1166" s="11" t="b">
        <f t="shared" si="3"/>
        <v>0</v>
      </c>
    </row>
    <row r="1167" ht="22.5" customHeight="1">
      <c r="A1167" s="12">
        <f t="shared" si="4"/>
        <v>4765</v>
      </c>
      <c r="B1167" s="6" t="s">
        <v>13542</v>
      </c>
      <c r="C1167" s="7" t="str">
        <f t="shared" si="7"/>
        <v>🔊</v>
      </c>
      <c r="D1167" s="8" t="s">
        <v>13543</v>
      </c>
      <c r="E1167" s="6" t="s">
        <v>13</v>
      </c>
      <c r="F1167" s="12" t="str">
        <f>IFERROR(__xludf.DUMMYFUNCTION("GOOGLETRANSLATE(B1167,""zh_cn"",""vi"")"),"Tuyển sinh trường học")</f>
        <v>Tuyển sinh trường học</v>
      </c>
      <c r="G1167" s="12"/>
      <c r="H1167" s="6"/>
      <c r="I1167" s="11" t="b">
        <f t="shared" si="2"/>
        <v>0</v>
      </c>
      <c r="J1167" s="24"/>
      <c r="K1167" s="11" t="b">
        <f t="shared" si="3"/>
        <v>0</v>
      </c>
    </row>
    <row r="1168" ht="22.5" customHeight="1">
      <c r="A1168" s="12">
        <f t="shared" si="4"/>
        <v>4766</v>
      </c>
      <c r="B1168" s="6" t="s">
        <v>13544</v>
      </c>
      <c r="C1168" s="7" t="str">
        <f t="shared" si="7"/>
        <v>🔊</v>
      </c>
      <c r="D1168" s="8" t="s">
        <v>13545</v>
      </c>
      <c r="E1168" s="6" t="s">
        <v>13</v>
      </c>
      <c r="F1168" s="12" t="str">
        <f>IFERROR(__xludf.DUMMYFUNCTION("GOOGLETRANSLATE(B1168,""zh_cn"",""vi"")"),"Còn lại")</f>
        <v>Còn lại</v>
      </c>
      <c r="G1168" s="12"/>
      <c r="H1168" s="6"/>
      <c r="I1168" s="11" t="b">
        <f t="shared" si="2"/>
        <v>0</v>
      </c>
      <c r="J1168" s="24"/>
      <c r="K1168" s="11" t="b">
        <f t="shared" si="3"/>
        <v>0</v>
      </c>
    </row>
    <row r="1169" ht="22.5" customHeight="1">
      <c r="A1169" s="12">
        <f t="shared" si="4"/>
        <v>4767</v>
      </c>
      <c r="B1169" s="6" t="s">
        <v>13546</v>
      </c>
      <c r="C1169" s="7" t="str">
        <f t="shared" si="7"/>
        <v>🔊</v>
      </c>
      <c r="D1169" s="8" t="s">
        <v>13547</v>
      </c>
      <c r="E1169" s="6" t="s">
        <v>27</v>
      </c>
      <c r="F1169" s="12" t="str">
        <f>IFERROR(__xludf.DUMMYFUNCTION("GOOGLETRANSLATE(B1169,""zh_cn"",""vi"")"),"dây thần kinh")</f>
        <v>dây thần kinh</v>
      </c>
      <c r="G1169" s="12"/>
      <c r="H1169" s="6"/>
      <c r="I1169" s="11" t="b">
        <f t="shared" si="2"/>
        <v>0</v>
      </c>
      <c r="J1169" s="24"/>
      <c r="K1169" s="11" t="b">
        <f t="shared" si="3"/>
        <v>0</v>
      </c>
    </row>
    <row r="1170" ht="22.5" customHeight="1">
      <c r="A1170" s="12">
        <f t="shared" si="4"/>
        <v>4768</v>
      </c>
      <c r="B1170" s="6" t="s">
        <v>13548</v>
      </c>
      <c r="C1170" s="7" t="str">
        <f t="shared" si="7"/>
        <v>🔊</v>
      </c>
      <c r="D1170" s="8" t="s">
        <v>13549</v>
      </c>
      <c r="E1170" s="6" t="s">
        <v>13</v>
      </c>
      <c r="F1170" s="12" t="str">
        <f>IFERROR(__xludf.DUMMYFUNCTION("GOOGLETRANSLATE(B1170,""zh_cn"",""vi"")"),"Thẩm mỹ")</f>
        <v>Thẩm mỹ</v>
      </c>
      <c r="G1170" s="12"/>
      <c r="H1170" s="6"/>
      <c r="I1170" s="11" t="b">
        <f t="shared" si="2"/>
        <v>0</v>
      </c>
      <c r="J1170" s="24"/>
      <c r="K1170" s="11" t="b">
        <f t="shared" si="3"/>
        <v>0</v>
      </c>
    </row>
    <row r="1171" ht="22.5" customHeight="1">
      <c r="A1171" s="12">
        <f t="shared" si="4"/>
        <v>4769</v>
      </c>
      <c r="B1171" s="6" t="s">
        <v>13550</v>
      </c>
      <c r="C1171" s="7" t="str">
        <f t="shared" si="7"/>
        <v>🔊</v>
      </c>
      <c r="D1171" s="8" t="s">
        <v>13551</v>
      </c>
      <c r="E1171" s="6" t="s">
        <v>99</v>
      </c>
      <c r="F1171" s="12" t="str">
        <f>IFERROR(__xludf.DUMMYFUNCTION("GOOGLETRANSLATE(B1171,""zh_cn"",""vi"")"),"ảo thuật")</f>
        <v>ảo thuật</v>
      </c>
      <c r="G1171" s="12"/>
      <c r="H1171" s="6"/>
      <c r="I1171" s="11" t="b">
        <f t="shared" si="2"/>
        <v>0</v>
      </c>
      <c r="J1171" s="24"/>
      <c r="K1171" s="11" t="b">
        <f t="shared" si="3"/>
        <v>0</v>
      </c>
    </row>
    <row r="1172" ht="22.5" customHeight="1">
      <c r="A1172" s="12">
        <f t="shared" si="4"/>
        <v>4770</v>
      </c>
      <c r="B1172" s="6" t="s">
        <v>13552</v>
      </c>
      <c r="C1172" s="7" t="str">
        <f t="shared" si="7"/>
        <v>🔊</v>
      </c>
      <c r="D1172" s="8" t="s">
        <v>13553</v>
      </c>
      <c r="E1172" s="6" t="s">
        <v>27</v>
      </c>
      <c r="F1172" s="12" t="str">
        <f>IFERROR(__xludf.DUMMYFUNCTION("GOOGLETRANSLATE(B1172,""zh_cn"",""vi"")"),"thân thể và tâm trí")</f>
        <v>thân thể và tâm trí</v>
      </c>
      <c r="G1172" s="12"/>
      <c r="H1172" s="6"/>
      <c r="I1172" s="11" t="b">
        <f t="shared" si="2"/>
        <v>0</v>
      </c>
      <c r="J1172" s="24"/>
      <c r="K1172" s="11" t="b">
        <f t="shared" si="3"/>
        <v>0</v>
      </c>
    </row>
    <row r="1173" ht="22.5" customHeight="1">
      <c r="A1173" s="12">
        <f t="shared" si="4"/>
        <v>4771</v>
      </c>
      <c r="B1173" s="6" t="s">
        <v>13554</v>
      </c>
      <c r="C1173" s="7" t="str">
        <f t="shared" si="7"/>
        <v>🔊</v>
      </c>
      <c r="D1173" s="8" t="s">
        <v>13555</v>
      </c>
      <c r="E1173" s="6" t="s">
        <v>27</v>
      </c>
      <c r="F1173" s="12" t="str">
        <f>IFERROR(__xludf.DUMMYFUNCTION("GOOGLETRANSLATE(B1173,""zh_cn"",""vi"")"),"đêm khuya")</f>
        <v>đêm khuya</v>
      </c>
      <c r="G1173" s="12"/>
      <c r="H1173" s="6"/>
      <c r="I1173" s="11" t="b">
        <f t="shared" si="2"/>
        <v>0</v>
      </c>
      <c r="J1173" s="24"/>
      <c r="K1173" s="11" t="b">
        <f t="shared" si="3"/>
        <v>0</v>
      </c>
    </row>
    <row r="1174" ht="22.5" customHeight="1">
      <c r="A1174" s="12">
        <f t="shared" si="4"/>
        <v>4772</v>
      </c>
      <c r="B1174" s="6" t="s">
        <v>13556</v>
      </c>
      <c r="C1174" s="7" t="str">
        <f t="shared" si="7"/>
        <v>🔊</v>
      </c>
      <c r="D1174" s="8" t="s">
        <v>13557</v>
      </c>
      <c r="E1174" s="6" t="s">
        <v>27</v>
      </c>
      <c r="F1174" s="12" t="str">
        <f>IFERROR(__xludf.DUMMYFUNCTION("GOOGLETRANSLATE(B1174,""zh_cn"",""vi"")"),"Lưỡi")</f>
        <v>Lưỡi</v>
      </c>
      <c r="G1174" s="12"/>
      <c r="H1174" s="6"/>
      <c r="I1174" s="11" t="b">
        <f t="shared" si="2"/>
        <v>0</v>
      </c>
      <c r="J1174" s="24"/>
      <c r="K1174" s="11" t="b">
        <f t="shared" si="3"/>
        <v>0</v>
      </c>
    </row>
    <row r="1175" ht="22.5" customHeight="1">
      <c r="A1175" s="12">
        <f t="shared" si="4"/>
        <v>4773</v>
      </c>
      <c r="B1175" s="6" t="s">
        <v>13558</v>
      </c>
      <c r="C1175" s="7" t="str">
        <f t="shared" si="7"/>
        <v>🔊</v>
      </c>
      <c r="D1175" s="8" t="s">
        <v>13559</v>
      </c>
      <c r="E1175" s="6" t="s">
        <v>13</v>
      </c>
      <c r="F1175" s="12" t="str">
        <f>IFERROR(__xludf.DUMMYFUNCTION("GOOGLETRANSLATE(B1175,""zh_cn"",""vi"")"),"Máy ảnh")</f>
        <v>Máy ảnh</v>
      </c>
      <c r="G1175" s="12"/>
      <c r="H1175" s="6"/>
      <c r="I1175" s="11" t="b">
        <f t="shared" si="2"/>
        <v>0</v>
      </c>
      <c r="J1175" s="24"/>
      <c r="K1175" s="11" t="b">
        <f t="shared" si="3"/>
        <v>0</v>
      </c>
    </row>
    <row r="1176" ht="22.5" customHeight="1">
      <c r="A1176" s="12">
        <f t="shared" si="4"/>
        <v>4774</v>
      </c>
      <c r="B1176" s="6" t="s">
        <v>13560</v>
      </c>
      <c r="C1176" s="7" t="str">
        <f t="shared" si="7"/>
        <v>🔊</v>
      </c>
      <c r="D1176" s="8" t="s">
        <v>13561</v>
      </c>
      <c r="E1176" s="6" t="s">
        <v>13</v>
      </c>
      <c r="F1176" s="12" t="str">
        <f>IFERROR(__xludf.DUMMYFUNCTION("GOOGLETRANSLATE(B1176,""zh_cn"",""vi"")"),"Tưởng tượng")</f>
        <v>Tưởng tượng</v>
      </c>
      <c r="G1176" s="12"/>
      <c r="H1176" s="6"/>
      <c r="I1176" s="11" t="b">
        <f t="shared" si="2"/>
        <v>0</v>
      </c>
      <c r="J1176" s="24"/>
      <c r="K1176" s="11" t="b">
        <f t="shared" si="3"/>
        <v>0</v>
      </c>
    </row>
    <row r="1177" ht="22.5" customHeight="1">
      <c r="A1177" s="12">
        <f t="shared" si="4"/>
        <v>4775</v>
      </c>
      <c r="B1177" s="6" t="s">
        <v>13562</v>
      </c>
      <c r="C1177" s="7" t="str">
        <f t="shared" si="7"/>
        <v>🔊</v>
      </c>
      <c r="D1177" s="8" t="s">
        <v>13563</v>
      </c>
      <c r="E1177" s="6" t="s">
        <v>27</v>
      </c>
      <c r="F1177" s="12" t="str">
        <f>IFERROR(__xludf.DUMMYFUNCTION("GOOGLETRANSLATE(B1177,""zh_cn"",""vi"")"),"Máy ảnh")</f>
        <v>Máy ảnh</v>
      </c>
      <c r="G1177" s="12"/>
      <c r="H1177" s="6"/>
      <c r="I1177" s="11" t="b">
        <f t="shared" si="2"/>
        <v>0</v>
      </c>
      <c r="J1177" s="24"/>
      <c r="K1177" s="11" t="b">
        <f t="shared" si="3"/>
        <v>0</v>
      </c>
    </row>
    <row r="1178" ht="22.5" customHeight="1">
      <c r="A1178" s="12">
        <f t="shared" si="4"/>
        <v>4776</v>
      </c>
      <c r="B1178" s="6" t="s">
        <v>13564</v>
      </c>
      <c r="C1178" s="7" t="str">
        <f t="shared" si="7"/>
        <v>🔊</v>
      </c>
      <c r="D1178" s="8" t="s">
        <v>637</v>
      </c>
      <c r="E1178" s="6" t="s">
        <v>13</v>
      </c>
      <c r="F1178" s="12" t="str">
        <f>IFERROR(__xludf.DUMMYFUNCTION("GOOGLETRANSLATE(B1178,""zh_cn"",""vi"")"),"kiến thức")</f>
        <v>kiến thức</v>
      </c>
      <c r="G1178" s="12"/>
      <c r="H1178" s="6"/>
      <c r="I1178" s="11" t="b">
        <f t="shared" si="2"/>
        <v>0</v>
      </c>
      <c r="J1178" s="24"/>
      <c r="K1178" s="11" t="b">
        <f t="shared" si="3"/>
        <v>0</v>
      </c>
    </row>
    <row r="1179" ht="22.5" customHeight="1">
      <c r="A1179" s="12">
        <f t="shared" si="4"/>
        <v>4777</v>
      </c>
      <c r="B1179" s="6" t="s">
        <v>13565</v>
      </c>
      <c r="C1179" s="7" t="str">
        <f t="shared" si="7"/>
        <v>🔊</v>
      </c>
      <c r="D1179" s="8" t="s">
        <v>637</v>
      </c>
      <c r="E1179" s="6" t="s">
        <v>13</v>
      </c>
      <c r="F1179" s="12" t="str">
        <f>IFERROR(__xludf.DUMMYFUNCTION("GOOGLETRANSLATE(B1179,""zh_cn"",""vi"")"),"nhặt lên")</f>
        <v>nhặt lên</v>
      </c>
      <c r="G1179" s="12"/>
      <c r="H1179" s="6"/>
      <c r="I1179" s="11" t="b">
        <f t="shared" si="2"/>
        <v>0</v>
      </c>
      <c r="J1179" s="24"/>
      <c r="K1179" s="11" t="b">
        <f t="shared" si="3"/>
        <v>0</v>
      </c>
    </row>
    <row r="1180" ht="22.5" customHeight="1">
      <c r="A1180" s="12">
        <f t="shared" si="4"/>
        <v>4778</v>
      </c>
      <c r="B1180" s="6" t="s">
        <v>13566</v>
      </c>
      <c r="C1180" s="7" t="str">
        <f t="shared" si="7"/>
        <v>🔊</v>
      </c>
      <c r="D1180" s="8" t="s">
        <v>13567</v>
      </c>
      <c r="E1180" s="6" t="s">
        <v>13</v>
      </c>
      <c r="F1180" s="12" t="str">
        <f>IFERROR(__xludf.DUMMYFUNCTION("GOOGLETRANSLATE(B1180,""zh_cn"",""vi"")"),"Nhận dạng")</f>
        <v>Nhận dạng</v>
      </c>
      <c r="G1180" s="12"/>
      <c r="H1180" s="6"/>
      <c r="I1180" s="11" t="b">
        <f t="shared" si="2"/>
        <v>0</v>
      </c>
      <c r="J1180" s="24"/>
      <c r="K1180" s="11" t="b">
        <f t="shared" si="3"/>
        <v>0</v>
      </c>
    </row>
    <row r="1181" ht="22.5" customHeight="1">
      <c r="A1181" s="12">
        <f t="shared" si="4"/>
        <v>4779</v>
      </c>
      <c r="B1181" s="6" t="s">
        <v>13568</v>
      </c>
      <c r="C1181" s="7" t="str">
        <f t="shared" si="7"/>
        <v>🔊</v>
      </c>
      <c r="D1181" s="8" t="s">
        <v>13569</v>
      </c>
      <c r="E1181" s="6" t="s">
        <v>27</v>
      </c>
      <c r="F1181" s="12" t="str">
        <f>IFERROR(__xludf.DUMMYFUNCTION("GOOGLETRANSLATE(B1181,""zh_cn"",""vi"")"),"Lính")</f>
        <v>Lính</v>
      </c>
      <c r="G1181" s="12"/>
      <c r="H1181" s="6"/>
      <c r="I1181" s="11" t="b">
        <f t="shared" si="2"/>
        <v>0</v>
      </c>
      <c r="J1181" s="24"/>
      <c r="K1181" s="11" t="b">
        <f t="shared" si="3"/>
        <v>0</v>
      </c>
    </row>
    <row r="1182" ht="22.5" customHeight="1">
      <c r="A1182" s="12">
        <f t="shared" si="4"/>
        <v>4780</v>
      </c>
      <c r="B1182" s="6" t="s">
        <v>13570</v>
      </c>
      <c r="C1182" s="7" t="str">
        <f t="shared" si="7"/>
        <v>🔊</v>
      </c>
      <c r="D1182" s="8" t="s">
        <v>13571</v>
      </c>
      <c r="E1182" s="6" t="s">
        <v>27</v>
      </c>
      <c r="F1182" s="12" t="str">
        <f>IFERROR(__xludf.DUMMYFUNCTION("GOOGLETRANSLATE(B1182,""zh_cn"",""vi"")"),"Thơ ca")</f>
        <v>Thơ ca</v>
      </c>
      <c r="G1182" s="12"/>
      <c r="H1182" s="6"/>
      <c r="I1182" s="11" t="b">
        <f t="shared" si="2"/>
        <v>0</v>
      </c>
      <c r="J1182" s="24"/>
      <c r="K1182" s="11" t="b">
        <f t="shared" si="3"/>
        <v>0</v>
      </c>
    </row>
    <row r="1183" ht="22.5" customHeight="1">
      <c r="A1183" s="12">
        <f t="shared" si="4"/>
        <v>4781</v>
      </c>
      <c r="B1183" s="6" t="s">
        <v>13572</v>
      </c>
      <c r="C1183" s="7" t="str">
        <f t="shared" si="7"/>
        <v>🔊</v>
      </c>
      <c r="D1183" s="8" t="s">
        <v>13573</v>
      </c>
      <c r="E1183" s="6" t="s">
        <v>99</v>
      </c>
      <c r="F1183" s="12" t="str">
        <f>IFERROR(__xludf.DUMMYFUNCTION("GOOGLETRANSLATE(B1183,""zh_cn"",""vi"")"),"Vừa phải")</f>
        <v>Vừa phải</v>
      </c>
      <c r="G1183" s="12"/>
      <c r="H1183" s="6"/>
      <c r="I1183" s="11" t="b">
        <f t="shared" si="2"/>
        <v>0</v>
      </c>
      <c r="J1183" s="24"/>
      <c r="K1183" s="11" t="b">
        <f t="shared" si="3"/>
        <v>0</v>
      </c>
    </row>
    <row r="1184" ht="22.5" customHeight="1">
      <c r="A1184" s="12">
        <f t="shared" si="4"/>
        <v>4782</v>
      </c>
      <c r="B1184" s="6" t="s">
        <v>13574</v>
      </c>
      <c r="C1184" s="7" t="str">
        <f t="shared" si="7"/>
        <v>🔊</v>
      </c>
      <c r="D1184" s="8" t="s">
        <v>13575</v>
      </c>
      <c r="E1184" s="6" t="s">
        <v>27</v>
      </c>
      <c r="F1184" s="12" t="str">
        <f>IFERROR(__xludf.DUMMYFUNCTION("GOOGLETRANSLATE(B1184,""zh_cn"",""vi"")"),"độ ẩm")</f>
        <v>độ ẩm</v>
      </c>
      <c r="G1184" s="12"/>
      <c r="H1184" s="6"/>
      <c r="I1184" s="11" t="b">
        <f t="shared" si="2"/>
        <v>0</v>
      </c>
      <c r="J1184" s="24"/>
      <c r="K1184" s="11" t="b">
        <f t="shared" si="3"/>
        <v>0</v>
      </c>
    </row>
    <row r="1185" ht="22.5" customHeight="1">
      <c r="A1185" s="12">
        <f t="shared" si="4"/>
        <v>4783</v>
      </c>
      <c r="B1185" s="6" t="s">
        <v>13576</v>
      </c>
      <c r="C1185" s="7" t="str">
        <f t="shared" si="7"/>
        <v>🔊</v>
      </c>
      <c r="D1185" s="8" t="s">
        <v>13577</v>
      </c>
      <c r="E1185" s="6" t="s">
        <v>13</v>
      </c>
      <c r="F1185" s="12" t="str">
        <f>IFERROR(__xludf.DUMMYFUNCTION("GOOGLETRANSLATE(B1185,""zh_cn"",""vi"")"),"cuộc biểu tình")</f>
        <v>cuộc biểu tình</v>
      </c>
      <c r="G1185" s="12"/>
      <c r="H1185" s="6"/>
      <c r="I1185" s="11" t="b">
        <f t="shared" si="2"/>
        <v>0</v>
      </c>
      <c r="J1185" s="24"/>
      <c r="K1185" s="11" t="b">
        <f t="shared" si="3"/>
        <v>0</v>
      </c>
    </row>
    <row r="1186" ht="22.5" customHeight="1">
      <c r="A1186" s="12">
        <f t="shared" si="4"/>
        <v>4784</v>
      </c>
      <c r="B1186" s="6" t="s">
        <v>13578</v>
      </c>
      <c r="C1186" s="7" t="str">
        <f t="shared" si="7"/>
        <v>🔊</v>
      </c>
      <c r="D1186" s="8" t="s">
        <v>13579</v>
      </c>
      <c r="E1186" s="6" t="s">
        <v>13</v>
      </c>
      <c r="F1186" s="12" t="str">
        <f>IFERROR(__xludf.DUMMYFUNCTION("GOOGLETRANSLATE(B1186,""zh_cn"",""vi"")"),"giải phóng")</f>
        <v>giải phóng</v>
      </c>
      <c r="G1186" s="12"/>
      <c r="H1186" s="6"/>
      <c r="I1186" s="11" t="b">
        <f t="shared" si="2"/>
        <v>0</v>
      </c>
      <c r="J1186" s="24"/>
      <c r="K1186" s="11" t="b">
        <f t="shared" si="3"/>
        <v>0</v>
      </c>
    </row>
    <row r="1187" ht="22.5" customHeight="1">
      <c r="A1187" s="12">
        <f t="shared" si="4"/>
        <v>4785</v>
      </c>
      <c r="B1187" s="6" t="s">
        <v>13580</v>
      </c>
      <c r="C1187" s="7" t="str">
        <f t="shared" si="7"/>
        <v>🔊</v>
      </c>
      <c r="D1187" s="8" t="s">
        <v>5486</v>
      </c>
      <c r="E1187" s="6" t="s">
        <v>27</v>
      </c>
      <c r="F1187" s="12" t="str">
        <f>IFERROR(__xludf.DUMMYFUNCTION("GOOGLETRANSLATE(B1187,""zh_cn"",""vi"")"),"Bậc thầy")</f>
        <v>Bậc thầy</v>
      </c>
      <c r="G1187" s="12"/>
      <c r="H1187" s="6"/>
      <c r="I1187" s="11" t="b">
        <f t="shared" si="2"/>
        <v>0</v>
      </c>
      <c r="J1187" s="24"/>
      <c r="K1187" s="11" t="b">
        <f t="shared" si="3"/>
        <v>0</v>
      </c>
    </row>
    <row r="1188" ht="22.5" customHeight="1">
      <c r="A1188" s="12">
        <f t="shared" si="4"/>
        <v>4786</v>
      </c>
      <c r="B1188" s="6" t="s">
        <v>13581</v>
      </c>
      <c r="C1188" s="7" t="str">
        <f t="shared" si="7"/>
        <v>🔊</v>
      </c>
      <c r="D1188" s="8" t="s">
        <v>13582</v>
      </c>
      <c r="E1188" s="6" t="s">
        <v>27</v>
      </c>
      <c r="F1188" s="12" t="str">
        <f>IFERROR(__xludf.DUMMYFUNCTION("GOOGLETRANSLATE(B1188,""zh_cn"",""vi"")"),"Thơ ca")</f>
        <v>Thơ ca</v>
      </c>
      <c r="G1188" s="12"/>
      <c r="H1188" s="6"/>
      <c r="I1188" s="11" t="b">
        <f t="shared" si="2"/>
        <v>0</v>
      </c>
      <c r="J1188" s="24"/>
      <c r="K1188" s="11" t="b">
        <f t="shared" si="3"/>
        <v>0</v>
      </c>
    </row>
    <row r="1189" ht="22.5" customHeight="1">
      <c r="A1189" s="12">
        <f t="shared" si="4"/>
        <v>4787</v>
      </c>
      <c r="B1189" s="6" t="s">
        <v>13583</v>
      </c>
      <c r="C1189" s="7" t="str">
        <f t="shared" si="7"/>
        <v>🔊</v>
      </c>
      <c r="D1189" s="8" t="s">
        <v>13584</v>
      </c>
      <c r="E1189" s="6" t="s">
        <v>27</v>
      </c>
      <c r="F1189" s="12" t="str">
        <f>IFERROR(__xludf.DUMMYFUNCTION("GOOGLETRANSLATE(B1189,""zh_cn"",""vi"")"),"Thời gian")</f>
        <v>Thời gian</v>
      </c>
      <c r="G1189" s="12"/>
      <c r="H1189" s="6"/>
      <c r="I1189" s="11" t="b">
        <f t="shared" si="2"/>
        <v>0</v>
      </c>
      <c r="J1189" s="24"/>
      <c r="K1189" s="11" t="b">
        <f t="shared" si="3"/>
        <v>0</v>
      </c>
    </row>
    <row r="1190" ht="22.5" customHeight="1">
      <c r="A1190" s="12">
        <f t="shared" si="4"/>
        <v>4788</v>
      </c>
      <c r="B1190" s="6" t="s">
        <v>13585</v>
      </c>
      <c r="C1190" s="7" t="str">
        <f t="shared" si="7"/>
        <v>🔊</v>
      </c>
      <c r="D1190" s="8" t="s">
        <v>13586</v>
      </c>
      <c r="E1190" s="6" t="s">
        <v>27</v>
      </c>
      <c r="F1190" s="12" t="str">
        <f>IFERROR(__xludf.DUMMYFUNCTION("GOOGLETRANSLATE(B1190,""zh_cn"",""vi"")"),"sau đó")</f>
        <v>sau đó</v>
      </c>
      <c r="G1190" s="12"/>
      <c r="H1190" s="6"/>
      <c r="I1190" s="11" t="b">
        <f t="shared" si="2"/>
        <v>0</v>
      </c>
      <c r="J1190" s="24"/>
      <c r="K1190" s="11" t="b">
        <f t="shared" si="3"/>
        <v>0</v>
      </c>
    </row>
    <row r="1191" ht="22.5" customHeight="1">
      <c r="A1191" s="12">
        <f t="shared" si="4"/>
        <v>4789</v>
      </c>
      <c r="B1191" s="6" t="s">
        <v>13587</v>
      </c>
      <c r="C1191" s="7" t="str">
        <f t="shared" si="7"/>
        <v>🔊</v>
      </c>
      <c r="D1191" s="8" t="s">
        <v>13588</v>
      </c>
      <c r="E1191" s="6" t="s">
        <v>27</v>
      </c>
      <c r="F1191" s="12" t="str">
        <f>IFERROR(__xludf.DUMMYFUNCTION("GOOGLETRANSLATE(B1191,""zh_cn"",""vi"")"),"sự thật")</f>
        <v>sự thật</v>
      </c>
      <c r="G1191" s="12"/>
      <c r="H1191" s="6"/>
      <c r="I1191" s="11" t="b">
        <f t="shared" si="2"/>
        <v>0</v>
      </c>
      <c r="J1191" s="24"/>
      <c r="K1191" s="11" t="b">
        <f t="shared" si="3"/>
        <v>0</v>
      </c>
    </row>
    <row r="1192" ht="22.5" customHeight="1">
      <c r="A1192" s="12">
        <f t="shared" si="4"/>
        <v>4790</v>
      </c>
      <c r="B1192" s="6" t="s">
        <v>13589</v>
      </c>
      <c r="C1192" s="7" t="str">
        <f t="shared" si="7"/>
        <v>🔊</v>
      </c>
      <c r="D1192" s="8" t="s">
        <v>13590</v>
      </c>
      <c r="E1192" s="6" t="s">
        <v>3430</v>
      </c>
      <c r="F1192" s="12" t="str">
        <f>IFERROR(__xludf.DUMMYFUNCTION("GOOGLETRANSLATE(B1192,""zh_cn"",""vi"")"),"Có thể chi trả")</f>
        <v>Có thể chi trả</v>
      </c>
      <c r="G1192" s="12"/>
      <c r="H1192" s="6"/>
      <c r="I1192" s="11" t="b">
        <f t="shared" si="2"/>
        <v>0</v>
      </c>
      <c r="J1192" s="24"/>
      <c r="K1192" s="11" t="b">
        <f t="shared" si="3"/>
        <v>0</v>
      </c>
    </row>
    <row r="1193" ht="22.5" customHeight="1">
      <c r="A1193" s="12">
        <f t="shared" si="4"/>
        <v>4791</v>
      </c>
      <c r="B1193" s="6" t="s">
        <v>13591</v>
      </c>
      <c r="C1193" s="7" t="str">
        <f t="shared" si="7"/>
        <v>🔊</v>
      </c>
      <c r="D1193" s="8" t="s">
        <v>13592</v>
      </c>
      <c r="E1193" s="6" t="s">
        <v>27</v>
      </c>
      <c r="F1193" s="12" t="str">
        <f>IFERROR(__xludf.DUMMYFUNCTION("GOOGLETRANSLATE(B1193,""zh_cn"",""vi"")"),"cơ hội")</f>
        <v>cơ hội</v>
      </c>
      <c r="G1193" s="12"/>
      <c r="H1193" s="6"/>
      <c r="I1193" s="11" t="b">
        <f t="shared" si="2"/>
        <v>0</v>
      </c>
      <c r="J1193" s="24"/>
      <c r="K1193" s="11" t="b">
        <f t="shared" si="3"/>
        <v>0</v>
      </c>
    </row>
    <row r="1194" ht="22.5" customHeight="1">
      <c r="A1194" s="12">
        <f t="shared" si="4"/>
        <v>4792</v>
      </c>
      <c r="B1194" s="6" t="s">
        <v>13593</v>
      </c>
      <c r="C1194" s="7" t="str">
        <f t="shared" si="7"/>
        <v>🔊</v>
      </c>
      <c r="D1194" s="8" t="s">
        <v>13594</v>
      </c>
      <c r="E1194" s="6" t="s">
        <v>13</v>
      </c>
      <c r="F1194" s="12" t="str">
        <f>IFERROR(__xludf.DUMMYFUNCTION("GOOGLETRANSLATE(B1194,""zh_cn"",""vi"")"),"tác dụng lực")</f>
        <v>tác dụng lực</v>
      </c>
      <c r="G1194" s="12"/>
      <c r="H1194" s="6"/>
      <c r="I1194" s="11" t="b">
        <f t="shared" si="2"/>
        <v>0</v>
      </c>
      <c r="J1194" s="24"/>
      <c r="K1194" s="11" t="b">
        <f t="shared" si="3"/>
        <v>0</v>
      </c>
    </row>
    <row r="1195" ht="22.5" customHeight="1">
      <c r="A1195" s="12">
        <f t="shared" si="4"/>
        <v>4793</v>
      </c>
      <c r="B1195" s="6" t="s">
        <v>13595</v>
      </c>
      <c r="C1195" s="7" t="str">
        <f t="shared" si="7"/>
        <v>🔊</v>
      </c>
      <c r="D1195" s="8" t="s">
        <v>13596</v>
      </c>
      <c r="E1195" s="6" t="s">
        <v>27</v>
      </c>
      <c r="F1195" s="12" t="str">
        <f>IFERROR(__xludf.DUMMYFUNCTION("GOOGLETRANSLATE(B1195,""zh_cn"",""vi"")"),"Thị giác")</f>
        <v>Thị giác</v>
      </c>
      <c r="G1195" s="12"/>
      <c r="H1195" s="6"/>
      <c r="I1195" s="11" t="b">
        <f t="shared" si="2"/>
        <v>0</v>
      </c>
      <c r="J1195" s="24"/>
      <c r="K1195" s="11" t="b">
        <f t="shared" si="3"/>
        <v>0</v>
      </c>
    </row>
    <row r="1196" ht="22.5" customHeight="1">
      <c r="A1196" s="12">
        <f t="shared" si="4"/>
        <v>4794</v>
      </c>
      <c r="B1196" s="6" t="s">
        <v>13597</v>
      </c>
      <c r="C1196" s="7" t="str">
        <f t="shared" si="7"/>
        <v>🔊</v>
      </c>
      <c r="D1196" s="8" t="s">
        <v>13598</v>
      </c>
      <c r="E1196" s="6" t="s">
        <v>27</v>
      </c>
      <c r="F1196" s="12" t="str">
        <f>IFERROR(__xludf.DUMMYFUNCTION("GOOGLETRANSLATE(B1196,""zh_cn"",""vi"")"),"quyền lực")</f>
        <v>quyền lực</v>
      </c>
      <c r="G1196" s="12"/>
      <c r="H1196" s="6"/>
      <c r="I1196" s="11" t="b">
        <f t="shared" si="2"/>
        <v>0</v>
      </c>
      <c r="J1196" s="24"/>
      <c r="K1196" s="11" t="b">
        <f t="shared" si="3"/>
        <v>0</v>
      </c>
    </row>
    <row r="1197" ht="22.5" customHeight="1">
      <c r="A1197" s="12">
        <f t="shared" si="4"/>
        <v>4795</v>
      </c>
      <c r="B1197" s="6" t="s">
        <v>13599</v>
      </c>
      <c r="C1197" s="7" t="str">
        <f t="shared" si="7"/>
        <v>🔊</v>
      </c>
      <c r="D1197" s="8" t="s">
        <v>13598</v>
      </c>
      <c r="E1197" s="6" t="s">
        <v>27</v>
      </c>
      <c r="F1197" s="12" t="str">
        <f>IFERROR(__xludf.DUMMYFUNCTION("GOOGLETRANSLATE(B1197,""zh_cn"",""vi"")"),"tầm nhìn")</f>
        <v>tầm nhìn</v>
      </c>
      <c r="G1197" s="12"/>
      <c r="H1197" s="6"/>
      <c r="I1197" s="11" t="b">
        <f t="shared" si="2"/>
        <v>0</v>
      </c>
      <c r="J1197" s="24"/>
      <c r="K1197" s="11" t="b">
        <f t="shared" si="3"/>
        <v>0</v>
      </c>
    </row>
    <row r="1198" ht="22.5" customHeight="1">
      <c r="A1198" s="12">
        <f t="shared" si="4"/>
        <v>4796</v>
      </c>
      <c r="B1198" s="6" t="s">
        <v>13600</v>
      </c>
      <c r="C1198" s="7" t="str">
        <f t="shared" si="7"/>
        <v>🔊</v>
      </c>
      <c r="D1198" s="8" t="s">
        <v>13601</v>
      </c>
      <c r="E1198" s="6" t="s">
        <v>3430</v>
      </c>
      <c r="F1198" s="12" t="str">
        <f>IFERROR(__xludf.DUMMYFUNCTION("GOOGLETRANSLATE(B1198,""zh_cn"",""vi"")"),"Thời trang")</f>
        <v>Thời trang</v>
      </c>
      <c r="G1198" s="12"/>
      <c r="H1198" s="6"/>
      <c r="I1198" s="11" t="b">
        <f t="shared" si="2"/>
        <v>0</v>
      </c>
      <c r="J1198" s="24"/>
      <c r="K1198" s="11" t="b">
        <f t="shared" si="3"/>
        <v>0</v>
      </c>
    </row>
    <row r="1199" ht="22.5" customHeight="1">
      <c r="A1199" s="12">
        <f t="shared" si="4"/>
        <v>4797</v>
      </c>
      <c r="B1199" s="6" t="s">
        <v>13602</v>
      </c>
      <c r="C1199" s="7" t="str">
        <f t="shared" si="7"/>
        <v>🔊</v>
      </c>
      <c r="D1199" s="8" t="s">
        <v>13603</v>
      </c>
      <c r="E1199" s="6" t="s">
        <v>61</v>
      </c>
      <c r="F1199" s="12" t="str">
        <f>IFERROR(__xludf.DUMMYFUNCTION("GOOGLETRANSLATE(B1199,""zh_cn"",""vi"")"),"thời gian thực")</f>
        <v>thời gian thực</v>
      </c>
      <c r="G1199" s="12"/>
      <c r="H1199" s="6"/>
      <c r="I1199" s="11" t="b">
        <f t="shared" si="2"/>
        <v>0</v>
      </c>
      <c r="J1199" s="24"/>
      <c r="K1199" s="11" t="b">
        <f t="shared" si="3"/>
        <v>0</v>
      </c>
    </row>
    <row r="1200" ht="22.5" customHeight="1">
      <c r="A1200" s="12">
        <f t="shared" si="4"/>
        <v>4798</v>
      </c>
      <c r="B1200" s="6" t="s">
        <v>13604</v>
      </c>
      <c r="C1200" s="7" t="str">
        <f t="shared" si="7"/>
        <v>🔊</v>
      </c>
      <c r="D1200" s="8" t="s">
        <v>13605</v>
      </c>
      <c r="E1200" s="6" t="s">
        <v>27</v>
      </c>
      <c r="F1200" s="12" t="str">
        <f>IFERROR(__xludf.DUMMYFUNCTION("GOOGLETRANSLATE(B1200,""zh_cn"",""vi"")"),"tốc độ")</f>
        <v>tốc độ</v>
      </c>
      <c r="G1200" s="12"/>
      <c r="H1200" s="6"/>
      <c r="I1200" s="11" t="b">
        <f t="shared" si="2"/>
        <v>0</v>
      </c>
      <c r="J1200" s="24"/>
      <c r="K1200" s="11" t="b">
        <f t="shared" si="3"/>
        <v>0</v>
      </c>
    </row>
    <row r="1201" ht="22.5" customHeight="1">
      <c r="A1201" s="12">
        <f t="shared" si="4"/>
        <v>4799</v>
      </c>
      <c r="B1201" s="6" t="s">
        <v>13606</v>
      </c>
      <c r="C1201" s="7" t="str">
        <f t="shared" si="7"/>
        <v>🔊</v>
      </c>
      <c r="D1201" s="8" t="s">
        <v>13607</v>
      </c>
      <c r="E1201" s="6" t="s">
        <v>13</v>
      </c>
      <c r="F1201" s="12" t="str">
        <f>IFERROR(__xludf.DUMMYFUNCTION("GOOGLETRANSLATE(B1201,""zh_cn"",""vi"")"),"nỗ lực")</f>
        <v>nỗ lực</v>
      </c>
      <c r="G1201" s="12"/>
      <c r="H1201" s="6"/>
      <c r="I1201" s="11" t="b">
        <f t="shared" si="2"/>
        <v>0</v>
      </c>
      <c r="J1201" s="24"/>
      <c r="K1201" s="11" t="b">
        <f t="shared" si="3"/>
        <v>0</v>
      </c>
    </row>
    <row r="1202" ht="22.5" customHeight="1">
      <c r="A1202" s="12">
        <f t="shared" si="4"/>
        <v>4800</v>
      </c>
      <c r="B1202" s="6" t="s">
        <v>13608</v>
      </c>
      <c r="C1202" s="7" t="str">
        <f t="shared" si="7"/>
        <v>🔊</v>
      </c>
      <c r="D1202" s="8" t="s">
        <v>9631</v>
      </c>
      <c r="E1202" s="6" t="s">
        <v>27</v>
      </c>
      <c r="F1202" s="12" t="str">
        <f>IFERROR(__xludf.DUMMYFUNCTION("GOOGLETRANSLATE(B1202,""zh_cn"",""vi"")"),"giao dịch")</f>
        <v>giao dịch</v>
      </c>
      <c r="G1202" s="12"/>
      <c r="H1202" s="6"/>
      <c r="I1202" s="11" t="b">
        <f t="shared" si="2"/>
        <v>0</v>
      </c>
      <c r="J1202" s="24"/>
      <c r="K1202" s="11" t="b">
        <f t="shared" si="3"/>
        <v>0</v>
      </c>
    </row>
    <row r="1203" ht="22.5" customHeight="1">
      <c r="A1203" s="12">
        <f t="shared" si="4"/>
        <v>4801</v>
      </c>
      <c r="B1203" s="6" t="s">
        <v>13609</v>
      </c>
      <c r="C1203" s="7" t="str">
        <f t="shared" si="7"/>
        <v>🔊</v>
      </c>
      <c r="D1203" s="8" t="s">
        <v>13610</v>
      </c>
      <c r="E1203" s="6" t="s">
        <v>27</v>
      </c>
      <c r="F1203" s="12" t="str">
        <f>IFERROR(__xludf.DUMMYFUNCTION("GOOGLETRANSLATE(B1203,""zh_cn"",""vi"")"),"vấn đề")</f>
        <v>vấn đề</v>
      </c>
      <c r="G1203" s="12"/>
      <c r="H1203" s="6"/>
      <c r="I1203" s="11" t="b">
        <f t="shared" si="2"/>
        <v>0</v>
      </c>
      <c r="J1203" s="24"/>
      <c r="K1203" s="11" t="b">
        <f t="shared" si="3"/>
        <v>0</v>
      </c>
    </row>
    <row r="1204" ht="22.5" customHeight="1">
      <c r="A1204" s="12">
        <f t="shared" si="4"/>
        <v>4802</v>
      </c>
      <c r="B1204" s="6" t="s">
        <v>13611</v>
      </c>
      <c r="C1204" s="7" t="str">
        <f t="shared" si="7"/>
        <v>🔊</v>
      </c>
      <c r="D1204" s="8" t="s">
        <v>13612</v>
      </c>
      <c r="E1204" s="6" t="s">
        <v>99</v>
      </c>
      <c r="F1204" s="12" t="str">
        <f>IFERROR(__xludf.DUMMYFUNCTION("GOOGLETRANSLATE(B1204,""zh_cn"",""vi"")"),"thích hợp")</f>
        <v>thích hợp</v>
      </c>
      <c r="G1204" s="12"/>
      <c r="H1204" s="6"/>
      <c r="I1204" s="11" t="b">
        <f t="shared" si="2"/>
        <v>0</v>
      </c>
      <c r="J1204" s="24"/>
      <c r="K1204" s="11" t="b">
        <f t="shared" si="3"/>
        <v>0</v>
      </c>
    </row>
    <row r="1205" ht="22.5" customHeight="1">
      <c r="A1205" s="12">
        <f t="shared" si="4"/>
        <v>4803</v>
      </c>
      <c r="B1205" s="6" t="s">
        <v>13613</v>
      </c>
      <c r="C1205" s="7" t="str">
        <f t="shared" si="7"/>
        <v>🔊</v>
      </c>
      <c r="D1205" s="8" t="s">
        <v>13614</v>
      </c>
      <c r="E1205" s="6" t="s">
        <v>27</v>
      </c>
      <c r="F1205" s="12" t="str">
        <f>IFERROR(__xludf.DUMMYFUNCTION("GOOGLETRANSLATE(B1205,""zh_cn"",""vi"")"),"dầu")</f>
        <v>dầu</v>
      </c>
      <c r="G1205" s="12"/>
      <c r="H1205" s="6"/>
      <c r="I1205" s="11" t="b">
        <f t="shared" si="2"/>
        <v>0</v>
      </c>
      <c r="J1205" s="24"/>
      <c r="K1205" s="11" t="b">
        <f t="shared" si="3"/>
        <v>0</v>
      </c>
    </row>
    <row r="1206" ht="22.5" customHeight="1">
      <c r="A1206" s="12">
        <f t="shared" si="4"/>
        <v>4804</v>
      </c>
      <c r="B1206" s="6" t="s">
        <v>13615</v>
      </c>
      <c r="C1206" s="7" t="str">
        <f t="shared" si="7"/>
        <v>🔊</v>
      </c>
      <c r="D1206" s="8" t="s">
        <v>13616</v>
      </c>
      <c r="E1206" s="6" t="s">
        <v>27</v>
      </c>
      <c r="F1206" s="12" t="str">
        <f>IFERROR(__xludf.DUMMYFUNCTION("GOOGLETRANSLATE(B1206,""zh_cn"",""vi"")"),"sự thèm ăn")</f>
        <v>sự thèm ăn</v>
      </c>
      <c r="G1206" s="12"/>
      <c r="H1206" s="6"/>
      <c r="I1206" s="11" t="b">
        <f t="shared" si="2"/>
        <v>0</v>
      </c>
      <c r="J1206" s="24"/>
      <c r="K1206" s="11" t="b">
        <f t="shared" si="3"/>
        <v>0</v>
      </c>
    </row>
    <row r="1207" ht="22.5" customHeight="1">
      <c r="A1207" s="12">
        <f t="shared" si="4"/>
        <v>4805</v>
      </c>
      <c r="B1207" s="6" t="s">
        <v>13617</v>
      </c>
      <c r="C1207" s="7" t="str">
        <f t="shared" si="7"/>
        <v>🔊</v>
      </c>
      <c r="D1207" s="8" t="s">
        <v>13618</v>
      </c>
      <c r="E1207" s="6" t="s">
        <v>27</v>
      </c>
      <c r="F1207" s="12" t="str">
        <f>IFERROR(__xludf.DUMMYFUNCTION("GOOGLETRANSLATE(B1207,""zh_cn"",""vi"")"),"chất")</f>
        <v>chất</v>
      </c>
      <c r="G1207" s="12"/>
      <c r="H1207" s="6"/>
      <c r="I1207" s="11" t="b">
        <f t="shared" si="2"/>
        <v>0</v>
      </c>
      <c r="J1207" s="24"/>
      <c r="K1207" s="11" t="b">
        <f t="shared" si="3"/>
        <v>0</v>
      </c>
    </row>
    <row r="1208" ht="22.5" customHeight="1">
      <c r="A1208" s="12">
        <f t="shared" si="4"/>
        <v>4806</v>
      </c>
      <c r="B1208" s="6" t="s">
        <v>13619</v>
      </c>
      <c r="C1208" s="7" t="str">
        <f t="shared" si="7"/>
        <v>🔊</v>
      </c>
      <c r="D1208" s="8" t="s">
        <v>13620</v>
      </c>
      <c r="E1208" s="6" t="s">
        <v>27</v>
      </c>
      <c r="F1208" s="12" t="str">
        <f>IFERROR(__xludf.DUMMYFUNCTION("GOOGLETRANSLATE(B1208,""zh_cn"",""vi"")"),"con sư tử")</f>
        <v>con sư tử</v>
      </c>
      <c r="G1208" s="12"/>
      <c r="H1208" s="6"/>
      <c r="I1208" s="11" t="b">
        <f t="shared" si="2"/>
        <v>0</v>
      </c>
      <c r="J1208" s="24"/>
      <c r="K1208" s="11" t="b">
        <f t="shared" si="3"/>
        <v>0</v>
      </c>
    </row>
    <row r="1209" ht="22.5" customHeight="1">
      <c r="A1209" s="12">
        <f t="shared" si="4"/>
        <v>4807</v>
      </c>
      <c r="B1209" s="6" t="s">
        <v>13621</v>
      </c>
      <c r="C1209" s="7" t="str">
        <f t="shared" si="7"/>
        <v>🔊</v>
      </c>
      <c r="D1209" s="8" t="s">
        <v>13622</v>
      </c>
      <c r="E1209" s="6" t="s">
        <v>99</v>
      </c>
      <c r="F1209" s="12" t="str">
        <f>IFERROR(__xludf.DUMMYFUNCTION("GOOGLETRANSLATE(B1209,""zh_cn"",""vi"")"),"Đầy")</f>
        <v>Đầy</v>
      </c>
      <c r="G1209" s="12"/>
      <c r="H1209" s="6"/>
      <c r="I1209" s="11" t="b">
        <f t="shared" si="2"/>
        <v>0</v>
      </c>
      <c r="J1209" s="24"/>
      <c r="K1209" s="11" t="b">
        <f t="shared" si="3"/>
        <v>0</v>
      </c>
    </row>
    <row r="1210" ht="22.5" customHeight="1">
      <c r="A1210" s="12">
        <f t="shared" si="4"/>
        <v>4808</v>
      </c>
      <c r="B1210" s="6" t="s">
        <v>13623</v>
      </c>
      <c r="C1210" s="7" t="str">
        <f t="shared" si="7"/>
        <v>🔊</v>
      </c>
      <c r="D1210" s="8" t="s">
        <v>13624</v>
      </c>
      <c r="E1210" s="6" t="s">
        <v>27</v>
      </c>
      <c r="F1210" s="12" t="str">
        <f>IFERROR(__xludf.DUMMYFUNCTION("GOOGLETRANSLATE(B1210,""zh_cn"",""vi"")"),"cánh tay")</f>
        <v>cánh tay</v>
      </c>
      <c r="G1210" s="12"/>
      <c r="H1210" s="6"/>
      <c r="I1210" s="11" t="b">
        <f t="shared" si="2"/>
        <v>0</v>
      </c>
      <c r="J1210" s="24"/>
      <c r="K1210" s="11" t="b">
        <f t="shared" si="3"/>
        <v>0</v>
      </c>
    </row>
    <row r="1211" ht="22.5" customHeight="1">
      <c r="A1211" s="12">
        <f t="shared" si="4"/>
        <v>4809</v>
      </c>
      <c r="B1211" s="6" t="s">
        <v>13625</v>
      </c>
      <c r="C1211" s="7" t="str">
        <f t="shared" si="7"/>
        <v>🔊</v>
      </c>
      <c r="D1211" s="8" t="s">
        <v>13626</v>
      </c>
      <c r="E1211" s="6" t="s">
        <v>13</v>
      </c>
      <c r="F1211" s="12" t="str">
        <f>IFERROR(__xludf.DUMMYFUNCTION("GOOGLETRANSLATE(B1211,""zh_cn"",""vi"")"),"sưu tầm")</f>
        <v>sưu tầm</v>
      </c>
      <c r="G1211" s="12"/>
      <c r="H1211" s="6"/>
      <c r="I1211" s="11" t="b">
        <f t="shared" si="2"/>
        <v>0</v>
      </c>
      <c r="J1211" s="24"/>
      <c r="K1211" s="11" t="b">
        <f t="shared" si="3"/>
        <v>0</v>
      </c>
    </row>
    <row r="1212" ht="22.5" customHeight="1">
      <c r="A1212" s="12">
        <f t="shared" si="4"/>
        <v>4810</v>
      </c>
      <c r="B1212" s="6" t="s">
        <v>13627</v>
      </c>
      <c r="C1212" s="7" t="str">
        <f t="shared" si="7"/>
        <v>🔊</v>
      </c>
      <c r="D1212" s="8" t="s">
        <v>13628</v>
      </c>
      <c r="E1212" s="6" t="s">
        <v>27</v>
      </c>
      <c r="F1212" s="12" t="str">
        <f>IFERROR(__xludf.DUMMYFUNCTION("GOOGLETRANSLATE(B1212,""zh_cn"",""vi"")"),"Kỹ thuật")</f>
        <v>Kỹ thuật</v>
      </c>
      <c r="G1212" s="12"/>
      <c r="H1212" s="6"/>
      <c r="I1212" s="11" t="b">
        <f t="shared" si="2"/>
        <v>0</v>
      </c>
      <c r="J1212" s="24"/>
      <c r="K1212" s="11" t="b">
        <f t="shared" si="3"/>
        <v>0</v>
      </c>
    </row>
    <row r="1213" ht="22.5" customHeight="1">
      <c r="A1213" s="12">
        <f t="shared" si="4"/>
        <v>4811</v>
      </c>
      <c r="B1213" s="6" t="s">
        <v>13629</v>
      </c>
      <c r="C1213" s="7" t="str">
        <f t="shared" si="7"/>
        <v>🔊</v>
      </c>
      <c r="D1213" s="8" t="s">
        <v>13630</v>
      </c>
      <c r="E1213" s="6" t="s">
        <v>13</v>
      </c>
      <c r="F1213" s="12" t="str">
        <f>IFERROR(__xludf.DUMMYFUNCTION("GOOGLETRANSLATE(B1213,""zh_cn"",""vi"")"),"Sự mua lại")</f>
        <v>Sự mua lại</v>
      </c>
      <c r="G1213" s="12"/>
      <c r="H1213" s="6"/>
      <c r="I1213" s="11" t="b">
        <f t="shared" si="2"/>
        <v>0</v>
      </c>
      <c r="J1213" s="24"/>
      <c r="K1213" s="11" t="b">
        <f t="shared" si="3"/>
        <v>0</v>
      </c>
    </row>
    <row r="1214" ht="22.5" customHeight="1">
      <c r="A1214" s="12">
        <f t="shared" si="4"/>
        <v>4812</v>
      </c>
      <c r="B1214" s="6" t="s">
        <v>13631</v>
      </c>
      <c r="C1214" s="7" t="str">
        <f t="shared" si="7"/>
        <v>🔊</v>
      </c>
      <c r="D1214" s="8" t="s">
        <v>13632</v>
      </c>
      <c r="E1214" s="6" t="s">
        <v>27</v>
      </c>
      <c r="F1214" s="12" t="str">
        <f>IFERROR(__xludf.DUMMYFUNCTION("GOOGLETRANSLATE(B1214,""zh_cn"",""vi"")"),"mạng sống")</f>
        <v>mạng sống</v>
      </c>
      <c r="G1214" s="12"/>
      <c r="H1214" s="6"/>
      <c r="I1214" s="11" t="b">
        <f t="shared" si="2"/>
        <v>0</v>
      </c>
      <c r="J1214" s="24"/>
      <c r="K1214" s="11" t="b">
        <f t="shared" si="3"/>
        <v>0</v>
      </c>
    </row>
    <row r="1215" ht="22.5" customHeight="1">
      <c r="A1215" s="12">
        <f t="shared" si="4"/>
        <v>4813</v>
      </c>
      <c r="B1215" s="6" t="s">
        <v>13633</v>
      </c>
      <c r="C1215" s="7" t="str">
        <f t="shared" si="7"/>
        <v>🔊</v>
      </c>
      <c r="D1215" s="8" t="s">
        <v>13634</v>
      </c>
      <c r="E1215" s="6" t="s">
        <v>13</v>
      </c>
      <c r="F1215" s="12" t="str">
        <f>IFERROR(__xludf.DUMMYFUNCTION("GOOGLETRANSLATE(B1215,""zh_cn"",""vi"")"),"Sưu tầm")</f>
        <v>Sưu tầm</v>
      </c>
      <c r="G1215" s="12"/>
      <c r="H1215" s="6"/>
      <c r="I1215" s="11" t="b">
        <f t="shared" si="2"/>
        <v>0</v>
      </c>
      <c r="J1215" s="24"/>
      <c r="K1215" s="11" t="b">
        <f t="shared" si="3"/>
        <v>0</v>
      </c>
    </row>
    <row r="1216" ht="22.5" customHeight="1">
      <c r="A1216" s="12">
        <f t="shared" si="4"/>
        <v>4814</v>
      </c>
      <c r="B1216" s="6" t="s">
        <v>13635</v>
      </c>
      <c r="C1216" s="7" t="str">
        <f t="shared" si="7"/>
        <v>🔊</v>
      </c>
      <c r="D1216" s="8" t="s">
        <v>13636</v>
      </c>
      <c r="E1216" s="6" t="s">
        <v>27</v>
      </c>
      <c r="F1216" s="12" t="str">
        <f>IFERROR(__xludf.DUMMYFUNCTION("GOOGLETRANSLATE(B1216,""zh_cn"",""vi"")"),"cử chỉ")</f>
        <v>cử chỉ</v>
      </c>
      <c r="G1216" s="12"/>
      <c r="H1216" s="6"/>
      <c r="I1216" s="11" t="b">
        <f t="shared" si="2"/>
        <v>0</v>
      </c>
      <c r="J1216" s="24"/>
      <c r="K1216" s="11" t="b">
        <f t="shared" si="3"/>
        <v>0</v>
      </c>
    </row>
    <row r="1217" ht="22.5" customHeight="1">
      <c r="A1217" s="12">
        <f t="shared" si="4"/>
        <v>4815</v>
      </c>
      <c r="B1217" s="6" t="s">
        <v>13637</v>
      </c>
      <c r="C1217" s="7" t="str">
        <f t="shared" si="7"/>
        <v>🔊</v>
      </c>
      <c r="D1217" s="8" t="s">
        <v>13638</v>
      </c>
      <c r="E1217" s="6" t="s">
        <v>99</v>
      </c>
      <c r="F1217" s="12" t="str">
        <f>IFERROR(__xludf.DUMMYFUNCTION("GOOGLETRANSLATE(B1217,""zh_cn"",""vi"")"),"Đầu tiên")</f>
        <v>Đầu tiên</v>
      </c>
      <c r="G1217" s="12"/>
      <c r="H1217" s="6"/>
      <c r="I1217" s="11" t="b">
        <f t="shared" si="2"/>
        <v>0</v>
      </c>
      <c r="J1217" s="24"/>
      <c r="K1217" s="11" t="b">
        <f t="shared" si="3"/>
        <v>0</v>
      </c>
    </row>
    <row r="1218" ht="22.5" customHeight="1">
      <c r="A1218" s="12">
        <f t="shared" si="4"/>
        <v>4816</v>
      </c>
      <c r="B1218" s="6" t="s">
        <v>13639</v>
      </c>
      <c r="C1218" s="7" t="str">
        <f t="shared" si="7"/>
        <v>🔊</v>
      </c>
      <c r="D1218" s="8" t="s">
        <v>13640</v>
      </c>
      <c r="E1218" s="6" t="s">
        <v>27</v>
      </c>
      <c r="F1218" s="12" t="str">
        <f>IFERROR(__xludf.DUMMYFUNCTION("GOOGLETRANSLATE(B1218,""zh_cn"",""vi"")"),"thu nhập")</f>
        <v>thu nhập</v>
      </c>
      <c r="G1218" s="12"/>
      <c r="H1218" s="6"/>
      <c r="I1218" s="11" t="b">
        <f t="shared" si="2"/>
        <v>0</v>
      </c>
      <c r="J1218" s="24"/>
      <c r="K1218" s="11" t="b">
        <f t="shared" si="3"/>
        <v>0</v>
      </c>
    </row>
    <row r="1219" ht="22.5" customHeight="1">
      <c r="A1219" s="12">
        <f t="shared" si="4"/>
        <v>4817</v>
      </c>
      <c r="B1219" s="6" t="s">
        <v>13641</v>
      </c>
      <c r="C1219" s="7" t="str">
        <f t="shared" si="7"/>
        <v>🔊</v>
      </c>
      <c r="D1219" s="8" t="s">
        <v>13642</v>
      </c>
      <c r="E1219" s="6" t="s">
        <v>13</v>
      </c>
      <c r="F1219" s="12" t="str">
        <f>IFERROR(__xludf.DUMMYFUNCTION("GOOGLETRANSLATE(B1219,""zh_cn"",""vi"")"),"Thảm họa")</f>
        <v>Thảm họa</v>
      </c>
      <c r="G1219" s="12"/>
      <c r="H1219" s="6"/>
      <c r="I1219" s="11" t="b">
        <f t="shared" si="2"/>
        <v>0</v>
      </c>
      <c r="J1219" s="24"/>
      <c r="K1219" s="11" t="b">
        <f t="shared" si="3"/>
        <v>0</v>
      </c>
    </row>
    <row r="1220" ht="22.5" customHeight="1">
      <c r="A1220" s="12">
        <f t="shared" si="4"/>
        <v>4818</v>
      </c>
      <c r="B1220" s="6" t="s">
        <v>13643</v>
      </c>
      <c r="C1220" s="7" t="str">
        <f t="shared" si="7"/>
        <v>🔊</v>
      </c>
      <c r="D1220" s="8" t="s">
        <v>2819</v>
      </c>
      <c r="E1220" s="6" t="s">
        <v>4943</v>
      </c>
      <c r="F1220" s="12" t="str">
        <f>IFERROR(__xludf.DUMMYFUNCTION("GOOGLETRANSLATE(B1220,""zh_cn"",""vi"")"),"thẳng đứng")</f>
        <v>thẳng đứng</v>
      </c>
      <c r="G1220" s="12"/>
      <c r="H1220" s="6"/>
      <c r="I1220" s="11" t="b">
        <f t="shared" si="2"/>
        <v>0</v>
      </c>
      <c r="J1220" s="24"/>
      <c r="K1220" s="11" t="b">
        <f t="shared" si="3"/>
        <v>0</v>
      </c>
    </row>
    <row r="1221" ht="22.5" customHeight="1">
      <c r="A1221" s="12">
        <f t="shared" si="4"/>
        <v>4819</v>
      </c>
      <c r="B1221" s="6" t="s">
        <v>13644</v>
      </c>
      <c r="C1221" s="7" t="str">
        <f t="shared" si="7"/>
        <v>🔊</v>
      </c>
      <c r="D1221" s="8" t="s">
        <v>9713</v>
      </c>
      <c r="E1221" s="6" t="s">
        <v>13</v>
      </c>
      <c r="F1221" s="12" t="str">
        <f>IFERROR(__xludf.DUMMYFUNCTION("GOOGLETRANSLATE(B1221,""zh_cn"",""vi"")"),"chi")</f>
        <v>chi</v>
      </c>
      <c r="G1221" s="12"/>
      <c r="H1221" s="6"/>
      <c r="I1221" s="11" t="b">
        <f t="shared" si="2"/>
        <v>0</v>
      </c>
      <c r="J1221" s="24"/>
      <c r="K1221" s="11" t="b">
        <f t="shared" si="3"/>
        <v>0</v>
      </c>
    </row>
    <row r="1222" ht="22.5" customHeight="1">
      <c r="A1222" s="12">
        <f t="shared" si="4"/>
        <v>4820</v>
      </c>
      <c r="B1222" s="6" t="s">
        <v>13645</v>
      </c>
      <c r="C1222" s="7" t="str">
        <f t="shared" si="7"/>
        <v>🔊</v>
      </c>
      <c r="D1222" s="8" t="s">
        <v>13646</v>
      </c>
      <c r="E1222" s="6" t="s">
        <v>99</v>
      </c>
      <c r="F1222" s="12" t="str">
        <f>IFERROR(__xludf.DUMMYFUNCTION("GOOGLETRANSLATE(B1222,""zh_cn"",""vi"")"),"sự lão hóa")</f>
        <v>sự lão hóa</v>
      </c>
      <c r="G1222" s="12"/>
      <c r="H1222" s="6"/>
      <c r="I1222" s="11" t="b">
        <f t="shared" si="2"/>
        <v>0</v>
      </c>
      <c r="J1222" s="24"/>
      <c r="K1222" s="11" t="b">
        <f t="shared" si="3"/>
        <v>0</v>
      </c>
    </row>
    <row r="1223" ht="22.5" customHeight="1">
      <c r="A1223" s="12">
        <f t="shared" si="4"/>
        <v>4821</v>
      </c>
      <c r="B1223" s="6" t="s">
        <v>13647</v>
      </c>
      <c r="C1223" s="7" t="str">
        <f t="shared" si="7"/>
        <v>🔊</v>
      </c>
      <c r="D1223" s="8" t="s">
        <v>13648</v>
      </c>
      <c r="E1223" s="6" t="s">
        <v>13</v>
      </c>
      <c r="F1223" s="12" t="str">
        <f>IFERROR(__xludf.DUMMYFUNCTION("GOOGLETRANSLATE(B1223,""zh_cn"",""vi"")"),"Chỉ huy")</f>
        <v>Chỉ huy</v>
      </c>
      <c r="G1223" s="12"/>
      <c r="H1223" s="6"/>
      <c r="I1223" s="11" t="b">
        <f t="shared" si="2"/>
        <v>0</v>
      </c>
      <c r="J1223" s="24"/>
      <c r="K1223" s="11" t="b">
        <f t="shared" si="3"/>
        <v>0</v>
      </c>
    </row>
    <row r="1224" ht="22.5" customHeight="1">
      <c r="A1224" s="12">
        <f t="shared" si="4"/>
        <v>4822</v>
      </c>
      <c r="B1224" s="6" t="s">
        <v>13649</v>
      </c>
      <c r="C1224" s="7" t="str">
        <f t="shared" si="7"/>
        <v>🔊</v>
      </c>
      <c r="D1224" s="8" t="s">
        <v>13650</v>
      </c>
      <c r="E1224" s="6" t="s">
        <v>61</v>
      </c>
      <c r="F1224" s="12" t="str">
        <f>IFERROR(__xludf.DUMMYFUNCTION("GOOGLETRANSLATE(B1224,""zh_cn"",""vi"")"),"Đầu tiên")</f>
        <v>Đầu tiên</v>
      </c>
      <c r="G1224" s="12"/>
      <c r="H1224" s="6"/>
      <c r="I1224" s="11" t="b">
        <f t="shared" si="2"/>
        <v>0</v>
      </c>
      <c r="J1224" s="24"/>
      <c r="K1224" s="11" t="b">
        <f t="shared" si="3"/>
        <v>0</v>
      </c>
    </row>
    <row r="1225" ht="22.5" customHeight="1">
      <c r="A1225" s="12">
        <f t="shared" si="4"/>
        <v>4823</v>
      </c>
      <c r="B1225" s="6" t="s">
        <v>13651</v>
      </c>
      <c r="C1225" s="7" t="str">
        <f t="shared" si="7"/>
        <v>🔊</v>
      </c>
      <c r="D1225" s="8" t="s">
        <v>13652</v>
      </c>
      <c r="E1225" s="6" t="s">
        <v>13</v>
      </c>
      <c r="F1225" s="12" t="str">
        <f>IFERROR(__xludf.DUMMYFUNCTION("GOOGLETRANSLATE(B1225,""zh_cn"",""vi"")"),"Đầu ra")</f>
        <v>Đầu ra</v>
      </c>
      <c r="G1225" s="12"/>
      <c r="H1225" s="6"/>
      <c r="I1225" s="11" t="b">
        <f t="shared" si="2"/>
        <v>0</v>
      </c>
      <c r="J1225" s="24"/>
      <c r="K1225" s="11" t="b">
        <f t="shared" si="3"/>
        <v>0</v>
      </c>
    </row>
    <row r="1226" ht="22.5" customHeight="1">
      <c r="A1226" s="12">
        <f t="shared" si="4"/>
        <v>4824</v>
      </c>
      <c r="B1226" s="6" t="s">
        <v>13653</v>
      </c>
      <c r="C1226" s="7" t="str">
        <f t="shared" si="7"/>
        <v>🔊</v>
      </c>
      <c r="D1226" s="8" t="s">
        <v>13654</v>
      </c>
      <c r="E1226" s="6" t="s">
        <v>27</v>
      </c>
      <c r="F1226" s="12" t="str">
        <f>IFERROR(__xludf.DUMMYFUNCTION("GOOGLETRANSLATE(B1226,""zh_cn"",""vi"")"),"hội họa và thư pháp")</f>
        <v>hội họa và thư pháp</v>
      </c>
      <c r="G1226" s="12"/>
      <c r="H1226" s="6"/>
      <c r="I1226" s="11" t="b">
        <f t="shared" si="2"/>
        <v>0</v>
      </c>
      <c r="J1226" s="24"/>
      <c r="K1226" s="11" t="b">
        <f t="shared" si="3"/>
        <v>0</v>
      </c>
    </row>
    <row r="1227" ht="22.5" customHeight="1">
      <c r="A1227" s="12">
        <f t="shared" si="4"/>
        <v>4825</v>
      </c>
      <c r="B1227" s="6" t="s">
        <v>13655</v>
      </c>
      <c r="C1227" s="7" t="str">
        <f t="shared" si="7"/>
        <v>🔊</v>
      </c>
      <c r="D1227" s="8" t="s">
        <v>13656</v>
      </c>
      <c r="E1227" s="6" t="s">
        <v>27</v>
      </c>
      <c r="F1227" s="12" t="str">
        <f>IFERROR(__xludf.DUMMYFUNCTION("GOOGLETRANSLATE(B1227,""zh_cn"",""vi"")"),"cơm")</f>
        <v>cơm</v>
      </c>
      <c r="G1227" s="12"/>
      <c r="H1227" s="6"/>
      <c r="I1227" s="11" t="b">
        <f t="shared" si="2"/>
        <v>0</v>
      </c>
      <c r="J1227" s="24"/>
      <c r="K1227" s="11" t="b">
        <f t="shared" si="3"/>
        <v>0</v>
      </c>
    </row>
    <row r="1228" ht="22.5" customHeight="1">
      <c r="A1228" s="12">
        <f t="shared" si="4"/>
        <v>4826</v>
      </c>
      <c r="B1228" s="6" t="s">
        <v>13657</v>
      </c>
      <c r="C1228" s="7" t="str">
        <f t="shared" si="7"/>
        <v>🔊</v>
      </c>
      <c r="D1228" s="8" t="s">
        <v>13658</v>
      </c>
      <c r="E1228" s="6" t="s">
        <v>27</v>
      </c>
      <c r="F1228" s="12" t="str">
        <f>IFERROR(__xludf.DUMMYFUNCTION("GOOGLETRANSLATE(B1228,""zh_cn"",""vi"")"),"hồ chứa")</f>
        <v>hồ chứa</v>
      </c>
      <c r="G1228" s="12"/>
      <c r="H1228" s="6"/>
      <c r="I1228" s="11" t="b">
        <f t="shared" si="2"/>
        <v>0</v>
      </c>
      <c r="J1228" s="24"/>
      <c r="K1228" s="11" t="b">
        <f t="shared" si="3"/>
        <v>0</v>
      </c>
    </row>
    <row r="1229" ht="22.5" customHeight="1">
      <c r="A1229" s="12">
        <f t="shared" si="4"/>
        <v>4827</v>
      </c>
      <c r="B1229" s="6" t="s">
        <v>13659</v>
      </c>
      <c r="C1229" s="7" t="str">
        <f t="shared" si="7"/>
        <v>🔊</v>
      </c>
      <c r="D1229" s="8" t="s">
        <v>13660</v>
      </c>
      <c r="E1229" s="6" t="s">
        <v>27</v>
      </c>
      <c r="F1229" s="12" t="str">
        <f>IFERROR(__xludf.DUMMYFUNCTION("GOOGLETRANSLATE(B1229,""zh_cn"",""vi"")"),"Dòng chảy của nước")</f>
        <v>Dòng chảy của nước</v>
      </c>
      <c r="G1229" s="12"/>
      <c r="H1229" s="6"/>
      <c r="I1229" s="11" t="b">
        <f t="shared" si="2"/>
        <v>0</v>
      </c>
      <c r="J1229" s="24"/>
      <c r="K1229" s="11" t="b">
        <f t="shared" si="3"/>
        <v>0</v>
      </c>
    </row>
    <row r="1230" ht="22.5" customHeight="1">
      <c r="A1230" s="12">
        <f t="shared" si="4"/>
        <v>4828</v>
      </c>
      <c r="B1230" s="6" t="s">
        <v>13661</v>
      </c>
      <c r="C1230" s="7" t="str">
        <f t="shared" si="7"/>
        <v>🔊</v>
      </c>
      <c r="D1230" s="8" t="s">
        <v>13662</v>
      </c>
      <c r="E1230" s="6" t="s">
        <v>27</v>
      </c>
      <c r="F1230" s="12" t="str">
        <f>IFERROR(__xludf.DUMMYFUNCTION("GOOGLETRANSLATE(B1230,""zh_cn"",""vi"")"),"mặt nước")</f>
        <v>mặt nước</v>
      </c>
      <c r="G1230" s="12"/>
      <c r="H1230" s="6"/>
      <c r="I1230" s="11" t="b">
        <f t="shared" si="2"/>
        <v>0</v>
      </c>
      <c r="J1230" s="24"/>
      <c r="K1230" s="11" t="b">
        <f t="shared" si="3"/>
        <v>0</v>
      </c>
    </row>
    <row r="1231" ht="22.5" customHeight="1">
      <c r="A1231" s="12">
        <f t="shared" si="4"/>
        <v>4829</v>
      </c>
      <c r="B1231" s="6" t="s">
        <v>13663</v>
      </c>
      <c r="C1231" s="7" t="str">
        <f t="shared" si="7"/>
        <v>🔊</v>
      </c>
      <c r="D1231" s="8" t="s">
        <v>13664</v>
      </c>
      <c r="E1231" s="6" t="s">
        <v>27</v>
      </c>
      <c r="F1231" s="12" t="str">
        <f>IFERROR(__xludf.DUMMYFUNCTION("GOOGLETRANSLATE(B1231,""zh_cn"",""vi"")"),"xi măng")</f>
        <v>xi măng</v>
      </c>
      <c r="G1231" s="12"/>
      <c r="H1231" s="6"/>
      <c r="I1231" s="11" t="b">
        <f t="shared" si="2"/>
        <v>0</v>
      </c>
      <c r="J1231" s="24"/>
      <c r="K1231" s="11" t="b">
        <f t="shared" si="3"/>
        <v>0</v>
      </c>
    </row>
    <row r="1232" ht="22.5" customHeight="1">
      <c r="A1232" s="12">
        <f t="shared" si="4"/>
        <v>4830</v>
      </c>
      <c r="B1232" s="6" t="s">
        <v>13665</v>
      </c>
      <c r="C1232" s="7" t="str">
        <f t="shared" si="7"/>
        <v>🔊</v>
      </c>
      <c r="D1232" s="8" t="s">
        <v>13666</v>
      </c>
      <c r="E1232" s="6" t="s">
        <v>27</v>
      </c>
      <c r="F1232" s="12" t="str">
        <f>IFERROR(__xludf.DUMMYFUNCTION("GOOGLETRANSLATE(B1232,""zh_cn"",""vi"")"),"sách")</f>
        <v>sách</v>
      </c>
      <c r="G1232" s="12"/>
      <c r="H1232" s="6"/>
      <c r="I1232" s="11" t="b">
        <f t="shared" si="2"/>
        <v>0</v>
      </c>
      <c r="J1232" s="24"/>
      <c r="K1232" s="11" t="b">
        <f t="shared" si="3"/>
        <v>0</v>
      </c>
    </row>
    <row r="1233" ht="22.5" customHeight="1">
      <c r="A1233" s="12">
        <f t="shared" si="4"/>
        <v>4831</v>
      </c>
      <c r="B1233" s="6" t="s">
        <v>13667</v>
      </c>
      <c r="C1233" s="7" t="str">
        <f t="shared" si="7"/>
        <v>🔊</v>
      </c>
      <c r="D1233" s="8" t="s">
        <v>13668</v>
      </c>
      <c r="E1233" s="6" t="s">
        <v>13</v>
      </c>
      <c r="F1233" s="12" t="str">
        <f>IFERROR(__xludf.DUMMYFUNCTION("GOOGLETRANSLATE(B1233,""zh_cn"",""vi"")"),"Thành lập")</f>
        <v>Thành lập</v>
      </c>
      <c r="G1233" s="12"/>
      <c r="H1233" s="6"/>
      <c r="I1233" s="11" t="b">
        <f t="shared" si="2"/>
        <v>0</v>
      </c>
      <c r="J1233" s="24"/>
      <c r="K1233" s="11" t="b">
        <f t="shared" si="3"/>
        <v>0</v>
      </c>
    </row>
    <row r="1234" ht="22.5" customHeight="1">
      <c r="A1234" s="12">
        <f t="shared" si="4"/>
        <v>4832</v>
      </c>
      <c r="B1234" s="6" t="s">
        <v>13669</v>
      </c>
      <c r="C1234" s="7" t="str">
        <f t="shared" si="7"/>
        <v>🔊</v>
      </c>
      <c r="D1234" s="8" t="s">
        <v>13670</v>
      </c>
      <c r="E1234" s="6" t="s">
        <v>99</v>
      </c>
      <c r="F1234" s="12" t="str">
        <f>IFERROR(__xludf.DUMMYFUNCTION("GOOGLETRANSLATE(B1234,""zh_cn"",""vi"")"),"viết")</f>
        <v>viết</v>
      </c>
      <c r="G1234" s="12"/>
      <c r="H1234" s="6"/>
      <c r="I1234" s="11" t="b">
        <f t="shared" si="2"/>
        <v>0</v>
      </c>
      <c r="J1234" s="24"/>
      <c r="K1234" s="11" t="b">
        <f t="shared" si="3"/>
        <v>0</v>
      </c>
    </row>
    <row r="1235" ht="22.5" customHeight="1">
      <c r="A1235" s="12">
        <f t="shared" si="4"/>
        <v>4833</v>
      </c>
      <c r="B1235" s="6" t="s">
        <v>13671</v>
      </c>
      <c r="C1235" s="7" t="str">
        <f t="shared" si="7"/>
        <v>🔊</v>
      </c>
      <c r="D1235" s="8" t="s">
        <v>9751</v>
      </c>
      <c r="E1235" s="6" t="s">
        <v>27</v>
      </c>
      <c r="F1235" s="12" t="str">
        <f>IFERROR(__xludf.DUMMYFUNCTION("GOOGLETRANSLATE(B1235,""zh_cn"",""vi"")"),"con số")</f>
        <v>con số</v>
      </c>
      <c r="G1235" s="12"/>
      <c r="H1235" s="6"/>
      <c r="I1235" s="11" t="b">
        <f t="shared" si="2"/>
        <v>0</v>
      </c>
      <c r="J1235" s="24"/>
      <c r="K1235" s="11" t="b">
        <f t="shared" si="3"/>
        <v>0</v>
      </c>
    </row>
    <row r="1236" ht="22.5" customHeight="1">
      <c r="A1236" s="12">
        <f t="shared" si="4"/>
        <v>4834</v>
      </c>
      <c r="B1236" s="6" t="s">
        <v>13672</v>
      </c>
      <c r="C1236" s="7" t="str">
        <f t="shared" si="7"/>
        <v>🔊</v>
      </c>
      <c r="D1236" s="8" t="s">
        <v>13673</v>
      </c>
      <c r="E1236" s="6" t="s">
        <v>27</v>
      </c>
      <c r="F1236" s="12" t="str">
        <f>IFERROR(__xludf.DUMMYFUNCTION("GOOGLETRANSLATE(B1236,""zh_cn"",""vi"")"),"chốc lát")</f>
        <v>chốc lát</v>
      </c>
      <c r="G1236" s="12"/>
      <c r="H1236" s="6"/>
      <c r="I1236" s="11" t="b">
        <f t="shared" si="2"/>
        <v>0</v>
      </c>
      <c r="J1236" s="24"/>
      <c r="K1236" s="11" t="b">
        <f t="shared" si="3"/>
        <v>0</v>
      </c>
    </row>
    <row r="1237" ht="22.5" customHeight="1">
      <c r="A1237" s="12">
        <f t="shared" si="4"/>
        <v>4835</v>
      </c>
      <c r="B1237" s="6" t="s">
        <v>13674</v>
      </c>
      <c r="C1237" s="7" t="str">
        <f t="shared" si="7"/>
        <v>🔊</v>
      </c>
      <c r="D1237" s="8" t="s">
        <v>13675</v>
      </c>
      <c r="E1237" s="6" t="s">
        <v>27</v>
      </c>
      <c r="F1237" s="12" t="str">
        <f>IFERROR(__xludf.DUMMYFUNCTION("GOOGLETRANSLATE(B1237,""zh_cn"",""vi"")"),"khoai tây chiên")</f>
        <v>khoai tây chiên</v>
      </c>
      <c r="G1237" s="12"/>
      <c r="H1237" s="6"/>
      <c r="I1237" s="11" t="b">
        <f t="shared" si="2"/>
        <v>0</v>
      </c>
      <c r="J1237" s="24"/>
      <c r="K1237" s="11" t="b">
        <f t="shared" si="3"/>
        <v>0</v>
      </c>
    </row>
    <row r="1238" ht="22.5" customHeight="1">
      <c r="A1238" s="12">
        <f t="shared" si="4"/>
        <v>4836</v>
      </c>
      <c r="B1238" s="6" t="s">
        <v>13676</v>
      </c>
      <c r="C1238" s="7" t="str">
        <f t="shared" si="7"/>
        <v>🔊</v>
      </c>
      <c r="D1238" s="8" t="s">
        <v>13677</v>
      </c>
      <c r="E1238" s="6" t="s">
        <v>13</v>
      </c>
      <c r="F1238" s="12" t="str">
        <f>IFERROR(__xludf.DUMMYFUNCTION("GOOGLETRANSLATE(B1238,""zh_cn"",""vi"")"),"vận chuyển")</f>
        <v>vận chuyển</v>
      </c>
      <c r="G1238" s="12"/>
      <c r="H1238" s="6"/>
      <c r="I1238" s="11" t="b">
        <f t="shared" si="2"/>
        <v>0</v>
      </c>
      <c r="J1238" s="24"/>
      <c r="K1238" s="11" t="b">
        <f t="shared" si="3"/>
        <v>0</v>
      </c>
    </row>
    <row r="1239" ht="22.5" customHeight="1">
      <c r="A1239" s="12">
        <f t="shared" si="4"/>
        <v>4837</v>
      </c>
      <c r="B1239" s="6" t="s">
        <v>13678</v>
      </c>
      <c r="C1239" s="7" t="str">
        <f t="shared" si="7"/>
        <v>🔊</v>
      </c>
      <c r="D1239" s="8" t="s">
        <v>13679</v>
      </c>
      <c r="E1239" s="6" t="s">
        <v>13</v>
      </c>
      <c r="F1239" s="12" t="str">
        <f>IFERROR(__xludf.DUMMYFUNCTION("GOOGLETRANSLATE(B1239,""zh_cn"",""vi"")"),"viết")</f>
        <v>viết</v>
      </c>
      <c r="G1239" s="12"/>
      <c r="H1239" s="6"/>
      <c r="I1239" s="11" t="b">
        <f t="shared" si="2"/>
        <v>0</v>
      </c>
      <c r="J1239" s="24"/>
      <c r="K1239" s="11" t="b">
        <f t="shared" si="3"/>
        <v>0</v>
      </c>
    </row>
    <row r="1240" ht="22.5" customHeight="1">
      <c r="A1240" s="12">
        <f t="shared" si="4"/>
        <v>4838</v>
      </c>
      <c r="B1240" s="6" t="s">
        <v>13680</v>
      </c>
      <c r="C1240" s="7" t="str">
        <f t="shared" si="7"/>
        <v>🔊</v>
      </c>
      <c r="D1240" s="8" t="s">
        <v>13681</v>
      </c>
      <c r="E1240" s="6" t="s">
        <v>13</v>
      </c>
      <c r="F1240" s="12" t="str">
        <f>IFERROR(__xludf.DUMMYFUNCTION("GOOGLETRANSLATE(B1240,""zh_cn"",""vi"")"),"Số hóa")</f>
        <v>Số hóa</v>
      </c>
      <c r="G1240" s="12"/>
      <c r="H1240" s="6"/>
      <c r="I1240" s="11" t="b">
        <f t="shared" si="2"/>
        <v>0</v>
      </c>
      <c r="J1240" s="24"/>
      <c r="K1240" s="11" t="b">
        <f t="shared" si="3"/>
        <v>0</v>
      </c>
    </row>
    <row r="1241" ht="22.5" customHeight="1">
      <c r="A1241" s="12">
        <f t="shared" si="4"/>
        <v>4839</v>
      </c>
      <c r="B1241" s="6" t="s">
        <v>13682</v>
      </c>
      <c r="C1241" s="7" t="str">
        <f t="shared" si="7"/>
        <v>🔊</v>
      </c>
      <c r="D1241" s="8" t="s">
        <v>13683</v>
      </c>
      <c r="E1241" s="6" t="s">
        <v>27</v>
      </c>
      <c r="F1241" s="12" t="str">
        <f>IFERROR(__xludf.DUMMYFUNCTION("GOOGLETRANSLATE(B1241,""zh_cn"",""vi"")"),"Ý tưởng")</f>
        <v>Ý tưởng</v>
      </c>
      <c r="G1241" s="12"/>
      <c r="H1241" s="6"/>
      <c r="I1241" s="11" t="b">
        <f t="shared" si="2"/>
        <v>0</v>
      </c>
      <c r="J1241" s="24"/>
      <c r="K1241" s="11" t="b">
        <f t="shared" si="3"/>
        <v>0</v>
      </c>
    </row>
    <row r="1242" ht="22.5" customHeight="1">
      <c r="A1242" s="12">
        <f t="shared" si="4"/>
        <v>4840</v>
      </c>
      <c r="B1242" s="6" t="s">
        <v>13684</v>
      </c>
      <c r="C1242" s="7" t="str">
        <f t="shared" si="7"/>
        <v>🔊</v>
      </c>
      <c r="D1242" s="8" t="s">
        <v>13685</v>
      </c>
      <c r="E1242" s="6" t="s">
        <v>13</v>
      </c>
      <c r="F1242" s="12" t="str">
        <f>IFERROR(__xludf.DUMMYFUNCTION("GOOGLETRANSLATE(B1242,""zh_cn"",""vi"")"),"cô")</f>
        <v>cô</v>
      </c>
      <c r="G1242" s="12"/>
      <c r="H1242" s="6"/>
      <c r="I1242" s="11" t="b">
        <f t="shared" si="2"/>
        <v>0</v>
      </c>
      <c r="J1242" s="24"/>
      <c r="K1242" s="11" t="b">
        <f t="shared" si="3"/>
        <v>0</v>
      </c>
    </row>
    <row r="1243" ht="22.5" customHeight="1">
      <c r="A1243" s="12">
        <f t="shared" si="4"/>
        <v>4841</v>
      </c>
      <c r="B1243" s="6" t="s">
        <v>13686</v>
      </c>
      <c r="C1243" s="7" t="str">
        <f t="shared" si="7"/>
        <v>🔊</v>
      </c>
      <c r="D1243" s="8" t="s">
        <v>13687</v>
      </c>
      <c r="E1243" s="6" t="s">
        <v>13</v>
      </c>
      <c r="F1243" s="12" t="str">
        <f>IFERROR(__xludf.DUMMYFUNCTION("GOOGLETRANSLATE(B1243,""zh_cn"",""vi"")"),"chết")</f>
        <v>chết</v>
      </c>
      <c r="G1243" s="12"/>
      <c r="H1243" s="6"/>
      <c r="I1243" s="11" t="b">
        <f t="shared" si="2"/>
        <v>0</v>
      </c>
      <c r="J1243" s="24"/>
      <c r="K1243" s="11" t="b">
        <f t="shared" si="3"/>
        <v>0</v>
      </c>
    </row>
    <row r="1244" ht="22.5" customHeight="1">
      <c r="A1244" s="12">
        <f t="shared" si="4"/>
        <v>4842</v>
      </c>
      <c r="B1244" s="6" t="s">
        <v>13688</v>
      </c>
      <c r="C1244" s="7" t="str">
        <f t="shared" si="7"/>
        <v>🔊</v>
      </c>
      <c r="D1244" s="8" t="s">
        <v>13689</v>
      </c>
      <c r="E1244" s="6" t="s">
        <v>416</v>
      </c>
      <c r="F1244" s="12" t="str">
        <f>IFERROR(__xludf.DUMMYFUNCTION("GOOGLETRANSLATE(B1244,""zh_cn"",""vi"")"),"lỏng lẻo")</f>
        <v>lỏng lẻo</v>
      </c>
      <c r="G1244" s="12"/>
      <c r="H1244" s="6"/>
      <c r="I1244" s="11" t="b">
        <f t="shared" si="2"/>
        <v>0</v>
      </c>
      <c r="J1244" s="24"/>
      <c r="K1244" s="11" t="b">
        <f t="shared" si="3"/>
        <v>0</v>
      </c>
    </row>
    <row r="1245" ht="22.5" customHeight="1">
      <c r="A1245" s="12">
        <f t="shared" si="4"/>
        <v>4843</v>
      </c>
      <c r="B1245" s="6" t="s">
        <v>13690</v>
      </c>
      <c r="C1245" s="7" t="str">
        <f t="shared" si="7"/>
        <v>🔊</v>
      </c>
      <c r="D1245" s="8" t="s">
        <v>9797</v>
      </c>
      <c r="E1245" s="6" t="s">
        <v>47</v>
      </c>
      <c r="F1245" s="12" t="str">
        <f>IFERROR(__xludf.DUMMYFUNCTION("GOOGLETRANSLATE(B1245,""zh_cn"",""vi"")"),"tàu thuyền")</f>
        <v>tàu thuyền</v>
      </c>
      <c r="G1245" s="12"/>
      <c r="H1245" s="6"/>
      <c r="I1245" s="11" t="b">
        <f t="shared" si="2"/>
        <v>0</v>
      </c>
      <c r="J1245" s="24"/>
      <c r="K1245" s="11" t="b">
        <f t="shared" si="3"/>
        <v>0</v>
      </c>
    </row>
    <row r="1246" ht="22.5" customHeight="1">
      <c r="A1246" s="12">
        <f t="shared" si="4"/>
        <v>4844</v>
      </c>
      <c r="B1246" s="6" t="s">
        <v>13691</v>
      </c>
      <c r="C1246" s="7" t="str">
        <f t="shared" si="7"/>
        <v>🔊</v>
      </c>
      <c r="D1246" s="8" t="s">
        <v>13692</v>
      </c>
      <c r="E1246" s="6" t="s">
        <v>13</v>
      </c>
      <c r="F1246" s="12" t="str">
        <f>IFERROR(__xludf.DUMMYFUNCTION("GOOGLETRANSLATE(B1246,""zh_cn"",""vi"")"),"sưu tầm")</f>
        <v>sưu tầm</v>
      </c>
      <c r="G1246" s="12"/>
      <c r="H1246" s="6"/>
      <c r="I1246" s="11" t="b">
        <f t="shared" si="2"/>
        <v>0</v>
      </c>
      <c r="J1246" s="24"/>
      <c r="K1246" s="11" t="b">
        <f t="shared" si="3"/>
        <v>0</v>
      </c>
    </row>
    <row r="1247" ht="22.5" customHeight="1">
      <c r="A1247" s="12">
        <f t="shared" si="4"/>
        <v>4845</v>
      </c>
      <c r="B1247" s="6" t="s">
        <v>13693</v>
      </c>
      <c r="C1247" s="7" t="str">
        <f t="shared" si="7"/>
        <v>🔊</v>
      </c>
      <c r="D1247" s="8" t="s">
        <v>13694</v>
      </c>
      <c r="E1247" s="6" t="s">
        <v>11861</v>
      </c>
      <c r="F1247" s="12" t="str">
        <f>IFERROR(__xludf.DUMMYFUNCTION("GOOGLETRANSLATE(B1247,""zh_cn"",""vi"")"),"đừng bận tâm")</f>
        <v>đừng bận tâm</v>
      </c>
      <c r="G1247" s="12"/>
      <c r="H1247" s="6"/>
      <c r="I1247" s="11" t="b">
        <f t="shared" si="2"/>
        <v>0</v>
      </c>
      <c r="J1247" s="24"/>
      <c r="K1247" s="11" t="b">
        <f t="shared" si="3"/>
        <v>0</v>
      </c>
    </row>
    <row r="1248" ht="22.5" customHeight="1">
      <c r="A1248" s="12">
        <f t="shared" si="4"/>
        <v>4846</v>
      </c>
      <c r="B1248" s="6" t="s">
        <v>13695</v>
      </c>
      <c r="C1248" s="7" t="str">
        <f t="shared" si="7"/>
        <v>🔊</v>
      </c>
      <c r="D1248" s="8" t="s">
        <v>13696</v>
      </c>
      <c r="E1248" s="6" t="s">
        <v>433</v>
      </c>
      <c r="F1248" s="12" t="str">
        <f>IFERROR(__xludf.DUMMYFUNCTION("GOOGLETRANSLATE(B1248,""zh_cn"",""vi"")"),"Nó có thể được coi là")</f>
        <v>Nó có thể được coi là</v>
      </c>
      <c r="G1248" s="12"/>
      <c r="H1248" s="6"/>
      <c r="I1248" s="11" t="b">
        <f t="shared" si="2"/>
        <v>0</v>
      </c>
      <c r="J1248" s="24"/>
      <c r="K1248" s="11" t="b">
        <f t="shared" si="3"/>
        <v>0</v>
      </c>
    </row>
    <row r="1249" ht="22.5" customHeight="1">
      <c r="A1249" s="12">
        <f t="shared" si="4"/>
        <v>4847</v>
      </c>
      <c r="B1249" s="6" t="s">
        <v>13697</v>
      </c>
      <c r="C1249" s="7" t="str">
        <f t="shared" si="7"/>
        <v>🔊</v>
      </c>
      <c r="D1249" s="8" t="s">
        <v>13698</v>
      </c>
      <c r="E1249" s="6" t="s">
        <v>1132</v>
      </c>
      <c r="F1249" s="12" t="str">
        <f>IFERROR(__xludf.DUMMYFUNCTION("GOOGLETRANSLATE(B1249,""zh_cn"",""vi"")"),"mặc dù")</f>
        <v>mặc dù</v>
      </c>
      <c r="G1249" s="12"/>
      <c r="H1249" s="6"/>
      <c r="I1249" s="11" t="b">
        <f t="shared" si="2"/>
        <v>0</v>
      </c>
      <c r="J1249" s="24"/>
      <c r="K1249" s="11" t="b">
        <f t="shared" si="3"/>
        <v>0</v>
      </c>
    </row>
    <row r="1250" ht="22.5" customHeight="1">
      <c r="A1250" s="12">
        <f t="shared" si="4"/>
        <v>4848</v>
      </c>
      <c r="B1250" s="6" t="s">
        <v>13699</v>
      </c>
      <c r="C1250" s="7" t="str">
        <f t="shared" si="7"/>
        <v>🔊</v>
      </c>
      <c r="D1250" s="8" t="s">
        <v>13700</v>
      </c>
      <c r="E1250" s="6" t="s">
        <v>27</v>
      </c>
      <c r="F1250" s="12" t="str">
        <f>IFERROR(__xludf.DUMMYFUNCTION("GOOGLETRANSLATE(B1250,""zh_cn"",""vi"")"),"tuổi")</f>
        <v>tuổi</v>
      </c>
      <c r="G1250" s="12"/>
      <c r="H1250" s="6"/>
      <c r="I1250" s="11" t="b">
        <f t="shared" si="2"/>
        <v>0</v>
      </c>
      <c r="J1250" s="24"/>
      <c r="K1250" s="11" t="b">
        <f t="shared" si="3"/>
        <v>0</v>
      </c>
    </row>
    <row r="1251" ht="22.5" customHeight="1">
      <c r="A1251" s="12">
        <f t="shared" si="4"/>
        <v>4849</v>
      </c>
      <c r="B1251" s="6" t="s">
        <v>13701</v>
      </c>
      <c r="C1251" s="7" t="str">
        <f t="shared" si="7"/>
        <v>🔊</v>
      </c>
      <c r="D1251" s="8" t="s">
        <v>13702</v>
      </c>
      <c r="E1251" s="6" t="s">
        <v>27</v>
      </c>
      <c r="F1251" s="12" t="str">
        <f>IFERROR(__xludf.DUMMYFUNCTION("GOOGLETRANSLATE(B1251,""zh_cn"",""vi"")"),"năm")</f>
        <v>năm</v>
      </c>
      <c r="G1251" s="12"/>
      <c r="H1251" s="6"/>
      <c r="I1251" s="11" t="b">
        <f t="shared" si="2"/>
        <v>0</v>
      </c>
      <c r="J1251" s="24"/>
      <c r="K1251" s="11" t="b">
        <f t="shared" si="3"/>
        <v>0</v>
      </c>
    </row>
    <row r="1252" ht="22.5" customHeight="1">
      <c r="A1252" s="12">
        <f t="shared" si="4"/>
        <v>4850</v>
      </c>
      <c r="B1252" s="6" t="s">
        <v>13703</v>
      </c>
      <c r="C1252" s="7" t="str">
        <f t="shared" si="7"/>
        <v>🔊</v>
      </c>
      <c r="D1252" s="8" t="s">
        <v>13704</v>
      </c>
      <c r="E1252" s="6" t="s">
        <v>13</v>
      </c>
      <c r="F1252" s="12" t="str">
        <f>IFERROR(__xludf.DUMMYFUNCTION("GOOGLETRANSLATE(B1252,""zh_cn"",""vi"")"),"hư hại")</f>
        <v>hư hại</v>
      </c>
      <c r="G1252" s="12"/>
      <c r="H1252" s="6"/>
      <c r="I1252" s="11" t="b">
        <f t="shared" si="2"/>
        <v>0</v>
      </c>
      <c r="J1252" s="24"/>
      <c r="K1252" s="11" t="b">
        <f t="shared" si="3"/>
        <v>0</v>
      </c>
    </row>
    <row r="1253" ht="22.5" customHeight="1">
      <c r="A1253" s="12">
        <f t="shared" si="4"/>
        <v>4851</v>
      </c>
      <c r="B1253" s="6" t="s">
        <v>13705</v>
      </c>
      <c r="C1253" s="7" t="str">
        <f t="shared" si="7"/>
        <v>🔊</v>
      </c>
      <c r="D1253" s="8" t="s">
        <v>13706</v>
      </c>
      <c r="E1253" s="6" t="s">
        <v>13</v>
      </c>
      <c r="F1253" s="12" t="str">
        <f>IFERROR(__xludf.DUMMYFUNCTION("GOOGLETRANSLATE(B1253,""zh_cn"",""vi"")"),"hư hại")</f>
        <v>hư hại</v>
      </c>
      <c r="G1253" s="12"/>
      <c r="H1253" s="6"/>
      <c r="I1253" s="11" t="b">
        <f t="shared" si="2"/>
        <v>0</v>
      </c>
      <c r="J1253" s="24"/>
      <c r="K1253" s="11" t="b">
        <f t="shared" si="3"/>
        <v>0</v>
      </c>
    </row>
    <row r="1254" ht="22.5" customHeight="1">
      <c r="A1254" s="12">
        <f t="shared" si="4"/>
        <v>4852</v>
      </c>
      <c r="B1254" s="6" t="s">
        <v>13707</v>
      </c>
      <c r="C1254" s="7" t="str">
        <f t="shared" si="7"/>
        <v>🔊</v>
      </c>
      <c r="D1254" s="8" t="s">
        <v>9829</v>
      </c>
      <c r="E1254" s="6" t="s">
        <v>18</v>
      </c>
      <c r="F1254" s="12" t="str">
        <f>IFERROR(__xludf.DUMMYFUNCTION("GOOGLETRANSLATE(B1254,""zh_cn"",""vi"")"),"Viện 2")</f>
        <v>Viện 2</v>
      </c>
      <c r="G1254" s="12"/>
      <c r="H1254" s="6"/>
      <c r="I1254" s="11" t="b">
        <f t="shared" si="2"/>
        <v>0</v>
      </c>
      <c r="J1254" s="24"/>
      <c r="K1254" s="11" t="b">
        <f t="shared" si="3"/>
        <v>0</v>
      </c>
    </row>
    <row r="1255" ht="22.5" customHeight="1">
      <c r="A1255" s="12">
        <f t="shared" si="4"/>
        <v>4853</v>
      </c>
      <c r="B1255" s="6" t="s">
        <v>13708</v>
      </c>
      <c r="C1255" s="7" t="str">
        <f t="shared" si="7"/>
        <v>🔊</v>
      </c>
      <c r="D1255" s="8" t="s">
        <v>13709</v>
      </c>
      <c r="E1255" s="6" t="s">
        <v>13</v>
      </c>
      <c r="F1255" s="12" t="str">
        <f>IFERROR(__xludf.DUMMYFUNCTION("GOOGLETRANSLATE(B1255,""zh_cn"",""vi"")"),"hình dạng")</f>
        <v>hình dạng</v>
      </c>
      <c r="G1255" s="12"/>
      <c r="H1255" s="6"/>
      <c r="I1255" s="11" t="b">
        <f t="shared" si="2"/>
        <v>0</v>
      </c>
      <c r="J1255" s="24"/>
      <c r="K1255" s="11" t="b">
        <f t="shared" si="3"/>
        <v>0</v>
      </c>
    </row>
    <row r="1256" ht="22.5" customHeight="1">
      <c r="A1256" s="12">
        <f t="shared" si="4"/>
        <v>4854</v>
      </c>
      <c r="B1256" s="6" t="s">
        <v>13710</v>
      </c>
      <c r="C1256" s="7" t="str">
        <f t="shared" si="7"/>
        <v>🔊</v>
      </c>
      <c r="D1256" s="8" t="s">
        <v>13711</v>
      </c>
      <c r="E1256" s="6" t="s">
        <v>27</v>
      </c>
      <c r="F1256" s="12" t="str">
        <f>IFERROR(__xludf.DUMMYFUNCTION("GOOGLETRANSLATE(B1256,""zh_cn"",""vi"")"),"chất lượng")</f>
        <v>chất lượng</v>
      </c>
      <c r="G1256" s="12"/>
      <c r="H1256" s="6"/>
      <c r="I1256" s="11" t="b">
        <f t="shared" si="2"/>
        <v>0</v>
      </c>
      <c r="J1256" s="24"/>
      <c r="K1256" s="11" t="b">
        <f t="shared" si="3"/>
        <v>0</v>
      </c>
    </row>
    <row r="1257" ht="22.5" customHeight="1">
      <c r="A1257" s="12">
        <f t="shared" si="4"/>
        <v>4855</v>
      </c>
      <c r="B1257" s="6" t="s">
        <v>13712</v>
      </c>
      <c r="C1257" s="7" t="str">
        <f t="shared" si="7"/>
        <v>🔊</v>
      </c>
      <c r="D1257" s="8" t="s">
        <v>13713</v>
      </c>
      <c r="E1257" s="6" t="s">
        <v>27</v>
      </c>
      <c r="F1257" s="12" t="str">
        <f>IFERROR(__xludf.DUMMYFUNCTION("GOOGLETRANSLATE(B1257,""zh_cn"",""vi"")"),"tháp")</f>
        <v>tháp</v>
      </c>
      <c r="G1257" s="12"/>
      <c r="H1257" s="6"/>
      <c r="I1257" s="11" t="b">
        <f t="shared" si="2"/>
        <v>0</v>
      </c>
      <c r="J1257" s="24"/>
      <c r="K1257" s="11" t="b">
        <f t="shared" si="3"/>
        <v>0</v>
      </c>
    </row>
    <row r="1258" ht="22.5" customHeight="1">
      <c r="A1258" s="12">
        <f t="shared" si="4"/>
        <v>4856</v>
      </c>
      <c r="B1258" s="6" t="s">
        <v>13714</v>
      </c>
      <c r="C1258" s="7" t="str">
        <f t="shared" si="7"/>
        <v>🔊</v>
      </c>
      <c r="D1258" s="8" t="s">
        <v>13715</v>
      </c>
      <c r="E1258" s="6" t="s">
        <v>27</v>
      </c>
      <c r="F1258" s="12" t="str">
        <f>IFERROR(__xludf.DUMMYFUNCTION("GOOGLETRANSLATE(B1258,""zh_cn"",""vi"")"),"bão")</f>
        <v>bão</v>
      </c>
      <c r="G1258" s="12"/>
      <c r="H1258" s="6"/>
      <c r="I1258" s="11" t="b">
        <f t="shared" si="2"/>
        <v>0</v>
      </c>
      <c r="J1258" s="24"/>
      <c r="K1258" s="11" t="b">
        <f t="shared" si="3"/>
        <v>0</v>
      </c>
    </row>
    <row r="1259" ht="22.5" customHeight="1">
      <c r="A1259" s="12">
        <f t="shared" si="4"/>
        <v>4857</v>
      </c>
      <c r="B1259" s="6" t="s">
        <v>13716</v>
      </c>
      <c r="C1259" s="7" t="str">
        <f t="shared" si="7"/>
        <v>🔊</v>
      </c>
      <c r="D1259" s="8" t="s">
        <v>13717</v>
      </c>
      <c r="E1259" s="6" t="s">
        <v>27</v>
      </c>
      <c r="F1259" s="12" t="str">
        <f>IFERROR(__xludf.DUMMYFUNCTION("GOOGLETRANSLATE(B1259,""zh_cn"",""vi"")"),"Không gian")</f>
        <v>Không gian</v>
      </c>
      <c r="G1259" s="12"/>
      <c r="H1259" s="6"/>
      <c r="I1259" s="11" t="b">
        <f t="shared" si="2"/>
        <v>0</v>
      </c>
      <c r="J1259" s="24"/>
      <c r="K1259" s="11" t="b">
        <f t="shared" si="3"/>
        <v>0</v>
      </c>
    </row>
    <row r="1260" ht="22.5" customHeight="1">
      <c r="A1260" s="12">
        <f t="shared" si="4"/>
        <v>4858</v>
      </c>
      <c r="B1260" s="6" t="s">
        <v>13718</v>
      </c>
      <c r="C1260" s="7" t="str">
        <f t="shared" si="7"/>
        <v>🔊</v>
      </c>
      <c r="D1260" s="8" t="s">
        <v>13719</v>
      </c>
      <c r="E1260" s="6" t="s">
        <v>27</v>
      </c>
      <c r="F1260" s="12" t="str">
        <f>IFERROR(__xludf.DUMMYFUNCTION("GOOGLETRANSLATE(B1260,""zh_cn"",""vi"")"),"bi-a")</f>
        <v>bi-a</v>
      </c>
      <c r="G1260" s="12"/>
      <c r="H1260" s="6"/>
      <c r="I1260" s="11" t="b">
        <f t="shared" si="2"/>
        <v>0</v>
      </c>
      <c r="J1260" s="24"/>
      <c r="K1260" s="11" t="b">
        <f t="shared" si="3"/>
        <v>0</v>
      </c>
    </row>
    <row r="1261" ht="22.5" customHeight="1">
      <c r="A1261" s="12">
        <f t="shared" si="4"/>
        <v>4859</v>
      </c>
      <c r="B1261" s="6" t="s">
        <v>13720</v>
      </c>
      <c r="C1261" s="7" t="str">
        <f t="shared" si="7"/>
        <v>🔊</v>
      </c>
      <c r="D1261" s="8" t="s">
        <v>13721</v>
      </c>
      <c r="E1261" s="6" t="s">
        <v>27</v>
      </c>
      <c r="F1261" s="12" t="str">
        <f>IFERROR(__xludf.DUMMYFUNCTION("GOOGLETRANSLATE(B1261,""zh_cn"",""vi"")"),"Năng lượng mặt trời")</f>
        <v>Năng lượng mặt trời</v>
      </c>
      <c r="G1261" s="12"/>
      <c r="H1261" s="6"/>
      <c r="I1261" s="11" t="b">
        <f t="shared" si="2"/>
        <v>0</v>
      </c>
      <c r="J1261" s="24"/>
      <c r="K1261" s="11" t="b">
        <f t="shared" si="3"/>
        <v>0</v>
      </c>
    </row>
    <row r="1262" ht="22.5" customHeight="1">
      <c r="A1262" s="12">
        <f t="shared" si="4"/>
        <v>4860</v>
      </c>
      <c r="B1262" s="6" t="s">
        <v>13722</v>
      </c>
      <c r="C1262" s="7" t="str">
        <f t="shared" si="7"/>
        <v>🔊</v>
      </c>
      <c r="D1262" s="8" t="s">
        <v>5701</v>
      </c>
      <c r="E1262" s="6" t="s">
        <v>368</v>
      </c>
      <c r="F1262" s="12" t="str">
        <f>IFERROR(__xludf.DUMMYFUNCTION("GOOGLETRANSLATE(B1262,""zh_cn"",""vi"")"),"nóng")</f>
        <v>nóng</v>
      </c>
      <c r="G1262" s="12"/>
      <c r="H1262" s="6"/>
      <c r="I1262" s="11" t="b">
        <f t="shared" si="2"/>
        <v>0</v>
      </c>
      <c r="J1262" s="24"/>
      <c r="K1262" s="11" t="b">
        <f t="shared" si="3"/>
        <v>0</v>
      </c>
    </row>
    <row r="1263" ht="22.5" customHeight="1">
      <c r="A1263" s="12">
        <f t="shared" si="4"/>
        <v>4861</v>
      </c>
      <c r="B1263" s="6" t="s">
        <v>13723</v>
      </c>
      <c r="C1263" s="7" t="str">
        <f t="shared" si="7"/>
        <v>🔊</v>
      </c>
      <c r="D1263" s="8" t="s">
        <v>13724</v>
      </c>
      <c r="E1263" s="6" t="s">
        <v>27</v>
      </c>
      <c r="F1263" s="12" t="str">
        <f>IFERROR(__xludf.DUMMYFUNCTION("GOOGLETRANSLATE(B1263,""zh_cn"",""vi"")"),"kẹo")</f>
        <v>kẹo</v>
      </c>
      <c r="G1263" s="12"/>
      <c r="H1263" s="6"/>
      <c r="I1263" s="11" t="b">
        <f t="shared" si="2"/>
        <v>0</v>
      </c>
      <c r="J1263" s="24"/>
      <c r="K1263" s="11" t="b">
        <f t="shared" si="3"/>
        <v>0</v>
      </c>
    </row>
    <row r="1264" ht="22.5" customHeight="1">
      <c r="A1264" s="12">
        <f t="shared" si="4"/>
        <v>4862</v>
      </c>
      <c r="B1264" s="6" t="s">
        <v>13725</v>
      </c>
      <c r="C1264" s="7" t="str">
        <f t="shared" si="7"/>
        <v>🔊</v>
      </c>
      <c r="D1264" s="8" t="s">
        <v>13726</v>
      </c>
      <c r="E1264" s="6" t="s">
        <v>27</v>
      </c>
      <c r="F1264" s="12" t="str">
        <f>IFERROR(__xludf.DUMMYFUNCTION("GOOGLETRANSLATE(B1264,""zh_cn"",""vi"")"),"bánh bao ngọt")</f>
        <v>bánh bao ngọt</v>
      </c>
      <c r="G1264" s="12"/>
      <c r="H1264" s="6"/>
      <c r="I1264" s="11" t="b">
        <f t="shared" si="2"/>
        <v>0</v>
      </c>
      <c r="J1264" s="24"/>
      <c r="K1264" s="11" t="b">
        <f t="shared" si="3"/>
        <v>0</v>
      </c>
    </row>
    <row r="1265" ht="22.5" customHeight="1">
      <c r="A1265" s="12">
        <f t="shared" si="4"/>
        <v>4863</v>
      </c>
      <c r="B1265" s="6" t="s">
        <v>13727</v>
      </c>
      <c r="C1265" s="7" t="str">
        <f t="shared" si="7"/>
        <v>🔊</v>
      </c>
      <c r="D1265" s="8" t="s">
        <v>13728</v>
      </c>
      <c r="E1265" s="6" t="s">
        <v>13</v>
      </c>
      <c r="F1265" s="12" t="str">
        <f>IFERROR(__xludf.DUMMYFUNCTION("GOOGLETRANSLATE(B1265,""zh_cn"",""vi"")"),"nói chuyện")</f>
        <v>nói chuyện</v>
      </c>
      <c r="G1265" s="12"/>
      <c r="H1265" s="6"/>
      <c r="I1265" s="11" t="b">
        <f t="shared" si="2"/>
        <v>0</v>
      </c>
      <c r="J1265" s="24"/>
      <c r="K1265" s="11" t="b">
        <f t="shared" si="3"/>
        <v>0</v>
      </c>
    </row>
    <row r="1266" ht="22.5" customHeight="1">
      <c r="A1266" s="12">
        <f t="shared" si="4"/>
        <v>4864</v>
      </c>
      <c r="B1266" s="6" t="s">
        <v>13729</v>
      </c>
      <c r="C1266" s="7" t="str">
        <f t="shared" si="7"/>
        <v>🔊</v>
      </c>
      <c r="D1266" s="8" t="s">
        <v>13730</v>
      </c>
      <c r="E1266" s="6" t="s">
        <v>13</v>
      </c>
      <c r="F1266" s="12" t="str">
        <f>IFERROR(__xludf.DUMMYFUNCTION("GOOGLETRANSLATE(B1266,""zh_cn"",""vi"")"),"đàm phán")</f>
        <v>đàm phán</v>
      </c>
      <c r="G1266" s="12"/>
      <c r="H1266" s="6"/>
      <c r="I1266" s="11" t="b">
        <f t="shared" si="2"/>
        <v>0</v>
      </c>
      <c r="J1266" s="24"/>
      <c r="K1266" s="11" t="b">
        <f t="shared" si="3"/>
        <v>0</v>
      </c>
    </row>
    <row r="1267" ht="22.5" customHeight="1">
      <c r="A1267" s="12">
        <f t="shared" si="4"/>
        <v>4865</v>
      </c>
      <c r="B1267" s="6" t="s">
        <v>13731</v>
      </c>
      <c r="C1267" s="7" t="str">
        <f t="shared" si="7"/>
        <v>🔊</v>
      </c>
      <c r="D1267" s="8" t="s">
        <v>13732</v>
      </c>
      <c r="E1267" s="6" t="s">
        <v>13</v>
      </c>
      <c r="F1267" s="12" t="str">
        <f>IFERROR(__xludf.DUMMYFUNCTION("GOOGLETRANSLATE(B1267,""zh_cn"",""vi"")"),"khám phá")</f>
        <v>khám phá</v>
      </c>
      <c r="G1267" s="12"/>
      <c r="H1267" s="6"/>
      <c r="I1267" s="11" t="b">
        <f t="shared" si="2"/>
        <v>0</v>
      </c>
      <c r="J1267" s="24"/>
      <c r="K1267" s="11" t="b">
        <f t="shared" si="3"/>
        <v>0</v>
      </c>
    </row>
    <row r="1268" ht="22.5" customHeight="1">
      <c r="A1268" s="12">
        <f t="shared" si="4"/>
        <v>4866</v>
      </c>
      <c r="B1268" s="6" t="s">
        <v>13733</v>
      </c>
      <c r="C1268" s="7" t="str">
        <f t="shared" si="7"/>
        <v>🔊</v>
      </c>
      <c r="D1268" s="8" t="s">
        <v>13734</v>
      </c>
      <c r="E1268" s="6" t="s">
        <v>13</v>
      </c>
      <c r="F1268" s="12" t="str">
        <f>IFERROR(__xludf.DUMMYFUNCTION("GOOGLETRANSLATE(B1268,""zh_cn"",""vi"")"),"Cuộc thảo luận")</f>
        <v>Cuộc thảo luận</v>
      </c>
      <c r="G1268" s="12"/>
      <c r="H1268" s="6"/>
      <c r="I1268" s="11" t="b">
        <f t="shared" si="2"/>
        <v>0</v>
      </c>
      <c r="J1268" s="24"/>
      <c r="K1268" s="11" t="b">
        <f t="shared" si="3"/>
        <v>0</v>
      </c>
    </row>
    <row r="1269" ht="22.5" customHeight="1">
      <c r="A1269" s="12">
        <f t="shared" si="4"/>
        <v>4867</v>
      </c>
      <c r="B1269" s="6" t="s">
        <v>13735</v>
      </c>
      <c r="C1269" s="7" t="str">
        <f t="shared" si="7"/>
        <v>🔊</v>
      </c>
      <c r="D1269" s="8" t="s">
        <v>13736</v>
      </c>
      <c r="E1269" s="6" t="s">
        <v>27</v>
      </c>
      <c r="F1269" s="12" t="str">
        <f>IFERROR(__xludf.DUMMYFUNCTION("GOOGLETRANSLATE(B1269,""zh_cn"",""vi"")"),"độ đàn hồi")</f>
        <v>độ đàn hồi</v>
      </c>
      <c r="G1269" s="12"/>
      <c r="H1269" s="6"/>
      <c r="I1269" s="11" t="b">
        <f t="shared" si="2"/>
        <v>0</v>
      </c>
      <c r="J1269" s="24"/>
      <c r="K1269" s="11" t="b">
        <f t="shared" si="3"/>
        <v>0</v>
      </c>
    </row>
    <row r="1270" ht="22.5" customHeight="1">
      <c r="A1270" s="12">
        <f t="shared" si="4"/>
        <v>4868</v>
      </c>
      <c r="B1270" s="6" t="s">
        <v>13737</v>
      </c>
      <c r="C1270" s="7" t="str">
        <f t="shared" si="7"/>
        <v>🔊</v>
      </c>
      <c r="D1270" s="8" t="s">
        <v>9855</v>
      </c>
      <c r="E1270" s="6" t="s">
        <v>13</v>
      </c>
      <c r="F1270" s="12" t="str">
        <f>IFERROR(__xludf.DUMMYFUNCTION("GOOGLETRANSLATE(B1270,""zh_cn"",""vi"")"),"bỏ trốn")</f>
        <v>bỏ trốn</v>
      </c>
      <c r="G1270" s="12"/>
      <c r="H1270" s="6"/>
      <c r="I1270" s="11" t="b">
        <f t="shared" si="2"/>
        <v>0</v>
      </c>
      <c r="J1270" s="24"/>
      <c r="K1270" s="11" t="b">
        <f t="shared" si="3"/>
        <v>0</v>
      </c>
    </row>
    <row r="1271" ht="22.5" customHeight="1">
      <c r="A1271" s="12">
        <f t="shared" si="4"/>
        <v>4869</v>
      </c>
      <c r="B1271" s="6" t="s">
        <v>13738</v>
      </c>
      <c r="C1271" s="7" t="str">
        <f t="shared" si="7"/>
        <v>🔊</v>
      </c>
      <c r="D1271" s="8" t="s">
        <v>13739</v>
      </c>
      <c r="E1271" s="6" t="s">
        <v>13</v>
      </c>
      <c r="F1271" s="12" t="str">
        <f>IFERROR(__xludf.DUMMYFUNCTION("GOOGLETRANSLATE(B1271,""zh_cn"",""vi"")"),"đào")</f>
        <v>đào</v>
      </c>
      <c r="G1271" s="12"/>
      <c r="H1271" s="6"/>
      <c r="I1271" s="11" t="b">
        <f t="shared" si="2"/>
        <v>0</v>
      </c>
      <c r="J1271" s="24"/>
      <c r="K1271" s="11" t="b">
        <f t="shared" si="3"/>
        <v>0</v>
      </c>
    </row>
    <row r="1272" ht="22.5" customHeight="1">
      <c r="A1272" s="12">
        <f t="shared" si="4"/>
        <v>4870</v>
      </c>
      <c r="B1272" s="6" t="s">
        <v>13740</v>
      </c>
      <c r="C1272" s="7" t="str">
        <f t="shared" si="7"/>
        <v>🔊</v>
      </c>
      <c r="D1272" s="8" t="s">
        <v>13741</v>
      </c>
      <c r="E1272" s="6" t="s">
        <v>27</v>
      </c>
      <c r="F1272" s="12" t="str">
        <f>IFERROR(__xludf.DUMMYFUNCTION("GOOGLETRANSLATE(B1272,""zh_cn"",""vi"")"),"combo")</f>
        <v>combo</v>
      </c>
      <c r="G1272" s="12"/>
      <c r="H1272" s="6"/>
      <c r="I1272" s="11" t="b">
        <f t="shared" si="2"/>
        <v>0</v>
      </c>
      <c r="J1272" s="24"/>
      <c r="K1272" s="11" t="b">
        <f t="shared" si="3"/>
        <v>0</v>
      </c>
    </row>
    <row r="1273" ht="22.5" customHeight="1">
      <c r="A1273" s="12">
        <f t="shared" si="4"/>
        <v>4871</v>
      </c>
      <c r="B1273" s="6" t="s">
        <v>13742</v>
      </c>
      <c r="C1273" s="7" t="str">
        <f t="shared" si="7"/>
        <v>🔊</v>
      </c>
      <c r="D1273" s="8" t="s">
        <v>13743</v>
      </c>
      <c r="E1273" s="6" t="s">
        <v>13</v>
      </c>
      <c r="F1273" s="12" t="str">
        <f>IFERROR(__xludf.DUMMYFUNCTION("GOOGLETRANSLATE(B1273,""zh_cn"",""vi"")"),"bỏ trốn")</f>
        <v>bỏ trốn</v>
      </c>
      <c r="G1273" s="12"/>
      <c r="H1273" s="6"/>
      <c r="I1273" s="11" t="b">
        <f t="shared" si="2"/>
        <v>0</v>
      </c>
      <c r="J1273" s="24"/>
      <c r="K1273" s="11" t="b">
        <f t="shared" si="3"/>
        <v>0</v>
      </c>
    </row>
    <row r="1274" ht="22.5" customHeight="1">
      <c r="A1274" s="12">
        <f t="shared" si="4"/>
        <v>4872</v>
      </c>
      <c r="B1274" s="6" t="s">
        <v>13744</v>
      </c>
      <c r="C1274" s="7" t="str">
        <f t="shared" si="7"/>
        <v>🔊</v>
      </c>
      <c r="D1274" s="8" t="s">
        <v>13745</v>
      </c>
      <c r="E1274" s="6" t="s">
        <v>99</v>
      </c>
      <c r="F1274" s="12" t="str">
        <f>IFERROR(__xludf.DUMMYFUNCTION("GOOGLETRANSLATE(B1274,""zh_cn"",""vi"")"),"nghịch ngợm")</f>
        <v>nghịch ngợm</v>
      </c>
      <c r="G1274" s="12"/>
      <c r="H1274" s="6"/>
      <c r="I1274" s="11" t="b">
        <f t="shared" si="2"/>
        <v>0</v>
      </c>
      <c r="J1274" s="24"/>
      <c r="K1274" s="11" t="b">
        <f t="shared" si="3"/>
        <v>0</v>
      </c>
    </row>
    <row r="1275" ht="22.5" customHeight="1">
      <c r="A1275" s="12">
        <f t="shared" si="4"/>
        <v>4873</v>
      </c>
      <c r="B1275" s="6" t="s">
        <v>13746</v>
      </c>
      <c r="C1275" s="7" t="str">
        <f t="shared" si="7"/>
        <v>🔊</v>
      </c>
      <c r="D1275" s="8" t="s">
        <v>13747</v>
      </c>
      <c r="E1275" s="6" t="s">
        <v>13</v>
      </c>
      <c r="F1275" s="12" t="str">
        <f>IFERROR(__xludf.DUMMYFUNCTION("GOOGLETRANSLATE(B1275,""zh_cn"",""vi"")"),"không sử dụng")</f>
        <v>không sử dụng</v>
      </c>
      <c r="G1275" s="12"/>
      <c r="H1275" s="6"/>
      <c r="I1275" s="11" t="b">
        <f t="shared" si="2"/>
        <v>0</v>
      </c>
      <c r="J1275" s="24"/>
      <c r="K1275" s="11" t="b">
        <f t="shared" si="3"/>
        <v>0</v>
      </c>
    </row>
    <row r="1276" ht="22.5" customHeight="1">
      <c r="A1276" s="12">
        <f t="shared" si="4"/>
        <v>4874</v>
      </c>
      <c r="B1276" s="6" t="s">
        <v>13748</v>
      </c>
      <c r="C1276" s="7" t="str">
        <f t="shared" si="7"/>
        <v>🔊</v>
      </c>
      <c r="D1276" s="8" t="s">
        <v>13749</v>
      </c>
      <c r="E1276" s="6" t="s">
        <v>99</v>
      </c>
      <c r="F1276" s="12" t="str">
        <f>IFERROR(__xludf.DUMMYFUNCTION("GOOGLETRANSLATE(B1276,""zh_cn"",""vi"")"),"thực tế")</f>
        <v>thực tế</v>
      </c>
      <c r="G1276" s="12"/>
      <c r="H1276" s="6"/>
      <c r="I1276" s="11" t="b">
        <f t="shared" si="2"/>
        <v>0</v>
      </c>
      <c r="J1276" s="24"/>
      <c r="K1276" s="11" t="b">
        <f t="shared" si="3"/>
        <v>0</v>
      </c>
    </row>
    <row r="1277" ht="22.5" customHeight="1">
      <c r="A1277" s="12">
        <f t="shared" si="4"/>
        <v>4875</v>
      </c>
      <c r="B1277" s="6" t="s">
        <v>13750</v>
      </c>
      <c r="C1277" s="7" t="str">
        <f t="shared" si="7"/>
        <v>🔊</v>
      </c>
      <c r="D1277" s="8" t="s">
        <v>13751</v>
      </c>
      <c r="E1277" s="6" t="s">
        <v>61</v>
      </c>
      <c r="F1277" s="12" t="str">
        <f>IFERROR(__xludf.DUMMYFUNCTION("GOOGLETRANSLATE(B1277,""zh_cn"",""vi"")"),"đặc biệt")</f>
        <v>đặc biệt</v>
      </c>
      <c r="G1277" s="12"/>
      <c r="H1277" s="6"/>
      <c r="I1277" s="11" t="b">
        <f t="shared" si="2"/>
        <v>0</v>
      </c>
      <c r="J1277" s="24"/>
      <c r="K1277" s="11" t="b">
        <f t="shared" si="3"/>
        <v>0</v>
      </c>
    </row>
    <row r="1278" ht="22.5" customHeight="1">
      <c r="A1278" s="12">
        <f t="shared" si="4"/>
        <v>4876</v>
      </c>
      <c r="B1278" s="6" t="s">
        <v>13752</v>
      </c>
      <c r="C1278" s="7" t="str">
        <f t="shared" si="7"/>
        <v>🔊</v>
      </c>
      <c r="D1278" s="8" t="s">
        <v>13753</v>
      </c>
      <c r="E1278" s="6" t="s">
        <v>27</v>
      </c>
      <c r="F1278" s="12" t="str">
        <f>IFERROR(__xludf.DUMMYFUNCTION("GOOGLETRANSLATE(B1278,""zh_cn"",""vi"")"),"Kỹ năng đặc biệt")</f>
        <v>Kỹ năng đặc biệt</v>
      </c>
      <c r="G1278" s="12"/>
      <c r="H1278" s="6"/>
      <c r="I1278" s="11" t="b">
        <f t="shared" si="2"/>
        <v>0</v>
      </c>
      <c r="J1278" s="24"/>
      <c r="K1278" s="11" t="b">
        <f t="shared" si="3"/>
        <v>0</v>
      </c>
    </row>
    <row r="1279" ht="22.5" customHeight="1">
      <c r="A1279" s="12">
        <f t="shared" si="4"/>
        <v>4877</v>
      </c>
      <c r="B1279" s="6" t="s">
        <v>13754</v>
      </c>
      <c r="C1279" s="7" t="str">
        <f t="shared" si="7"/>
        <v>🔊</v>
      </c>
      <c r="D1279" s="8" t="s">
        <v>13755</v>
      </c>
      <c r="E1279" s="6" t="s">
        <v>61</v>
      </c>
      <c r="F1279" s="12" t="str">
        <f>IFERROR(__xludf.DUMMYFUNCTION("GOOGLETRANSLATE(B1279,""zh_cn"",""vi"")"),"đặc biệt")</f>
        <v>đặc biệt</v>
      </c>
      <c r="G1279" s="12"/>
      <c r="H1279" s="6"/>
      <c r="I1279" s="11" t="b">
        <f t="shared" si="2"/>
        <v>0</v>
      </c>
      <c r="J1279" s="24"/>
      <c r="K1279" s="11" t="b">
        <f t="shared" si="3"/>
        <v>0</v>
      </c>
    </row>
    <row r="1280" ht="22.5" customHeight="1">
      <c r="A1280" s="12">
        <f t="shared" si="4"/>
        <v>4878</v>
      </c>
      <c r="B1280" s="6" t="s">
        <v>13756</v>
      </c>
      <c r="C1280" s="7" t="str">
        <f t="shared" si="7"/>
        <v>🔊</v>
      </c>
      <c r="D1280" s="8" t="s">
        <v>13757</v>
      </c>
      <c r="E1280" s="6" t="s">
        <v>99</v>
      </c>
      <c r="F1280" s="12" t="str">
        <f>IFERROR(__xludf.DUMMYFUNCTION("GOOGLETRANSLATE(B1280,""zh_cn"",""vi"")"),"cụ thể")</f>
        <v>cụ thể</v>
      </c>
      <c r="G1280" s="12"/>
      <c r="H1280" s="6"/>
      <c r="I1280" s="11" t="b">
        <f t="shared" si="2"/>
        <v>0</v>
      </c>
      <c r="J1280" s="24"/>
      <c r="K1280" s="11" t="b">
        <f t="shared" si="3"/>
        <v>0</v>
      </c>
    </row>
    <row r="1281" ht="22.5" customHeight="1">
      <c r="A1281" s="12">
        <f t="shared" si="4"/>
        <v>4879</v>
      </c>
      <c r="B1281" s="6" t="s">
        <v>13758</v>
      </c>
      <c r="C1281" s="7" t="str">
        <f t="shared" si="7"/>
        <v>🔊</v>
      </c>
      <c r="D1281" s="8" t="s">
        <v>13759</v>
      </c>
      <c r="E1281" s="6" t="s">
        <v>27</v>
      </c>
      <c r="F1281" s="12" t="str">
        <f>IFERROR(__xludf.DUMMYFUNCTION("GOOGLETRANSLATE(B1281,""zh_cn"",""vi"")"),"đặc điểm")</f>
        <v>đặc điểm</v>
      </c>
      <c r="G1281" s="12"/>
      <c r="H1281" s="6"/>
      <c r="I1281" s="11" t="b">
        <f t="shared" si="2"/>
        <v>0</v>
      </c>
      <c r="J1281" s="24"/>
      <c r="K1281" s="11" t="b">
        <f t="shared" si="3"/>
        <v>0</v>
      </c>
    </row>
    <row r="1282" ht="22.5" customHeight="1">
      <c r="A1282" s="12">
        <f t="shared" si="4"/>
        <v>4880</v>
      </c>
      <c r="B1282" s="6" t="s">
        <v>13760</v>
      </c>
      <c r="C1282" s="7" t="str">
        <f t="shared" si="7"/>
        <v>🔊</v>
      </c>
      <c r="D1282" s="8" t="s">
        <v>13761</v>
      </c>
      <c r="E1282" s="6" t="s">
        <v>61</v>
      </c>
      <c r="F1282" s="12" t="str">
        <f>IFERROR(__xludf.DUMMYFUNCTION("GOOGLETRANSLATE(B1282,""zh_cn"",""vi"")"),"đặc biệt")</f>
        <v>đặc biệt</v>
      </c>
      <c r="G1282" s="12"/>
      <c r="H1282" s="6"/>
      <c r="I1282" s="11" t="b">
        <f t="shared" si="2"/>
        <v>0</v>
      </c>
      <c r="J1282" s="24"/>
      <c r="K1282" s="11" t="b">
        <f t="shared" si="3"/>
        <v>0</v>
      </c>
    </row>
    <row r="1283" ht="22.5" customHeight="1">
      <c r="A1283" s="12">
        <f t="shared" si="4"/>
        <v>4881</v>
      </c>
      <c r="B1283" s="6" t="s">
        <v>13762</v>
      </c>
      <c r="C1283" s="7" t="str">
        <f t="shared" si="7"/>
        <v>🔊</v>
      </c>
      <c r="D1283" s="8" t="s">
        <v>2852</v>
      </c>
      <c r="E1283" s="6" t="s">
        <v>27</v>
      </c>
      <c r="F1283" s="12" t="str">
        <f>IFERROR(__xludf.DUMMYFUNCTION("GOOGLETRANSLATE(B1283,""zh_cn"",""vi"")"),"cánh đồng")</f>
        <v>cánh đồng</v>
      </c>
      <c r="G1283" s="12"/>
      <c r="H1283" s="6"/>
      <c r="I1283" s="11" t="b">
        <f t="shared" si="2"/>
        <v>0</v>
      </c>
      <c r="J1283" s="24"/>
      <c r="K1283" s="11" t="b">
        <f t="shared" si="3"/>
        <v>0</v>
      </c>
    </row>
    <row r="1284" ht="22.5" customHeight="1">
      <c r="A1284" s="12">
        <f t="shared" si="4"/>
        <v>4882</v>
      </c>
      <c r="B1284" s="6" t="s">
        <v>13763</v>
      </c>
      <c r="C1284" s="7" t="str">
        <f t="shared" si="7"/>
        <v>🔊</v>
      </c>
      <c r="D1284" s="8" t="s">
        <v>709</v>
      </c>
      <c r="E1284" s="6" t="s">
        <v>13</v>
      </c>
      <c r="F1284" s="12" t="str">
        <f>IFERROR(__xludf.DUMMYFUNCTION("GOOGLETRANSLATE(B1284,""zh_cn"",""vi"")"),"thêm vào")</f>
        <v>thêm vào</v>
      </c>
      <c r="G1284" s="12"/>
      <c r="H1284" s="6"/>
      <c r="I1284" s="11" t="b">
        <f t="shared" si="2"/>
        <v>0</v>
      </c>
      <c r="J1284" s="24"/>
      <c r="K1284" s="11" t="b">
        <f t="shared" si="3"/>
        <v>0</v>
      </c>
    </row>
    <row r="1285" ht="22.5" customHeight="1">
      <c r="A1285" s="12">
        <f t="shared" si="4"/>
        <v>4883</v>
      </c>
      <c r="B1285" s="6" t="s">
        <v>13764</v>
      </c>
      <c r="C1285" s="7" t="str">
        <f t="shared" si="7"/>
        <v>🔊</v>
      </c>
      <c r="D1285" s="8" t="s">
        <v>13765</v>
      </c>
      <c r="E1285" s="6" t="s">
        <v>27</v>
      </c>
      <c r="F1285" s="12" t="str">
        <f>IFERROR(__xludf.DUMMYFUNCTION("GOOGLETRANSLATE(B1285,""zh_cn"",""vi"")"),"thiên tài")</f>
        <v>thiên tài</v>
      </c>
      <c r="G1285" s="12"/>
      <c r="H1285" s="6"/>
      <c r="I1285" s="11" t="b">
        <f t="shared" si="2"/>
        <v>0</v>
      </c>
      <c r="J1285" s="24"/>
      <c r="K1285" s="11" t="b">
        <f t="shared" si="3"/>
        <v>0</v>
      </c>
    </row>
    <row r="1286" ht="22.5" customHeight="1">
      <c r="A1286" s="12">
        <f t="shared" si="4"/>
        <v>4884</v>
      </c>
      <c r="B1286" s="6" t="s">
        <v>13766</v>
      </c>
      <c r="C1286" s="7" t="str">
        <f t="shared" si="7"/>
        <v>🔊</v>
      </c>
      <c r="D1286" s="8" t="s">
        <v>13767</v>
      </c>
      <c r="E1286" s="6" t="s">
        <v>13</v>
      </c>
      <c r="F1286" s="12" t="str">
        <f>IFERROR(__xludf.DUMMYFUNCTION("GOOGLETRANSLATE(B1286,""zh_cn"",""vi"")"),"Thêm vào")</f>
        <v>Thêm vào</v>
      </c>
      <c r="G1286" s="12"/>
      <c r="H1286" s="6"/>
      <c r="I1286" s="11" t="b">
        <f t="shared" si="2"/>
        <v>0</v>
      </c>
      <c r="J1286" s="24"/>
      <c r="K1286" s="11" t="b">
        <f t="shared" si="3"/>
        <v>0</v>
      </c>
    </row>
    <row r="1287" ht="22.5" customHeight="1">
      <c r="A1287" s="12">
        <f t="shared" si="4"/>
        <v>4885</v>
      </c>
      <c r="B1287" s="6" t="s">
        <v>13768</v>
      </c>
      <c r="C1287" s="7" t="str">
        <f t="shared" si="7"/>
        <v>🔊</v>
      </c>
      <c r="D1287" s="8" t="s">
        <v>13769</v>
      </c>
      <c r="E1287" s="6" t="s">
        <v>27</v>
      </c>
      <c r="F1287" s="12" t="str">
        <f>IFERROR(__xludf.DUMMYFUNCTION("GOOGLETRANSLATE(B1287,""zh_cn"",""vi"")"),"điền kinh")</f>
        <v>điền kinh</v>
      </c>
      <c r="G1287" s="12"/>
      <c r="H1287" s="6"/>
      <c r="I1287" s="11" t="b">
        <f t="shared" si="2"/>
        <v>0</v>
      </c>
      <c r="J1287" s="24"/>
      <c r="K1287" s="11" t="b">
        <f t="shared" si="3"/>
        <v>0</v>
      </c>
    </row>
    <row r="1288" ht="22.5" customHeight="1">
      <c r="A1288" s="12">
        <f t="shared" si="4"/>
        <v>4886</v>
      </c>
      <c r="B1288" s="6" t="s">
        <v>13770</v>
      </c>
      <c r="C1288" s="7" t="str">
        <f t="shared" si="7"/>
        <v>🔊</v>
      </c>
      <c r="D1288" s="8" t="s">
        <v>13771</v>
      </c>
      <c r="E1288" s="6" t="s">
        <v>99</v>
      </c>
      <c r="F1288" s="12" t="str">
        <f>IFERROR(__xludf.DUMMYFUNCTION("GOOGLETRANSLATE(B1288,""zh_cn"",""vi"")"),"tự nhiên")</f>
        <v>tự nhiên</v>
      </c>
      <c r="G1288" s="12"/>
      <c r="H1288" s="6"/>
      <c r="I1288" s="11" t="b">
        <f t="shared" si="2"/>
        <v>0</v>
      </c>
      <c r="J1288" s="24"/>
      <c r="K1288" s="11" t="b">
        <f t="shared" si="3"/>
        <v>0</v>
      </c>
    </row>
    <row r="1289" ht="22.5" customHeight="1">
      <c r="A1289" s="12">
        <f t="shared" si="4"/>
        <v>4887</v>
      </c>
      <c r="B1289" s="6" t="s">
        <v>13772</v>
      </c>
      <c r="C1289" s="7" t="str">
        <f t="shared" si="7"/>
        <v>🔊</v>
      </c>
      <c r="D1289" s="8" t="s">
        <v>13773</v>
      </c>
      <c r="E1289" s="6" t="s">
        <v>27</v>
      </c>
      <c r="F1289" s="12" t="str">
        <f>IFERROR(__xludf.DUMMYFUNCTION("GOOGLETRANSLATE(B1289,""zh_cn"",""vi"")"),"khí tự nhiên")</f>
        <v>khí tự nhiên</v>
      </c>
      <c r="G1289" s="12"/>
      <c r="H1289" s="6"/>
      <c r="I1289" s="11" t="b">
        <f t="shared" si="2"/>
        <v>0</v>
      </c>
      <c r="J1289" s="24"/>
      <c r="K1289" s="11" t="b">
        <f t="shared" si="3"/>
        <v>0</v>
      </c>
    </row>
    <row r="1290" ht="22.5" customHeight="1">
      <c r="A1290" s="12">
        <f t="shared" si="4"/>
        <v>4888</v>
      </c>
      <c r="B1290" s="6" t="s">
        <v>13774</v>
      </c>
      <c r="C1290" s="7" t="str">
        <f t="shared" si="7"/>
        <v>🔊</v>
      </c>
      <c r="D1290" s="8" t="s">
        <v>13775</v>
      </c>
      <c r="E1290" s="6" t="s">
        <v>27</v>
      </c>
      <c r="F1290" s="12" t="str">
        <f>IFERROR(__xludf.DUMMYFUNCTION("GOOGLETRANSLATE(B1290,""zh_cn"",""vi"")"),"thiên văn")</f>
        <v>thiên văn</v>
      </c>
      <c r="G1290" s="12"/>
      <c r="H1290" s="6"/>
      <c r="I1290" s="11" t="b">
        <f t="shared" si="2"/>
        <v>0</v>
      </c>
      <c r="J1290" s="24"/>
      <c r="K1290" s="11" t="b">
        <f t="shared" si="3"/>
        <v>0</v>
      </c>
    </row>
    <row r="1291" ht="22.5" customHeight="1">
      <c r="A1291" s="12">
        <f t="shared" si="4"/>
        <v>4889</v>
      </c>
      <c r="B1291" s="6" t="s">
        <v>13776</v>
      </c>
      <c r="C1291" s="7" t="str">
        <f t="shared" si="7"/>
        <v>🔊</v>
      </c>
      <c r="D1291" s="8" t="s">
        <v>13777</v>
      </c>
      <c r="E1291" s="6" t="s">
        <v>27</v>
      </c>
      <c r="F1291" s="12" t="str">
        <f>IFERROR(__xludf.DUMMYFUNCTION("GOOGLETRANSLATE(B1291,""zh_cn"",""vi"")"),"Thế giới")</f>
        <v>Thế giới</v>
      </c>
      <c r="G1291" s="12"/>
      <c r="H1291" s="6"/>
      <c r="I1291" s="11" t="b">
        <f t="shared" si="2"/>
        <v>0</v>
      </c>
      <c r="J1291" s="24"/>
      <c r="K1291" s="11" t="b">
        <f t="shared" si="3"/>
        <v>0</v>
      </c>
    </row>
    <row r="1292" ht="22.5" customHeight="1">
      <c r="A1292" s="12">
        <f t="shared" si="4"/>
        <v>4890</v>
      </c>
      <c r="B1292" s="6" t="s">
        <v>13778</v>
      </c>
      <c r="C1292" s="7" t="str">
        <f t="shared" si="7"/>
        <v>🔊</v>
      </c>
      <c r="D1292" s="8" t="s">
        <v>13779</v>
      </c>
      <c r="E1292" s="6" t="s">
        <v>99</v>
      </c>
      <c r="F1292" s="12" t="str">
        <f>IFERROR(__xludf.DUMMYFUNCTION("GOOGLETRANSLATE(B1292,""zh_cn"",""vi"")"),"Vô tội")</f>
        <v>Vô tội</v>
      </c>
      <c r="G1292" s="12"/>
      <c r="H1292" s="6"/>
      <c r="I1292" s="11" t="b">
        <f t="shared" si="2"/>
        <v>0</v>
      </c>
      <c r="J1292" s="24"/>
      <c r="K1292" s="11" t="b">
        <f t="shared" si="3"/>
        <v>0</v>
      </c>
    </row>
    <row r="1293" ht="22.5" customHeight="1">
      <c r="A1293" s="12">
        <f t="shared" si="4"/>
        <v>4891</v>
      </c>
      <c r="B1293" s="6" t="s">
        <v>13780</v>
      </c>
      <c r="C1293" s="7" t="str">
        <f t="shared" si="7"/>
        <v>🔊</v>
      </c>
      <c r="D1293" s="8" t="s">
        <v>13781</v>
      </c>
      <c r="E1293" s="6" t="s">
        <v>13</v>
      </c>
      <c r="F1293" s="12" t="str">
        <f>IFERROR(__xludf.DUMMYFUNCTION("GOOGLETRANSLATE(B1293,""zh_cn"",""vi"")"),"điều chỉnh")</f>
        <v>điều chỉnh</v>
      </c>
      <c r="G1293" s="12"/>
      <c r="H1293" s="6"/>
      <c r="I1293" s="11" t="b">
        <f t="shared" si="2"/>
        <v>0</v>
      </c>
      <c r="J1293" s="24"/>
      <c r="K1293" s="11" t="b">
        <f t="shared" si="3"/>
        <v>0</v>
      </c>
    </row>
    <row r="1294" ht="22.5" customHeight="1">
      <c r="A1294" s="12">
        <f t="shared" si="4"/>
        <v>4892</v>
      </c>
      <c r="B1294" s="6" t="s">
        <v>13782</v>
      </c>
      <c r="C1294" s="7" t="str">
        <f t="shared" si="7"/>
        <v>🔊</v>
      </c>
      <c r="D1294" s="8" t="s">
        <v>13783</v>
      </c>
      <c r="E1294" s="6" t="s">
        <v>13</v>
      </c>
      <c r="F1294" s="12" t="str">
        <f>IFERROR(__xludf.DUMMYFUNCTION("GOOGLETRANSLATE(B1294,""zh_cn"",""vi"")"),"lặn")</f>
        <v>lặn</v>
      </c>
      <c r="G1294" s="12"/>
      <c r="H1294" s="6"/>
      <c r="I1294" s="11" t="b">
        <f t="shared" si="2"/>
        <v>0</v>
      </c>
      <c r="J1294" s="24"/>
      <c r="K1294" s="11" t="b">
        <f t="shared" si="3"/>
        <v>0</v>
      </c>
    </row>
    <row r="1295" ht="22.5" customHeight="1">
      <c r="A1295" s="12">
        <f t="shared" si="4"/>
        <v>4893</v>
      </c>
      <c r="B1295" s="6" t="s">
        <v>13784</v>
      </c>
      <c r="C1295" s="7" t="str">
        <f t="shared" si="7"/>
        <v>🔊</v>
      </c>
      <c r="D1295" s="8" t="s">
        <v>13785</v>
      </c>
      <c r="E1295" s="6" t="s">
        <v>27</v>
      </c>
      <c r="F1295" s="12" t="str">
        <f>IFERROR(__xludf.DUMMYFUNCTION("GOOGLETRANSLATE(B1295,""zh_cn"",""vi"")"),"chủ đề")</f>
        <v>chủ đề</v>
      </c>
      <c r="G1295" s="12"/>
      <c r="H1295" s="6"/>
      <c r="I1295" s="11" t="b">
        <f t="shared" si="2"/>
        <v>0</v>
      </c>
      <c r="J1295" s="24"/>
      <c r="K1295" s="11" t="b">
        <f t="shared" si="3"/>
        <v>0</v>
      </c>
    </row>
    <row r="1296" ht="22.5" customHeight="1">
      <c r="A1296" s="12">
        <f t="shared" si="4"/>
        <v>4894</v>
      </c>
      <c r="B1296" s="6" t="s">
        <v>13786</v>
      </c>
      <c r="C1296" s="7" t="str">
        <f t="shared" si="7"/>
        <v>🔊</v>
      </c>
      <c r="D1296" s="8" t="s">
        <v>13787</v>
      </c>
      <c r="E1296" s="6" t="s">
        <v>27</v>
      </c>
      <c r="F1296" s="12" t="str">
        <f>IFERROR(__xludf.DUMMYFUNCTION("GOOGLETRANSLATE(B1296,""zh_cn"",""vi"")"),"thể dục dụng cụ")</f>
        <v>thể dục dụng cụ</v>
      </c>
      <c r="G1296" s="12"/>
      <c r="H1296" s="6"/>
      <c r="I1296" s="11" t="b">
        <f t="shared" si="2"/>
        <v>0</v>
      </c>
      <c r="J1296" s="24"/>
      <c r="K1296" s="11" t="b">
        <f t="shared" si="3"/>
        <v>0</v>
      </c>
    </row>
    <row r="1297" ht="22.5" customHeight="1">
      <c r="A1297" s="12">
        <f t="shared" si="4"/>
        <v>4895</v>
      </c>
      <c r="B1297" s="6" t="s">
        <v>13788</v>
      </c>
      <c r="C1297" s="7" t="str">
        <f t="shared" si="7"/>
        <v>🔊</v>
      </c>
      <c r="D1297" s="8" t="s">
        <v>13789</v>
      </c>
      <c r="E1297" s="6" t="s">
        <v>368</v>
      </c>
      <c r="F1297" s="12" t="str">
        <f>IFERROR(__xludf.DUMMYFUNCTION("GOOGLETRANSLATE(B1297,""zh_cn"",""vi"")"),"Đóng")</f>
        <v>Đóng</v>
      </c>
      <c r="G1297" s="12"/>
      <c r="H1297" s="6"/>
      <c r="I1297" s="11" t="b">
        <f t="shared" si="2"/>
        <v>0</v>
      </c>
      <c r="J1297" s="24"/>
      <c r="K1297" s="11" t="b">
        <f t="shared" si="3"/>
        <v>0</v>
      </c>
    </row>
    <row r="1298" ht="22.5" customHeight="1">
      <c r="A1298" s="12">
        <f t="shared" si="4"/>
        <v>4896</v>
      </c>
      <c r="B1298" s="6" t="s">
        <v>13790</v>
      </c>
      <c r="C1298" s="7" t="str">
        <f t="shared" si="7"/>
        <v>🔊</v>
      </c>
      <c r="D1298" s="8" t="s">
        <v>13791</v>
      </c>
      <c r="E1298" s="6" t="s">
        <v>27</v>
      </c>
      <c r="F1298" s="12" t="str">
        <f>IFERROR(__xludf.DUMMYFUNCTION("GOOGLETRANSLATE(B1298,""zh_cn"",""vi"")"),"âm lượng")</f>
        <v>âm lượng</v>
      </c>
      <c r="G1298" s="12"/>
      <c r="H1298" s="6"/>
      <c r="I1298" s="11" t="b">
        <f t="shared" si="2"/>
        <v>0</v>
      </c>
      <c r="J1298" s="24"/>
      <c r="K1298" s="11" t="b">
        <f t="shared" si="3"/>
        <v>0</v>
      </c>
    </row>
    <row r="1299" ht="22.5" customHeight="1">
      <c r="A1299" s="12">
        <f t="shared" si="4"/>
        <v>4897</v>
      </c>
      <c r="B1299" s="6" t="s">
        <v>13792</v>
      </c>
      <c r="C1299" s="7" t="str">
        <f t="shared" si="7"/>
        <v>🔊</v>
      </c>
      <c r="D1299" s="8" t="s">
        <v>13793</v>
      </c>
      <c r="E1299" s="6" t="s">
        <v>99</v>
      </c>
      <c r="F1299" s="12" t="str">
        <f>IFERROR(__xludf.DUMMYFUNCTION("GOOGLETRANSLATE(B1299,""zh_cn"",""vi"")"),"nghe lời")</f>
        <v>nghe lời</v>
      </c>
      <c r="G1299" s="12"/>
      <c r="H1299" s="6"/>
      <c r="I1299" s="11" t="b">
        <f t="shared" si="2"/>
        <v>0</v>
      </c>
      <c r="J1299" s="24"/>
      <c r="K1299" s="11" t="b">
        <f t="shared" si="3"/>
        <v>0</v>
      </c>
    </row>
    <row r="1300" ht="22.5" customHeight="1">
      <c r="A1300" s="12">
        <f t="shared" si="4"/>
        <v>4898</v>
      </c>
      <c r="B1300" s="6" t="s">
        <v>13794</v>
      </c>
      <c r="C1300" s="7" t="str">
        <f t="shared" si="7"/>
        <v>🔊</v>
      </c>
      <c r="D1300" s="8" t="s">
        <v>13795</v>
      </c>
      <c r="E1300" s="6" t="s">
        <v>27</v>
      </c>
      <c r="F1300" s="12" t="str">
        <f>IFERROR(__xludf.DUMMYFUNCTION("GOOGLETRANSLATE(B1300,""zh_cn"",""vi"")"),"Nghe")</f>
        <v>Nghe</v>
      </c>
      <c r="G1300" s="12"/>
      <c r="H1300" s="6"/>
      <c r="I1300" s="11" t="b">
        <f t="shared" si="2"/>
        <v>0</v>
      </c>
      <c r="J1300" s="24"/>
      <c r="K1300" s="11" t="b">
        <f t="shared" si="3"/>
        <v>0</v>
      </c>
    </row>
    <row r="1301" ht="22.5" customHeight="1">
      <c r="A1301" s="12">
        <f t="shared" si="4"/>
        <v>4899</v>
      </c>
      <c r="B1301" s="6" t="s">
        <v>13796</v>
      </c>
      <c r="C1301" s="7" t="str">
        <f t="shared" si="7"/>
        <v>🔊</v>
      </c>
      <c r="D1301" s="8" t="s">
        <v>13797</v>
      </c>
      <c r="E1301" s="6" t="s">
        <v>13</v>
      </c>
      <c r="F1301" s="12" t="str">
        <f>IFERROR(__xludf.DUMMYFUNCTION("GOOGLETRANSLATE(B1301,""zh_cn"",""vi"")"),"nghe")</f>
        <v>nghe</v>
      </c>
      <c r="G1301" s="12"/>
      <c r="H1301" s="6"/>
      <c r="I1301" s="11" t="b">
        <f t="shared" si="2"/>
        <v>0</v>
      </c>
      <c r="J1301" s="24"/>
      <c r="K1301" s="11" t="b">
        <f t="shared" si="3"/>
        <v>0</v>
      </c>
    </row>
    <row r="1302" ht="22.5" customHeight="1">
      <c r="A1302" s="12">
        <f t="shared" si="4"/>
        <v>4900</v>
      </c>
      <c r="B1302" s="6" t="s">
        <v>13798</v>
      </c>
      <c r="C1302" s="7" t="str">
        <f t="shared" si="7"/>
        <v>🔊</v>
      </c>
      <c r="D1302" s="8" t="s">
        <v>13799</v>
      </c>
      <c r="E1302" s="6" t="s">
        <v>13</v>
      </c>
      <c r="F1302" s="12" t="str">
        <f>IFERROR(__xludf.DUMMYFUNCTION("GOOGLETRANSLATE(B1302,""zh_cn"",""vi"")"),"chiết xuất")</f>
        <v>chiết xuất</v>
      </c>
      <c r="G1302" s="12"/>
      <c r="H1302" s="6"/>
      <c r="I1302" s="11" t="b">
        <f t="shared" si="2"/>
        <v>0</v>
      </c>
      <c r="J1302" s="24"/>
      <c r="K1302" s="11" t="b">
        <f t="shared" si="3"/>
        <v>0</v>
      </c>
    </row>
    <row r="1303" ht="22.5" customHeight="1">
      <c r="A1303" s="12">
        <f t="shared" si="4"/>
        <v>4901</v>
      </c>
      <c r="B1303" s="6" t="s">
        <v>13800</v>
      </c>
      <c r="C1303" s="7" t="str">
        <f t="shared" si="7"/>
        <v>🔊</v>
      </c>
      <c r="D1303" s="8" t="s">
        <v>13801</v>
      </c>
      <c r="E1303" s="6" t="s">
        <v>13</v>
      </c>
      <c r="F1303" s="12" t="str">
        <f>IFERROR(__xludf.DUMMYFUNCTION("GOOGLETRANSLATE(B1303,""zh_cn"",""vi"")"),"gợi ý")</f>
        <v>gợi ý</v>
      </c>
      <c r="G1303" s="12"/>
      <c r="H1303" s="6"/>
      <c r="I1303" s="11" t="b">
        <f t="shared" si="2"/>
        <v>0</v>
      </c>
      <c r="J1303" s="24"/>
      <c r="K1303" s="11" t="b">
        <f t="shared" si="3"/>
        <v>0</v>
      </c>
    </row>
    <row r="1304" ht="22.5" customHeight="1">
      <c r="A1304" s="12">
        <f t="shared" si="4"/>
        <v>4902</v>
      </c>
      <c r="B1304" s="6" t="s">
        <v>13802</v>
      </c>
      <c r="C1304" s="7" t="str">
        <f t="shared" si="7"/>
        <v>🔊</v>
      </c>
      <c r="D1304" s="8" t="s">
        <v>13803</v>
      </c>
      <c r="E1304" s="6" t="s">
        <v>27</v>
      </c>
      <c r="F1304" s="12" t="str">
        <f>IFERROR(__xludf.DUMMYFUNCTION("GOOGLETRANSLATE(B1304,""zh_cn"",""vi"")"),"hệ thống")</f>
        <v>hệ thống</v>
      </c>
      <c r="G1304" s="12"/>
      <c r="H1304" s="6"/>
      <c r="I1304" s="11" t="b">
        <f t="shared" si="2"/>
        <v>0</v>
      </c>
      <c r="J1304" s="24"/>
      <c r="K1304" s="11" t="b">
        <f t="shared" si="3"/>
        <v>0</v>
      </c>
    </row>
    <row r="1305" ht="22.5" customHeight="1">
      <c r="A1305" s="12">
        <f t="shared" si="4"/>
        <v>4903</v>
      </c>
      <c r="B1305" s="6" t="s">
        <v>13804</v>
      </c>
      <c r="C1305" s="7" t="str">
        <f t="shared" si="7"/>
        <v>🔊</v>
      </c>
      <c r="D1305" s="8" t="s">
        <v>9958</v>
      </c>
      <c r="E1305" s="6" t="s">
        <v>27</v>
      </c>
      <c r="F1305" s="12" t="str">
        <f>IFERROR(__xludf.DUMMYFUNCTION("GOOGLETRANSLATE(B1305,""zh_cn"",""vi"")"),"đồng")</f>
        <v>đồng</v>
      </c>
      <c r="G1305" s="12"/>
      <c r="H1305" s="6"/>
      <c r="I1305" s="11" t="b">
        <f t="shared" si="2"/>
        <v>0</v>
      </c>
      <c r="J1305" s="24"/>
      <c r="K1305" s="11" t="b">
        <f t="shared" si="3"/>
        <v>0</v>
      </c>
    </row>
    <row r="1306" ht="22.5" customHeight="1">
      <c r="A1306" s="12">
        <f t="shared" si="4"/>
        <v>4904</v>
      </c>
      <c r="B1306" s="6" t="s">
        <v>13805</v>
      </c>
      <c r="C1306" s="7" t="str">
        <f t="shared" si="7"/>
        <v>🔊</v>
      </c>
      <c r="D1306" s="8" t="s">
        <v>13806</v>
      </c>
      <c r="E1306" s="6" t="s">
        <v>27</v>
      </c>
      <c r="F1306" s="12" t="str">
        <f>IFERROR(__xludf.DUMMYFUNCTION("GOOGLETRANSLATE(B1306,""zh_cn"",""vi"")"),"bạn đồng hành")</f>
        <v>bạn đồng hành</v>
      </c>
      <c r="G1306" s="12"/>
      <c r="H1306" s="6"/>
      <c r="I1306" s="11" t="b">
        <f t="shared" si="2"/>
        <v>0</v>
      </c>
      <c r="J1306" s="24"/>
      <c r="K1306" s="11" t="b">
        <f t="shared" si="3"/>
        <v>0</v>
      </c>
    </row>
    <row r="1307" ht="22.5" customHeight="1">
      <c r="A1307" s="12">
        <f t="shared" si="4"/>
        <v>4905</v>
      </c>
      <c r="B1307" s="6" t="s">
        <v>13807</v>
      </c>
      <c r="C1307" s="7" t="str">
        <f t="shared" si="7"/>
        <v>🔊</v>
      </c>
      <c r="D1307" s="8" t="s">
        <v>13808</v>
      </c>
      <c r="E1307" s="6" t="s">
        <v>27</v>
      </c>
      <c r="F1307" s="12" t="str">
        <f>IFERROR(__xludf.DUMMYFUNCTION("GOOGLETRANSLATE(B1307,""zh_cn"",""vi"")"),"lối đi")</f>
        <v>lối đi</v>
      </c>
      <c r="G1307" s="12"/>
      <c r="H1307" s="6"/>
      <c r="I1307" s="11" t="b">
        <f t="shared" si="2"/>
        <v>0</v>
      </c>
      <c r="J1307" s="24"/>
      <c r="K1307" s="11" t="b">
        <f t="shared" si="3"/>
        <v>0</v>
      </c>
    </row>
    <row r="1308" ht="22.5" customHeight="1">
      <c r="A1308" s="12">
        <f t="shared" si="4"/>
        <v>4906</v>
      </c>
      <c r="B1308" s="6" t="s">
        <v>13809</v>
      </c>
      <c r="C1308" s="7" t="str">
        <f t="shared" si="7"/>
        <v>🔊</v>
      </c>
      <c r="D1308" s="8" t="s">
        <v>13810</v>
      </c>
      <c r="E1308" s="6" t="s">
        <v>13</v>
      </c>
      <c r="F1308" s="12" t="str">
        <f>IFERROR(__xludf.DUMMYFUNCTION("GOOGLETRANSLATE(B1308,""zh_cn"",""vi"")"),"thông gió")</f>
        <v>thông gió</v>
      </c>
      <c r="G1308" s="12"/>
      <c r="H1308" s="6"/>
      <c r="I1308" s="11" t="b">
        <f t="shared" si="2"/>
        <v>0</v>
      </c>
      <c r="J1308" s="24"/>
      <c r="K1308" s="11" t="b">
        <f t="shared" si="3"/>
        <v>0</v>
      </c>
    </row>
    <row r="1309" ht="22.5" customHeight="1">
      <c r="A1309" s="12">
        <f t="shared" si="4"/>
        <v>4907</v>
      </c>
      <c r="B1309" s="6" t="s">
        <v>13811</v>
      </c>
      <c r="C1309" s="7" t="str">
        <f t="shared" si="7"/>
        <v>🔊</v>
      </c>
      <c r="D1309" s="8" t="s">
        <v>13812</v>
      </c>
      <c r="E1309" s="6" t="s">
        <v>232</v>
      </c>
      <c r="F1309" s="12" t="str">
        <f>IFERROR(__xludf.DUMMYFUNCTION("GOOGLETRANSLATE(B1309,""zh_cn"",""vi"")"),"đồng nghiệp")</f>
        <v>đồng nghiệp</v>
      </c>
      <c r="G1309" s="12"/>
      <c r="H1309" s="6"/>
      <c r="I1309" s="11" t="b">
        <f t="shared" si="2"/>
        <v>0</v>
      </c>
      <c r="J1309" s="24"/>
      <c r="K1309" s="11" t="b">
        <f t="shared" si="3"/>
        <v>0</v>
      </c>
    </row>
    <row r="1310" ht="22.5" customHeight="1">
      <c r="A1310" s="12">
        <f t="shared" si="4"/>
        <v>4908</v>
      </c>
      <c r="B1310" s="6" t="s">
        <v>13813</v>
      </c>
      <c r="C1310" s="7" t="str">
        <f t="shared" si="7"/>
        <v>🔊</v>
      </c>
      <c r="D1310" s="8" t="s">
        <v>13814</v>
      </c>
      <c r="E1310" s="6" t="s">
        <v>27</v>
      </c>
      <c r="F1310" s="12" t="str">
        <f>IFERROR(__xludf.DUMMYFUNCTION("GOOGLETRANSLATE(B1310,""zh_cn"",""vi"")"),"truyện cổ tích")</f>
        <v>truyện cổ tích</v>
      </c>
      <c r="G1310" s="12"/>
      <c r="H1310" s="6"/>
      <c r="I1310" s="11" t="b">
        <f t="shared" si="2"/>
        <v>0</v>
      </c>
      <c r="J1310" s="24"/>
      <c r="K1310" s="11" t="b">
        <f t="shared" si="3"/>
        <v>0</v>
      </c>
    </row>
    <row r="1311" ht="22.5" customHeight="1">
      <c r="A1311" s="12">
        <f t="shared" si="4"/>
        <v>4909</v>
      </c>
      <c r="B1311" s="6" t="s">
        <v>13815</v>
      </c>
      <c r="C1311" s="7" t="str">
        <f t="shared" si="7"/>
        <v>🔊</v>
      </c>
      <c r="D1311" s="8" t="s">
        <v>13816</v>
      </c>
      <c r="E1311" s="6" t="s">
        <v>13</v>
      </c>
      <c r="F1311" s="12" t="str">
        <f>IFERROR(__xludf.DUMMYFUNCTION("GOOGLETRANSLATE(B1311,""zh_cn"",""vi"")"),"gọi ")</f>
        <v>gọi </v>
      </c>
      <c r="G1311" s="12"/>
      <c r="H1311" s="6"/>
      <c r="I1311" s="11" t="b">
        <f t="shared" si="2"/>
        <v>0</v>
      </c>
      <c r="J1311" s="24"/>
      <c r="K1311" s="11" t="b">
        <f t="shared" si="3"/>
        <v>0</v>
      </c>
    </row>
    <row r="1312" ht="22.5" customHeight="1">
      <c r="A1312" s="12">
        <f t="shared" si="4"/>
        <v>4910</v>
      </c>
      <c r="B1312" s="6" t="s">
        <v>13817</v>
      </c>
      <c r="C1312" s="7" t="str">
        <f t="shared" si="7"/>
        <v>🔊</v>
      </c>
      <c r="D1312" s="8" t="s">
        <v>13818</v>
      </c>
      <c r="E1312" s="6" t="s">
        <v>99</v>
      </c>
      <c r="F1312" s="12" t="str">
        <f>IFERROR(__xludf.DUMMYFUNCTION("GOOGLETRANSLATE(B1312,""zh_cn"",""vi"")"),"vui mừng")</f>
        <v>vui mừng</v>
      </c>
      <c r="G1312" s="12"/>
      <c r="H1312" s="6"/>
      <c r="I1312" s="11" t="b">
        <f t="shared" si="2"/>
        <v>0</v>
      </c>
      <c r="J1312" s="24"/>
      <c r="K1312" s="11" t="b">
        <f t="shared" si="3"/>
        <v>0</v>
      </c>
    </row>
    <row r="1313" ht="22.5" customHeight="1">
      <c r="A1313" s="12">
        <f t="shared" si="4"/>
        <v>4911</v>
      </c>
      <c r="B1313" s="6" t="s">
        <v>13819</v>
      </c>
      <c r="C1313" s="7" t="str">
        <f t="shared" si="7"/>
        <v>🔊</v>
      </c>
      <c r="D1313" s="8" t="s">
        <v>13820</v>
      </c>
      <c r="E1313" s="6" t="s">
        <v>1164</v>
      </c>
      <c r="F1313" s="12" t="str">
        <f>IFERROR(__xludf.DUMMYFUNCTION("GOOGLETRANSLATE(B1313,""zh_cn"",""vi"")"),"tương tự")</f>
        <v>tương tự</v>
      </c>
      <c r="G1313" s="12"/>
      <c r="H1313" s="6"/>
      <c r="I1313" s="11" t="b">
        <f t="shared" si="2"/>
        <v>0</v>
      </c>
      <c r="J1313" s="24"/>
      <c r="K1313" s="11" t="b">
        <f t="shared" si="3"/>
        <v>0</v>
      </c>
    </row>
    <row r="1314" ht="22.5" customHeight="1">
      <c r="A1314" s="12">
        <f t="shared" si="4"/>
        <v>4912</v>
      </c>
      <c r="B1314" s="6" t="s">
        <v>13821</v>
      </c>
      <c r="C1314" s="7" t="str">
        <f t="shared" si="7"/>
        <v>🔊</v>
      </c>
      <c r="D1314" s="8" t="s">
        <v>13822</v>
      </c>
      <c r="E1314" s="6" t="s">
        <v>27</v>
      </c>
      <c r="F1314" s="12" t="str">
        <f>IFERROR(__xludf.DUMMYFUNCTION("GOOGLETRANSLATE(B1314,""zh_cn"",""vi"")"),"huy chương đồng")</f>
        <v>huy chương đồng</v>
      </c>
      <c r="G1314" s="12"/>
      <c r="H1314" s="6"/>
      <c r="I1314" s="11" t="b">
        <f t="shared" si="2"/>
        <v>0</v>
      </c>
      <c r="J1314" s="24"/>
      <c r="K1314" s="11" t="b">
        <f t="shared" si="3"/>
        <v>0</v>
      </c>
    </row>
    <row r="1315" ht="22.5" customHeight="1">
      <c r="A1315" s="12">
        <f t="shared" si="4"/>
        <v>4913</v>
      </c>
      <c r="B1315" s="6" t="s">
        <v>13823</v>
      </c>
      <c r="C1315" s="7" t="str">
        <f t="shared" si="7"/>
        <v>🔊</v>
      </c>
      <c r="D1315" s="8" t="s">
        <v>13824</v>
      </c>
      <c r="E1315" s="6" t="s">
        <v>13</v>
      </c>
      <c r="F1315" s="12" t="str">
        <f>IFERROR(__xludf.DUMMYFUNCTION("GOOGLETRANSLATE(B1315,""zh_cn"",""vi"")"),"giao tiếp")</f>
        <v>giao tiếp</v>
      </c>
      <c r="G1315" s="12"/>
      <c r="H1315" s="6"/>
      <c r="I1315" s="11" t="b">
        <f t="shared" si="2"/>
        <v>0</v>
      </c>
      <c r="J1315" s="24"/>
      <c r="K1315" s="11" t="b">
        <f t="shared" si="3"/>
        <v>0</v>
      </c>
    </row>
    <row r="1316" ht="22.5" customHeight="1">
      <c r="A1316" s="12">
        <f t="shared" si="4"/>
        <v>4914</v>
      </c>
      <c r="B1316" s="6" t="s">
        <v>13825</v>
      </c>
      <c r="C1316" s="7" t="str">
        <f t="shared" si="7"/>
        <v>🔊</v>
      </c>
      <c r="D1316" s="8" t="s">
        <v>13826</v>
      </c>
      <c r="E1316" s="6" t="s">
        <v>27</v>
      </c>
      <c r="F1316" s="12" t="str">
        <f>IFERROR(__xludf.DUMMYFUNCTION("GOOGLETRANSLATE(B1316,""zh_cn"",""vi"")"),"giao tiếp")</f>
        <v>giao tiếp</v>
      </c>
      <c r="G1316" s="12"/>
      <c r="H1316" s="6"/>
      <c r="I1316" s="11" t="b">
        <f t="shared" si="2"/>
        <v>0</v>
      </c>
      <c r="J1316" s="24"/>
      <c r="K1316" s="11" t="b">
        <f t="shared" si="3"/>
        <v>0</v>
      </c>
    </row>
    <row r="1317" ht="22.5" customHeight="1">
      <c r="A1317" s="12">
        <f t="shared" si="4"/>
        <v>4915</v>
      </c>
      <c r="B1317" s="6" t="s">
        <v>13827</v>
      </c>
      <c r="C1317" s="7" t="str">
        <f t="shared" si="7"/>
        <v>🔊</v>
      </c>
      <c r="D1317" s="8" t="s">
        <v>13828</v>
      </c>
      <c r="E1317" s="6" t="s">
        <v>13</v>
      </c>
      <c r="F1317" s="12" t="str">
        <f>IFERROR(__xludf.DUMMYFUNCTION("GOOGLETRANSLATE(B1317,""zh_cn"",""vi"")"),"Tổng quan")</f>
        <v>Tổng quan</v>
      </c>
      <c r="G1317" s="12"/>
      <c r="H1317" s="6"/>
      <c r="I1317" s="11" t="b">
        <f t="shared" si="2"/>
        <v>0</v>
      </c>
      <c r="J1317" s="24"/>
      <c r="K1317" s="11" t="b">
        <f t="shared" si="3"/>
        <v>0</v>
      </c>
    </row>
    <row r="1318" ht="22.5" customHeight="1">
      <c r="A1318" s="12">
        <f t="shared" si="4"/>
        <v>4916</v>
      </c>
      <c r="B1318" s="6" t="s">
        <v>13829</v>
      </c>
      <c r="C1318" s="7" t="str">
        <f t="shared" si="7"/>
        <v>🔊</v>
      </c>
      <c r="D1318" s="8" t="s">
        <v>13830</v>
      </c>
      <c r="E1318" s="6" t="s">
        <v>368</v>
      </c>
      <c r="F1318" s="12" t="str">
        <f>IFERROR(__xludf.DUMMYFUNCTION("GOOGLETRANSLATE(B1318,""zh_cn"",""vi"")"),"bởi vì")</f>
        <v>bởi vì</v>
      </c>
      <c r="G1318" s="12"/>
      <c r="H1318" s="6"/>
      <c r="I1318" s="11" t="b">
        <f t="shared" si="2"/>
        <v>0</v>
      </c>
      <c r="J1318" s="24"/>
      <c r="K1318" s="11" t="b">
        <f t="shared" si="3"/>
        <v>0</v>
      </c>
    </row>
    <row r="1319" ht="22.5" customHeight="1">
      <c r="A1319" s="12">
        <f t="shared" si="4"/>
        <v>4917</v>
      </c>
      <c r="B1319" s="6" t="s">
        <v>13831</v>
      </c>
      <c r="C1319" s="7" t="str">
        <f t="shared" si="7"/>
        <v>🔊</v>
      </c>
      <c r="D1319" s="8" t="s">
        <v>13832</v>
      </c>
      <c r="E1319" s="6" t="s">
        <v>433</v>
      </c>
      <c r="F1319" s="12" t="str">
        <f>IFERROR(__xludf.DUMMYFUNCTION("GOOGLETRANSLATE(B1319,""zh_cn"",""vi"")"),"ăn cắp")</f>
        <v>ăn cắp</v>
      </c>
      <c r="G1319" s="12"/>
      <c r="H1319" s="6"/>
      <c r="I1319" s="11" t="b">
        <f t="shared" si="2"/>
        <v>0</v>
      </c>
      <c r="J1319" s="24"/>
      <c r="K1319" s="11" t="b">
        <f t="shared" si="3"/>
        <v>0</v>
      </c>
    </row>
    <row r="1320" ht="22.5" customHeight="1">
      <c r="A1320" s="12">
        <f t="shared" si="4"/>
        <v>4918</v>
      </c>
      <c r="B1320" s="6" t="s">
        <v>13833</v>
      </c>
      <c r="C1320" s="7" t="str">
        <f t="shared" si="7"/>
        <v>🔊</v>
      </c>
      <c r="D1320" s="8" t="s">
        <v>13834</v>
      </c>
      <c r="E1320" s="6" t="s">
        <v>13</v>
      </c>
      <c r="F1320" s="12" t="str">
        <f>IFERROR(__xludf.DUMMYFUNCTION("GOOGLETRANSLATE(B1320,""zh_cn"",""vi"")"),"Bởi vì")</f>
        <v>Bởi vì</v>
      </c>
      <c r="G1320" s="12"/>
      <c r="H1320" s="6"/>
      <c r="I1320" s="11" t="b">
        <f t="shared" si="2"/>
        <v>0</v>
      </c>
      <c r="J1320" s="24"/>
      <c r="K1320" s="11" t="b">
        <f t="shared" si="3"/>
        <v>0</v>
      </c>
    </row>
    <row r="1321" ht="22.5" customHeight="1">
      <c r="A1321" s="12">
        <f t="shared" si="4"/>
        <v>4919</v>
      </c>
      <c r="B1321" s="6" t="s">
        <v>13835</v>
      </c>
      <c r="C1321" s="7" t="str">
        <f t="shared" si="7"/>
        <v>🔊</v>
      </c>
      <c r="D1321" s="8" t="s">
        <v>13836</v>
      </c>
      <c r="E1321" s="6" t="s">
        <v>13</v>
      </c>
      <c r="F1321" s="12" t="str">
        <f>IFERROR(__xludf.DUMMYFUNCTION("GOOGLETRANSLATE(B1321,""zh_cn"",""vi"")"),"tiết lộ")</f>
        <v>tiết lộ</v>
      </c>
      <c r="G1321" s="12"/>
      <c r="H1321" s="6"/>
      <c r="I1321" s="11" t="b">
        <f t="shared" si="2"/>
        <v>0</v>
      </c>
      <c r="J1321" s="24"/>
      <c r="K1321" s="11" t="b">
        <f t="shared" si="3"/>
        <v>0</v>
      </c>
    </row>
    <row r="1322" ht="22.5" customHeight="1">
      <c r="A1322" s="12">
        <f t="shared" si="4"/>
        <v>4920</v>
      </c>
      <c r="B1322" s="6" t="s">
        <v>13837</v>
      </c>
      <c r="C1322" s="7" t="str">
        <f t="shared" si="7"/>
        <v>🔊</v>
      </c>
      <c r="D1322" s="8" t="s">
        <v>13838</v>
      </c>
      <c r="E1322" s="6" t="s">
        <v>99</v>
      </c>
      <c r="F1322" s="12" t="str">
        <f>IFERROR(__xludf.DUMMYFUNCTION("GOOGLETRANSLATE(B1322,""zh_cn"",""vi"")"),"trong suốt")</f>
        <v>trong suốt</v>
      </c>
      <c r="G1322" s="12"/>
      <c r="H1322" s="6"/>
      <c r="I1322" s="11" t="b">
        <f t="shared" si="2"/>
        <v>0</v>
      </c>
      <c r="J1322" s="24"/>
      <c r="K1322" s="11" t="b">
        <f t="shared" si="3"/>
        <v>0</v>
      </c>
    </row>
    <row r="1323" ht="22.5" customHeight="1">
      <c r="A1323" s="12">
        <f t="shared" si="4"/>
        <v>4921</v>
      </c>
      <c r="B1323" s="6" t="s">
        <v>13839</v>
      </c>
      <c r="C1323" s="7" t="str">
        <f t="shared" si="7"/>
        <v>🔊</v>
      </c>
      <c r="D1323" s="8" t="s">
        <v>13840</v>
      </c>
      <c r="E1323" s="6" t="s">
        <v>27</v>
      </c>
      <c r="F1323" s="12" t="str">
        <f>IFERROR(__xludf.DUMMYFUNCTION("GOOGLETRANSLATE(B1323,""zh_cn"",""vi"")"),"tâm trí")</f>
        <v>tâm trí</v>
      </c>
      <c r="G1323" s="12"/>
      <c r="H1323" s="6"/>
      <c r="I1323" s="11" t="b">
        <f t="shared" si="2"/>
        <v>0</v>
      </c>
      <c r="J1323" s="24"/>
      <c r="K1323" s="11" t="b">
        <f t="shared" si="3"/>
        <v>0</v>
      </c>
    </row>
    <row r="1324" ht="22.5" customHeight="1">
      <c r="A1324" s="12">
        <f t="shared" si="4"/>
        <v>4922</v>
      </c>
      <c r="B1324" s="6" t="s">
        <v>13841</v>
      </c>
      <c r="C1324" s="7" t="str">
        <f t="shared" si="7"/>
        <v>🔊</v>
      </c>
      <c r="D1324" s="8" t="s">
        <v>13842</v>
      </c>
      <c r="E1324" s="6" t="s">
        <v>13</v>
      </c>
      <c r="F1324" s="12" t="str">
        <f>IFERROR(__xludf.DUMMYFUNCTION("GOOGLETRANSLATE(B1324,""zh_cn"",""vi"")"),"bỏ phiếu")</f>
        <v>bỏ phiếu</v>
      </c>
      <c r="G1324" s="12"/>
      <c r="H1324" s="6"/>
      <c r="I1324" s="11" t="b">
        <f t="shared" si="2"/>
        <v>0</v>
      </c>
      <c r="J1324" s="24"/>
      <c r="K1324" s="11" t="b">
        <f t="shared" si="3"/>
        <v>0</v>
      </c>
    </row>
    <row r="1325" ht="22.5" customHeight="1">
      <c r="A1325" s="12">
        <f t="shared" si="4"/>
        <v>4923</v>
      </c>
      <c r="B1325" s="6" t="s">
        <v>13843</v>
      </c>
      <c r="C1325" s="7" t="str">
        <f t="shared" si="7"/>
        <v>🔊</v>
      </c>
      <c r="D1325" s="8" t="s">
        <v>13844</v>
      </c>
      <c r="E1325" s="6" t="s">
        <v>13</v>
      </c>
      <c r="F1325" s="12" t="str">
        <f>IFERROR(__xludf.DUMMYFUNCTION("GOOGLETRANSLATE(B1325,""zh_cn"",""vi"")"),"lời phàn nàn")</f>
        <v>lời phàn nàn</v>
      </c>
      <c r="G1325" s="12"/>
      <c r="H1325" s="6"/>
      <c r="I1325" s="11" t="b">
        <f t="shared" si="2"/>
        <v>0</v>
      </c>
      <c r="J1325" s="24"/>
      <c r="K1325" s="11" t="b">
        <f t="shared" si="3"/>
        <v>0</v>
      </c>
    </row>
    <row r="1326" ht="22.5" customHeight="1">
      <c r="A1326" s="12">
        <f t="shared" si="4"/>
        <v>4924</v>
      </c>
      <c r="B1326" s="6" t="s">
        <v>13845</v>
      </c>
      <c r="C1326" s="7" t="str">
        <f t="shared" si="7"/>
        <v>🔊</v>
      </c>
      <c r="D1326" s="8" t="s">
        <v>13846</v>
      </c>
      <c r="E1326" s="6" t="s">
        <v>61</v>
      </c>
      <c r="F1326" s="12" t="str">
        <f>IFERROR(__xludf.DUMMYFUNCTION("GOOGLETRANSLATE(B1326,""zh_cn"",""vi"")"),"bí mật")</f>
        <v>bí mật</v>
      </c>
      <c r="G1326" s="12"/>
      <c r="H1326" s="6"/>
      <c r="I1326" s="11" t="b">
        <f t="shared" si="2"/>
        <v>0</v>
      </c>
      <c r="J1326" s="24"/>
      <c r="K1326" s="11" t="b">
        <f t="shared" si="3"/>
        <v>0</v>
      </c>
    </row>
    <row r="1327" ht="22.5" customHeight="1">
      <c r="A1327" s="12">
        <f t="shared" si="4"/>
        <v>4925</v>
      </c>
      <c r="B1327" s="6" t="s">
        <v>13847</v>
      </c>
      <c r="C1327" s="7" t="str">
        <f t="shared" si="7"/>
        <v>🔊</v>
      </c>
      <c r="D1327" s="8" t="s">
        <v>13848</v>
      </c>
      <c r="E1327" s="6" t="s">
        <v>232</v>
      </c>
      <c r="F1327" s="12" t="str">
        <f>IFERROR(__xludf.DUMMYFUNCTION("GOOGLETRANSLATE(B1327,""zh_cn"",""vi"")"),"đầu tư")</f>
        <v>đầu tư</v>
      </c>
      <c r="G1327" s="12"/>
      <c r="H1327" s="6"/>
      <c r="I1327" s="11" t="b">
        <f t="shared" si="2"/>
        <v>0</v>
      </c>
      <c r="J1327" s="24"/>
      <c r="K1327" s="11" t="b">
        <f t="shared" si="3"/>
        <v>0</v>
      </c>
    </row>
    <row r="1328" ht="22.5" customHeight="1">
      <c r="A1328" s="12">
        <f t="shared" si="4"/>
        <v>4926</v>
      </c>
      <c r="B1328" s="6" t="s">
        <v>13849</v>
      </c>
      <c r="C1328" s="7" t="str">
        <f t="shared" si="7"/>
        <v>🔊</v>
      </c>
      <c r="D1328" s="8" t="s">
        <v>13850</v>
      </c>
      <c r="E1328" s="6" t="s">
        <v>13</v>
      </c>
      <c r="F1328" s="12" t="str">
        <f>IFERROR(__xludf.DUMMYFUNCTION("GOOGLETRANSLATE(B1328,""zh_cn"",""vi"")"),"nôn mửa")</f>
        <v>nôn mửa</v>
      </c>
      <c r="G1328" s="12"/>
      <c r="H1328" s="6"/>
      <c r="I1328" s="11" t="b">
        <f t="shared" si="2"/>
        <v>0</v>
      </c>
      <c r="J1328" s="24"/>
      <c r="K1328" s="11" t="b">
        <f t="shared" si="3"/>
        <v>0</v>
      </c>
    </row>
    <row r="1329" ht="22.5" customHeight="1">
      <c r="A1329" s="12">
        <f t="shared" si="4"/>
        <v>4927</v>
      </c>
      <c r="B1329" s="6" t="s">
        <v>13849</v>
      </c>
      <c r="C1329" s="7" t="str">
        <f t="shared" si="7"/>
        <v>🔊</v>
      </c>
      <c r="D1329" s="8" t="s">
        <v>5812</v>
      </c>
      <c r="E1329" s="6" t="s">
        <v>13</v>
      </c>
      <c r="F1329" s="12" t="str">
        <f>IFERROR(__xludf.DUMMYFUNCTION("GOOGLETRANSLATE(B1329,""zh_cn"",""vi"")"),"nôn mửa")</f>
        <v>nôn mửa</v>
      </c>
      <c r="G1329" s="12"/>
      <c r="H1329" s="6"/>
      <c r="I1329" s="11" t="b">
        <f t="shared" si="2"/>
        <v>0</v>
      </c>
      <c r="J1329" s="24"/>
      <c r="K1329" s="11" t="b">
        <f t="shared" si="3"/>
        <v>0</v>
      </c>
    </row>
    <row r="1330" ht="22.5" customHeight="1">
      <c r="A1330" s="12">
        <f t="shared" si="4"/>
        <v>4928</v>
      </c>
      <c r="B1330" s="6" t="s">
        <v>13851</v>
      </c>
      <c r="C1330" s="7" t="str">
        <f t="shared" si="7"/>
        <v>🔊</v>
      </c>
      <c r="D1330" s="8" t="s">
        <v>13852</v>
      </c>
      <c r="E1330" s="6" t="s">
        <v>27</v>
      </c>
      <c r="F1330" s="12" t="str">
        <f>IFERROR(__xludf.DUMMYFUNCTION("GOOGLETRANSLATE(B1330,""zh_cn"",""vi"")"),"mẫu")</f>
        <v>mẫu</v>
      </c>
      <c r="G1330" s="12"/>
      <c r="H1330" s="6"/>
      <c r="I1330" s="11" t="b">
        <f t="shared" si="2"/>
        <v>0</v>
      </c>
      <c r="J1330" s="24"/>
      <c r="K1330" s="11" t="b">
        <f t="shared" si="3"/>
        <v>0</v>
      </c>
    </row>
    <row r="1331" ht="22.5" customHeight="1">
      <c r="A1331" s="12">
        <f t="shared" si="4"/>
        <v>4929</v>
      </c>
      <c r="B1331" s="6" t="s">
        <v>13853</v>
      </c>
      <c r="C1331" s="7" t="str">
        <f t="shared" si="7"/>
        <v>🔊</v>
      </c>
      <c r="D1331" s="8" t="s">
        <v>13854</v>
      </c>
      <c r="E1331" s="6" t="s">
        <v>368</v>
      </c>
      <c r="F1331" s="12" t="str">
        <f>IFERROR(__xludf.DUMMYFUNCTION("GOOGLETRANSLATE(B1331,""zh_cn"",""vi"")"),"Đoàn kết")</f>
        <v>Đoàn kết</v>
      </c>
      <c r="G1331" s="12"/>
      <c r="H1331" s="6"/>
      <c r="I1331" s="11" t="b">
        <f t="shared" si="2"/>
        <v>0</v>
      </c>
      <c r="J1331" s="24"/>
      <c r="K1331" s="11" t="b">
        <f t="shared" si="3"/>
        <v>0</v>
      </c>
    </row>
    <row r="1332" ht="22.5" customHeight="1">
      <c r="A1332" s="12">
        <f t="shared" si="4"/>
        <v>4930</v>
      </c>
      <c r="B1332" s="6" t="s">
        <v>13855</v>
      </c>
      <c r="C1332" s="7" t="str">
        <f t="shared" si="7"/>
        <v>🔊</v>
      </c>
      <c r="D1332" s="8" t="s">
        <v>13856</v>
      </c>
      <c r="E1332" s="6" t="s">
        <v>27</v>
      </c>
      <c r="F1332" s="12" t="str">
        <f>IFERROR(__xludf.DUMMYFUNCTION("GOOGLETRANSLATE(B1332,""zh_cn"",""vi"")"),"nhóm")</f>
        <v>nhóm</v>
      </c>
      <c r="G1332" s="12"/>
      <c r="H1332" s="6"/>
      <c r="I1332" s="11" t="b">
        <f t="shared" si="2"/>
        <v>0</v>
      </c>
      <c r="J1332" s="24"/>
      <c r="K1332" s="11" t="b">
        <f t="shared" si="3"/>
        <v>0</v>
      </c>
    </row>
    <row r="1333" ht="22.5" customHeight="1">
      <c r="A1333" s="12">
        <f t="shared" si="4"/>
        <v>4931</v>
      </c>
      <c r="B1333" s="6" t="s">
        <v>13857</v>
      </c>
      <c r="C1333" s="7" t="str">
        <f t="shared" si="7"/>
        <v>🔊</v>
      </c>
      <c r="D1333" s="8" t="s">
        <v>13858</v>
      </c>
      <c r="E1333" s="6" t="s">
        <v>13</v>
      </c>
      <c r="F1333" s="12" t="str">
        <f>IFERROR(__xludf.DUMMYFUNCTION("GOOGLETRANSLATE(B1333,""zh_cn"",""vi"")"),"đoàn tụ")</f>
        <v>đoàn tụ</v>
      </c>
      <c r="G1333" s="12"/>
      <c r="H1333" s="6"/>
      <c r="I1333" s="11" t="b">
        <f t="shared" si="2"/>
        <v>0</v>
      </c>
      <c r="J1333" s="24"/>
      <c r="K1333" s="11" t="b">
        <f t="shared" si="3"/>
        <v>0</v>
      </c>
    </row>
    <row r="1334" ht="22.5" customHeight="1">
      <c r="A1334" s="12">
        <f t="shared" si="4"/>
        <v>4932</v>
      </c>
      <c r="B1334" s="6" t="s">
        <v>13859</v>
      </c>
      <c r="C1334" s="7" t="str">
        <f t="shared" si="7"/>
        <v>🔊</v>
      </c>
      <c r="D1334" s="8" t="s">
        <v>13860</v>
      </c>
      <c r="E1334" s="6" t="s">
        <v>27</v>
      </c>
      <c r="F1334" s="12" t="str">
        <f>IFERROR(__xludf.DUMMYFUNCTION("GOOGLETRANSLATE(B1334,""zh_cn"",""vi"")"),"biểu đồ")</f>
        <v>biểu đồ</v>
      </c>
      <c r="G1334" s="12"/>
      <c r="H1334" s="6"/>
      <c r="I1334" s="11" t="b">
        <f t="shared" si="2"/>
        <v>0</v>
      </c>
      <c r="J1334" s="24"/>
      <c r="K1334" s="11" t="b">
        <f t="shared" si="3"/>
        <v>0</v>
      </c>
    </row>
    <row r="1335" ht="22.5" customHeight="1">
      <c r="A1335" s="12">
        <f t="shared" si="4"/>
        <v>4933</v>
      </c>
      <c r="B1335" s="6" t="s">
        <v>13861</v>
      </c>
      <c r="C1335" s="7" t="str">
        <f t="shared" si="7"/>
        <v>🔊</v>
      </c>
      <c r="D1335" s="8" t="s">
        <v>13862</v>
      </c>
      <c r="E1335" s="6" t="s">
        <v>27</v>
      </c>
      <c r="F1335" s="12" t="str">
        <f>IFERROR(__xludf.DUMMYFUNCTION("GOOGLETRANSLATE(B1335,""zh_cn"",""vi"")"),"học việc")</f>
        <v>học việc</v>
      </c>
      <c r="G1335" s="12"/>
      <c r="H1335" s="6"/>
      <c r="I1335" s="11" t="b">
        <f t="shared" si="2"/>
        <v>0</v>
      </c>
      <c r="J1335" s="24"/>
      <c r="K1335" s="11" t="b">
        <f t="shared" si="3"/>
        <v>0</v>
      </c>
    </row>
    <row r="1336" ht="22.5" customHeight="1">
      <c r="A1336" s="12">
        <f t="shared" si="4"/>
        <v>4934</v>
      </c>
      <c r="B1336" s="6" t="s">
        <v>13863</v>
      </c>
      <c r="C1336" s="7" t="str">
        <f t="shared" si="7"/>
        <v>🔊</v>
      </c>
      <c r="D1336" s="8" t="s">
        <v>13864</v>
      </c>
      <c r="E1336" s="6" t="s">
        <v>13</v>
      </c>
      <c r="F1336" s="12" t="str">
        <f>IFERROR(__xludf.DUMMYFUNCTION("GOOGLETRANSLATE(B1336,""zh_cn"",""vi"")"),"đột ngột")</f>
        <v>đột ngột</v>
      </c>
      <c r="G1336" s="12"/>
      <c r="H1336" s="6"/>
      <c r="I1336" s="11" t="b">
        <f t="shared" si="2"/>
        <v>0</v>
      </c>
      <c r="J1336" s="24"/>
      <c r="K1336" s="11" t="b">
        <f t="shared" si="3"/>
        <v>0</v>
      </c>
    </row>
    <row r="1337" ht="22.5" customHeight="1">
      <c r="A1337" s="12">
        <f t="shared" si="4"/>
        <v>4935</v>
      </c>
      <c r="B1337" s="6" t="s">
        <v>13865</v>
      </c>
      <c r="C1337" s="7" t="str">
        <f t="shared" si="7"/>
        <v>🔊</v>
      </c>
      <c r="D1337" s="8" t="s">
        <v>13866</v>
      </c>
      <c r="E1337" s="6" t="s">
        <v>13</v>
      </c>
      <c r="F1337" s="12" t="str">
        <f>IFERROR(__xludf.DUMMYFUNCTION("GOOGLETRANSLATE(B1337,""zh_cn"",""vi"")"),"suy đoán")</f>
        <v>suy đoán</v>
      </c>
      <c r="G1337" s="12"/>
      <c r="H1337" s="6"/>
      <c r="I1337" s="11" t="b">
        <f t="shared" si="2"/>
        <v>0</v>
      </c>
      <c r="J1337" s="24"/>
      <c r="K1337" s="11" t="b">
        <f t="shared" si="3"/>
        <v>0</v>
      </c>
    </row>
    <row r="1338" ht="22.5" customHeight="1">
      <c r="A1338" s="12">
        <f t="shared" si="4"/>
        <v>4936</v>
      </c>
      <c r="B1338" s="6" t="s">
        <v>13867</v>
      </c>
      <c r="C1338" s="7" t="str">
        <f t="shared" si="7"/>
        <v>🔊</v>
      </c>
      <c r="D1338" s="8" t="s">
        <v>13868</v>
      </c>
      <c r="E1338" s="6" t="s">
        <v>13</v>
      </c>
      <c r="F1338" s="12" t="str">
        <f>IFERROR(__xludf.DUMMYFUNCTION("GOOGLETRANSLATE(B1338,""zh_cn"",""vi"")"),"Hoàn thuế")</f>
        <v>Hoàn thuế</v>
      </c>
      <c r="G1338" s="12"/>
      <c r="H1338" s="6"/>
      <c r="I1338" s="11" t="b">
        <f t="shared" si="2"/>
        <v>0</v>
      </c>
      <c r="J1338" s="24"/>
      <c r="K1338" s="11" t="b">
        <f t="shared" si="3"/>
        <v>0</v>
      </c>
    </row>
    <row r="1339" ht="22.5" customHeight="1">
      <c r="A1339" s="12">
        <f t="shared" si="4"/>
        <v>4937</v>
      </c>
      <c r="B1339" s="6" t="s">
        <v>13869</v>
      </c>
      <c r="C1339" s="7" t="str">
        <f t="shared" si="7"/>
        <v>🔊</v>
      </c>
      <c r="D1339" s="8" t="s">
        <v>13870</v>
      </c>
      <c r="E1339" s="6" t="s">
        <v>13</v>
      </c>
      <c r="F1339" s="12" t="str">
        <f>IFERROR(__xludf.DUMMYFUNCTION("GOOGLETRANSLATE(B1339,""zh_cn"",""vi"")"),"bán")</f>
        <v>bán</v>
      </c>
      <c r="G1339" s="12"/>
      <c r="H1339" s="6"/>
      <c r="I1339" s="11" t="b">
        <f t="shared" si="2"/>
        <v>0</v>
      </c>
      <c r="J1339" s="24"/>
      <c r="K1339" s="11" t="b">
        <f t="shared" si="3"/>
        <v>0</v>
      </c>
    </row>
    <row r="1340" ht="22.5" customHeight="1">
      <c r="A1340" s="12">
        <f t="shared" si="4"/>
        <v>4938</v>
      </c>
      <c r="B1340" s="6" t="s">
        <v>13871</v>
      </c>
      <c r="C1340" s="7" t="str">
        <f t="shared" si="7"/>
        <v>🔊</v>
      </c>
      <c r="D1340" s="8" t="s">
        <v>13872</v>
      </c>
      <c r="E1340" s="6" t="s">
        <v>13</v>
      </c>
      <c r="F1340" s="12" t="str">
        <f>IFERROR(__xludf.DUMMYFUNCTION("GOOGLETRANSLATE(B1340,""zh_cn"",""vi"")"),"Khuyến khích")</f>
        <v>Khuyến khích</v>
      </c>
      <c r="G1340" s="12"/>
      <c r="H1340" s="6"/>
      <c r="I1340" s="11" t="b">
        <f t="shared" si="2"/>
        <v>0</v>
      </c>
      <c r="J1340" s="24"/>
      <c r="K1340" s="11" t="b">
        <f t="shared" si="3"/>
        <v>0</v>
      </c>
    </row>
    <row r="1341" ht="22.5" customHeight="1">
      <c r="A1341" s="12">
        <f t="shared" si="4"/>
        <v>4939</v>
      </c>
      <c r="B1341" s="6" t="s">
        <v>13873</v>
      </c>
      <c r="C1341" s="7" t="str">
        <f t="shared" si="7"/>
        <v>🔊</v>
      </c>
      <c r="D1341" s="8" t="s">
        <v>13874</v>
      </c>
      <c r="E1341" s="6" t="s">
        <v>27</v>
      </c>
      <c r="F1341" s="12" t="str">
        <f>IFERROR(__xludf.DUMMYFUNCTION("GOOGLETRANSLATE(B1341,""zh_cn"",""vi"")"),"đường")</f>
        <v>đường</v>
      </c>
      <c r="G1341" s="12"/>
      <c r="H1341" s="6"/>
      <c r="I1341" s="11" t="b">
        <f t="shared" si="2"/>
        <v>0</v>
      </c>
      <c r="J1341" s="24"/>
      <c r="K1341" s="11" t="b">
        <f t="shared" si="3"/>
        <v>0</v>
      </c>
    </row>
    <row r="1342" ht="22.5" customHeight="1">
      <c r="A1342" s="12">
        <f t="shared" si="4"/>
        <v>4940</v>
      </c>
      <c r="B1342" s="6" t="s">
        <v>13875</v>
      </c>
      <c r="C1342" s="7" t="str">
        <f t="shared" si="7"/>
        <v>🔊</v>
      </c>
      <c r="D1342" s="8" t="s">
        <v>13876</v>
      </c>
      <c r="E1342" s="6" t="s">
        <v>13</v>
      </c>
      <c r="F1342" s="12" t="str">
        <f>IFERROR(__xludf.DUMMYFUNCTION("GOOGLETRANSLATE(B1342,""zh_cn"",""vi"")"),"nuốt")</f>
        <v>nuốt</v>
      </c>
      <c r="G1342" s="12"/>
      <c r="H1342" s="6"/>
      <c r="I1342" s="11" t="b">
        <f t="shared" si="2"/>
        <v>0</v>
      </c>
      <c r="J1342" s="24"/>
      <c r="K1342" s="11" t="b">
        <f t="shared" si="3"/>
        <v>0</v>
      </c>
    </row>
    <row r="1343" ht="22.5" customHeight="1">
      <c r="A1343" s="12">
        <f t="shared" si="4"/>
        <v>4941</v>
      </c>
      <c r="B1343" s="6" t="s">
        <v>13877</v>
      </c>
      <c r="C1343" s="7" t="str">
        <f t="shared" si="7"/>
        <v>🔊</v>
      </c>
      <c r="D1343" s="8" t="s">
        <v>5827</v>
      </c>
      <c r="E1343" s="6" t="s">
        <v>13</v>
      </c>
      <c r="F1343" s="12" t="str">
        <f>IFERROR(__xludf.DUMMYFUNCTION("GOOGLETRANSLATE(B1343,""zh_cn"",""vi"")"),"lôi kéo")</f>
        <v>lôi kéo</v>
      </c>
      <c r="G1343" s="12"/>
      <c r="H1343" s="6"/>
      <c r="I1343" s="11" t="b">
        <f t="shared" si="2"/>
        <v>0</v>
      </c>
      <c r="J1343" s="24"/>
      <c r="K1343" s="11" t="b">
        <f t="shared" si="3"/>
        <v>0</v>
      </c>
    </row>
    <row r="1344" ht="22.5" customHeight="1">
      <c r="A1344" s="12">
        <f t="shared" si="4"/>
        <v>4942</v>
      </c>
      <c r="B1344" s="6" t="s">
        <v>13878</v>
      </c>
      <c r="C1344" s="7" t="str">
        <f t="shared" si="7"/>
        <v>🔊</v>
      </c>
      <c r="D1344" s="8" t="s">
        <v>13879</v>
      </c>
      <c r="E1344" s="6" t="s">
        <v>13</v>
      </c>
      <c r="F1344" s="12" t="str">
        <f>IFERROR(__xludf.DUMMYFUNCTION("GOOGLETRANSLATE(B1344,""zh_cn"",""vi"")"),"sự trì hoãn")</f>
        <v>sự trì hoãn</v>
      </c>
      <c r="G1344" s="12"/>
      <c r="H1344" s="6"/>
      <c r="I1344" s="11" t="b">
        <f t="shared" si="2"/>
        <v>0</v>
      </c>
      <c r="J1344" s="24"/>
      <c r="K1344" s="11" t="b">
        <f t="shared" si="3"/>
        <v>0</v>
      </c>
    </row>
    <row r="1345" ht="22.5" customHeight="1">
      <c r="A1345" s="12">
        <f t="shared" si="4"/>
        <v>4943</v>
      </c>
      <c r="B1345" s="6" t="s">
        <v>13880</v>
      </c>
      <c r="C1345" s="7" t="str">
        <f t="shared" si="7"/>
        <v>🔊</v>
      </c>
      <c r="D1345" s="8" t="s">
        <v>13881</v>
      </c>
      <c r="E1345" s="6" t="s">
        <v>13</v>
      </c>
      <c r="F1345" s="12" t="str">
        <f>IFERROR(__xludf.DUMMYFUNCTION("GOOGLETRANSLATE(B1345,""zh_cn"",""vi"")"),"Đăng ký vào")</f>
        <v>Đăng ký vào</v>
      </c>
      <c r="G1345" s="12"/>
      <c r="H1345" s="6"/>
      <c r="I1345" s="11" t="b">
        <f t="shared" si="2"/>
        <v>0</v>
      </c>
      <c r="J1345" s="24"/>
      <c r="K1345" s="11" t="b">
        <f t="shared" si="3"/>
        <v>0</v>
      </c>
    </row>
    <row r="1346" ht="22.5" customHeight="1">
      <c r="A1346" s="12">
        <f t="shared" si="4"/>
        <v>4944</v>
      </c>
      <c r="B1346" s="6" t="s">
        <v>13882</v>
      </c>
      <c r="C1346" s="7" t="str">
        <f t="shared" si="7"/>
        <v>🔊</v>
      </c>
      <c r="D1346" s="8" t="s">
        <v>13883</v>
      </c>
      <c r="E1346" s="6" t="s">
        <v>13</v>
      </c>
      <c r="F1346" s="12" t="str">
        <f>IFERROR(__xludf.DUMMYFUNCTION("GOOGLETRANSLATE(B1346,""zh_cn"",""vi"")"),"đột phá")</f>
        <v>đột phá</v>
      </c>
      <c r="G1346" s="12"/>
      <c r="H1346" s="6"/>
      <c r="I1346" s="11" t="b">
        <f t="shared" si="2"/>
        <v>0</v>
      </c>
      <c r="J1346" s="24"/>
      <c r="K1346" s="11" t="b">
        <f t="shared" si="3"/>
        <v>0</v>
      </c>
    </row>
    <row r="1347" ht="22.5" customHeight="1">
      <c r="A1347" s="12">
        <f t="shared" si="4"/>
        <v>4945</v>
      </c>
      <c r="B1347" s="6" t="s">
        <v>13884</v>
      </c>
      <c r="C1347" s="7" t="str">
        <f t="shared" si="7"/>
        <v>🔊</v>
      </c>
      <c r="D1347" s="8" t="s">
        <v>13885</v>
      </c>
      <c r="E1347" s="6" t="s">
        <v>27</v>
      </c>
      <c r="F1347" s="12" t="str">
        <f>IFERROR(__xludf.DUMMYFUNCTION("GOOGLETRANSLATE(B1347,""zh_cn"",""vi"")"),"đất")</f>
        <v>đất</v>
      </c>
      <c r="G1347" s="12"/>
      <c r="H1347" s="6"/>
      <c r="I1347" s="11" t="b">
        <f t="shared" si="2"/>
        <v>0</v>
      </c>
      <c r="J1347" s="24"/>
      <c r="K1347" s="11" t="b">
        <f t="shared" si="3"/>
        <v>0</v>
      </c>
    </row>
    <row r="1348" ht="22.5" customHeight="1">
      <c r="A1348" s="12">
        <f t="shared" si="4"/>
        <v>4946</v>
      </c>
      <c r="B1348" s="6" t="s">
        <v>13886</v>
      </c>
      <c r="C1348" s="7" t="str">
        <f t="shared" si="7"/>
        <v>🔊</v>
      </c>
      <c r="D1348" s="8" t="s">
        <v>13887</v>
      </c>
      <c r="E1348" s="6" t="s">
        <v>27</v>
      </c>
      <c r="F1348" s="12" t="str">
        <f>IFERROR(__xludf.DUMMYFUNCTION("GOOGLETRANSLATE(B1348,""zh_cn"",""vi"")"),"hình ảnh")</f>
        <v>hình ảnh</v>
      </c>
      <c r="G1348" s="12"/>
      <c r="H1348" s="6"/>
      <c r="I1348" s="11" t="b">
        <f t="shared" si="2"/>
        <v>0</v>
      </c>
      <c r="J1348" s="24"/>
      <c r="K1348" s="11" t="b">
        <f t="shared" si="3"/>
        <v>0</v>
      </c>
    </row>
    <row r="1349" ht="22.5" customHeight="1">
      <c r="A1349" s="12">
        <f t="shared" si="4"/>
        <v>4947</v>
      </c>
      <c r="B1349" s="6" t="s">
        <v>13888</v>
      </c>
      <c r="C1349" s="7" t="str">
        <f t="shared" si="7"/>
        <v>🔊</v>
      </c>
      <c r="D1349" s="8" t="s">
        <v>13889</v>
      </c>
      <c r="E1349" s="6" t="s">
        <v>13</v>
      </c>
      <c r="F1349" s="12" t="str">
        <f>IFERROR(__xludf.DUMMYFUNCTION("GOOGLETRANSLATE(B1349,""zh_cn"",""vi"")"),"đào")</f>
        <v>đào</v>
      </c>
      <c r="G1349" s="12"/>
      <c r="H1349" s="6"/>
      <c r="I1349" s="11" t="b">
        <f t="shared" si="2"/>
        <v>0</v>
      </c>
      <c r="J1349" s="24"/>
      <c r="K1349" s="11" t="b">
        <f t="shared" si="3"/>
        <v>0</v>
      </c>
    </row>
    <row r="1350" ht="22.5" customHeight="1">
      <c r="A1350" s="12">
        <f t="shared" si="4"/>
        <v>4948</v>
      </c>
      <c r="B1350" s="6" t="s">
        <v>13890</v>
      </c>
      <c r="C1350" s="7" t="str">
        <f t="shared" si="7"/>
        <v>🔊</v>
      </c>
      <c r="D1350" s="8" t="s">
        <v>13889</v>
      </c>
      <c r="E1350" s="6" t="s">
        <v>13891</v>
      </c>
      <c r="F1350" s="12" t="str">
        <f>IFERROR(__xludf.DUMMYFUNCTION("GOOGLETRANSLATE(B1350,""zh_cn"",""vi"")"),"Ồ")</f>
        <v>Ồ</v>
      </c>
      <c r="G1350" s="12"/>
      <c r="H1350" s="6"/>
      <c r="I1350" s="11" t="b">
        <f t="shared" si="2"/>
        <v>0</v>
      </c>
      <c r="J1350" s="24"/>
      <c r="K1350" s="11" t="b">
        <f t="shared" si="3"/>
        <v>0</v>
      </c>
    </row>
    <row r="1351" ht="22.5" customHeight="1">
      <c r="A1351" s="12">
        <f t="shared" si="4"/>
        <v>4949</v>
      </c>
      <c r="B1351" s="6" t="s">
        <v>13892</v>
      </c>
      <c r="C1351" s="7" t="str">
        <f t="shared" si="7"/>
        <v>🔊</v>
      </c>
      <c r="D1351" s="8" t="s">
        <v>13893</v>
      </c>
      <c r="E1351" s="6" t="s">
        <v>99</v>
      </c>
      <c r="F1351" s="12" t="str">
        <f>IFERROR(__xludf.DUMMYFUNCTION("GOOGLETRANSLATE(B1351,""zh_cn"",""vi"")"),"quanh co")</f>
        <v>quanh co</v>
      </c>
      <c r="G1351" s="12"/>
      <c r="H1351" s="6"/>
      <c r="I1351" s="11" t="b">
        <f t="shared" si="2"/>
        <v>0</v>
      </c>
      <c r="J1351" s="24"/>
      <c r="K1351" s="11" t="b">
        <f t="shared" si="3"/>
        <v>0</v>
      </c>
    </row>
    <row r="1352" ht="22.5" customHeight="1">
      <c r="A1352" s="12">
        <f t="shared" si="4"/>
        <v>4950</v>
      </c>
      <c r="B1352" s="6" t="s">
        <v>13894</v>
      </c>
      <c r="C1352" s="7" t="str">
        <f t="shared" si="7"/>
        <v>🔊</v>
      </c>
      <c r="D1352" s="8" t="s">
        <v>13895</v>
      </c>
      <c r="E1352" s="6" t="s">
        <v>27</v>
      </c>
      <c r="F1352" s="12" t="str">
        <f>IFERROR(__xludf.DUMMYFUNCTION("GOOGLETRANSLATE(B1352,""zh_cn"",""vi"")"),"Vẻ bề ngoài")</f>
        <v>Vẻ bề ngoài</v>
      </c>
      <c r="G1352" s="12"/>
      <c r="H1352" s="6"/>
      <c r="I1352" s="11" t="b">
        <f t="shared" si="2"/>
        <v>0</v>
      </c>
      <c r="J1352" s="24"/>
      <c r="K1352" s="11" t="b">
        <f t="shared" si="3"/>
        <v>0</v>
      </c>
    </row>
    <row r="1353" ht="22.5" customHeight="1">
      <c r="A1353" s="12">
        <f t="shared" si="4"/>
        <v>4951</v>
      </c>
      <c r="B1353" s="6" t="s">
        <v>13896</v>
      </c>
      <c r="C1353" s="7" t="str">
        <f t="shared" si="7"/>
        <v>🔊</v>
      </c>
      <c r="D1353" s="8" t="s">
        <v>13897</v>
      </c>
      <c r="E1353" s="6" t="s">
        <v>27</v>
      </c>
      <c r="F1353" s="12" t="str">
        <f>IFERROR(__xludf.DUMMYFUNCTION("GOOGLETRANSLATE(B1353,""zh_cn"",""vi"")"),"ngoại giao")</f>
        <v>ngoại giao</v>
      </c>
      <c r="G1353" s="12"/>
      <c r="H1353" s="6"/>
      <c r="I1353" s="11" t="b">
        <f t="shared" si="2"/>
        <v>0</v>
      </c>
      <c r="J1353" s="24"/>
      <c r="K1353" s="11" t="b">
        <f t="shared" si="3"/>
        <v>0</v>
      </c>
    </row>
    <row r="1354" ht="22.5" customHeight="1">
      <c r="A1354" s="12">
        <f t="shared" si="4"/>
        <v>4952</v>
      </c>
      <c r="B1354" s="6" t="s">
        <v>13898</v>
      </c>
      <c r="C1354" s="7" t="str">
        <f t="shared" si="7"/>
        <v>🔊</v>
      </c>
      <c r="D1354" s="8" t="s">
        <v>13899</v>
      </c>
      <c r="E1354" s="6" t="s">
        <v>27</v>
      </c>
      <c r="F1354" s="12" t="str">
        <f>IFERROR(__xludf.DUMMYFUNCTION("GOOGLETRANSLATE(B1354,""zh_cn"",""vi"")"),"thế giới bên ngoài")</f>
        <v>thế giới bên ngoài</v>
      </c>
      <c r="G1354" s="12"/>
      <c r="H1354" s="6"/>
      <c r="I1354" s="11" t="b">
        <f t="shared" si="2"/>
        <v>0</v>
      </c>
      <c r="J1354" s="24"/>
      <c r="K1354" s="11" t="b">
        <f t="shared" si="3"/>
        <v>0</v>
      </c>
    </row>
    <row r="1355" ht="22.5" customHeight="1">
      <c r="A1355" s="12">
        <f t="shared" si="4"/>
        <v>4953</v>
      </c>
      <c r="B1355" s="6" t="s">
        <v>13900</v>
      </c>
      <c r="C1355" s="7" t="str">
        <f t="shared" si="7"/>
        <v>🔊</v>
      </c>
      <c r="D1355" s="8" t="s">
        <v>13901</v>
      </c>
      <c r="E1355" s="6" t="s">
        <v>27</v>
      </c>
      <c r="F1355" s="12" t="str">
        <f>IFERROR(__xludf.DUMMYFUNCTION("GOOGLETRANSLATE(B1355,""zh_cn"",""vi"")"),"phẫu thuật")</f>
        <v>phẫu thuật</v>
      </c>
      <c r="G1355" s="12"/>
      <c r="H1355" s="6"/>
      <c r="I1355" s="11" t="b">
        <f t="shared" si="2"/>
        <v>0</v>
      </c>
      <c r="J1355" s="24"/>
      <c r="K1355" s="11" t="b">
        <f t="shared" si="3"/>
        <v>0</v>
      </c>
    </row>
    <row r="1356" ht="22.5" customHeight="1">
      <c r="A1356" s="12">
        <f t="shared" si="4"/>
        <v>4954</v>
      </c>
      <c r="B1356" s="6" t="s">
        <v>13902</v>
      </c>
      <c r="C1356" s="7" t="str">
        <f t="shared" si="7"/>
        <v>🔊</v>
      </c>
      <c r="D1356" s="8" t="s">
        <v>13903</v>
      </c>
      <c r="E1356" s="6" t="s">
        <v>99</v>
      </c>
      <c r="F1356" s="12" t="str">
        <f>IFERROR(__xludf.DUMMYFUNCTION("GOOGLETRANSLATE(B1356,""zh_cn"",""vi"")"),"nước ngoài")</f>
        <v>nước ngoài</v>
      </c>
      <c r="G1356" s="12"/>
      <c r="H1356" s="6"/>
      <c r="I1356" s="11" t="b">
        <f t="shared" si="2"/>
        <v>0</v>
      </c>
      <c r="J1356" s="24"/>
      <c r="K1356" s="11" t="b">
        <f t="shared" si="3"/>
        <v>0</v>
      </c>
    </row>
    <row r="1357" ht="22.5" customHeight="1">
      <c r="A1357" s="12">
        <f t="shared" si="4"/>
        <v>4955</v>
      </c>
      <c r="B1357" s="6" t="s">
        <v>13904</v>
      </c>
      <c r="C1357" s="7" t="str">
        <f t="shared" si="7"/>
        <v>🔊</v>
      </c>
      <c r="D1357" s="8" t="s">
        <v>13905</v>
      </c>
      <c r="E1357" s="6" t="s">
        <v>27</v>
      </c>
      <c r="F1357" s="12" t="str">
        <f>IFERROR(__xludf.DUMMYFUNCTION("GOOGLETRANSLATE(B1357,""zh_cn"",""vi"")"),"cháu trai")</f>
        <v>cháu trai</v>
      </c>
      <c r="G1357" s="12"/>
      <c r="H1357" s="6"/>
      <c r="I1357" s="11" t="b">
        <f t="shared" si="2"/>
        <v>0</v>
      </c>
      <c r="J1357" s="24"/>
      <c r="K1357" s="11" t="b">
        <f t="shared" si="3"/>
        <v>0</v>
      </c>
    </row>
    <row r="1358" ht="22.5" customHeight="1">
      <c r="A1358" s="12">
        <f t="shared" si="4"/>
        <v>4956</v>
      </c>
      <c r="B1358" s="6" t="s">
        <v>13906</v>
      </c>
      <c r="C1358" s="7" t="str">
        <f t="shared" si="7"/>
        <v>🔊</v>
      </c>
      <c r="D1358" s="8" t="s">
        <v>1537</v>
      </c>
      <c r="E1358" s="6" t="s">
        <v>13</v>
      </c>
      <c r="F1358" s="12" t="str">
        <f>IFERROR(__xludf.DUMMYFUNCTION("GOOGLETRANSLATE(B1358,""zh_cn"",""vi"")"),"nhìn thấy")</f>
        <v>nhìn thấy</v>
      </c>
      <c r="G1358" s="12"/>
      <c r="H1358" s="6"/>
      <c r="I1358" s="11" t="b">
        <f t="shared" si="2"/>
        <v>0</v>
      </c>
      <c r="J1358" s="24"/>
      <c r="K1358" s="11" t="b">
        <f t="shared" si="3"/>
        <v>0</v>
      </c>
    </row>
    <row r="1359" ht="22.5" customHeight="1">
      <c r="A1359" s="12">
        <f t="shared" si="4"/>
        <v>4957</v>
      </c>
      <c r="B1359" s="6" t="s">
        <v>13907</v>
      </c>
      <c r="C1359" s="7" t="str">
        <f t="shared" si="7"/>
        <v>🔊</v>
      </c>
      <c r="D1359" s="8" t="s">
        <v>1540</v>
      </c>
      <c r="E1359" s="6" t="s">
        <v>57</v>
      </c>
      <c r="F1359" s="12" t="str">
        <f>IFERROR(__xludf.DUMMYFUNCTION("GOOGLETRANSLATE(B1359,""zh_cn"",""vi"")"),"mạng lưới")</f>
        <v>mạng lưới</v>
      </c>
      <c r="G1359" s="12"/>
      <c r="H1359" s="6"/>
      <c r="I1359" s="11" t="b">
        <f t="shared" si="2"/>
        <v>0</v>
      </c>
      <c r="J1359" s="24"/>
      <c r="K1359" s="11" t="b">
        <f t="shared" si="3"/>
        <v>0</v>
      </c>
    </row>
    <row r="1360" ht="22.5" customHeight="1">
      <c r="A1360" s="12">
        <f t="shared" si="4"/>
        <v>4958</v>
      </c>
      <c r="B1360" s="6" t="s">
        <v>13908</v>
      </c>
      <c r="C1360" s="7" t="str">
        <f t="shared" si="7"/>
        <v>🔊</v>
      </c>
      <c r="D1360" s="8" t="s">
        <v>13909</v>
      </c>
      <c r="E1360" s="6" t="s">
        <v>27</v>
      </c>
      <c r="F1360" s="12" t="str">
        <f>IFERROR(__xludf.DUMMYFUNCTION("GOOGLETRANSLATE(B1360,""zh_cn"",""vi"")"),"sau đó")</f>
        <v>sau đó</v>
      </c>
      <c r="G1360" s="12"/>
      <c r="H1360" s="6"/>
      <c r="I1360" s="11" t="b">
        <f t="shared" si="2"/>
        <v>0</v>
      </c>
      <c r="J1360" s="24"/>
      <c r="K1360" s="11" t="b">
        <f t="shared" si="3"/>
        <v>0</v>
      </c>
    </row>
    <row r="1361" ht="22.5" customHeight="1">
      <c r="A1361" s="12">
        <f t="shared" si="4"/>
        <v>4959</v>
      </c>
      <c r="B1361" s="6" t="s">
        <v>13910</v>
      </c>
      <c r="C1361" s="7" t="str">
        <f t="shared" si="7"/>
        <v>🔊</v>
      </c>
      <c r="D1361" s="8" t="s">
        <v>13911</v>
      </c>
      <c r="E1361" s="6" t="s">
        <v>13</v>
      </c>
      <c r="F1361" s="12" t="str">
        <f>IFERROR(__xludf.DUMMYFUNCTION("GOOGLETRANSLATE(B1361,""zh_cn"",""vi"")"),"liên hệ")</f>
        <v>liên hệ</v>
      </c>
      <c r="G1361" s="12"/>
      <c r="H1361" s="6"/>
      <c r="I1361" s="11" t="b">
        <f t="shared" si="2"/>
        <v>0</v>
      </c>
      <c r="J1361" s="24"/>
      <c r="K1361" s="11" t="b">
        <f t="shared" si="3"/>
        <v>0</v>
      </c>
    </row>
    <row r="1362" ht="22.5" customHeight="1">
      <c r="A1362" s="12">
        <f t="shared" si="4"/>
        <v>4960</v>
      </c>
      <c r="B1362" s="6" t="s">
        <v>13912</v>
      </c>
      <c r="C1362" s="7" t="str">
        <f t="shared" si="7"/>
        <v>🔊</v>
      </c>
      <c r="D1362" s="8" t="s">
        <v>13913</v>
      </c>
      <c r="E1362" s="6" t="s">
        <v>27</v>
      </c>
      <c r="F1362" s="12" t="str">
        <f>IFERROR(__xludf.DUMMYFUNCTION("GOOGLETRANSLATE(B1362,""zh_cn"",""vi"")"),"trong những năm trước")</f>
        <v>trong những năm trước</v>
      </c>
      <c r="G1362" s="12"/>
      <c r="H1362" s="6"/>
      <c r="I1362" s="11" t="b">
        <f t="shared" si="2"/>
        <v>0</v>
      </c>
      <c r="J1362" s="24"/>
      <c r="K1362" s="11" t="b">
        <f t="shared" si="3"/>
        <v>0</v>
      </c>
    </row>
    <row r="1363" ht="22.5" customHeight="1">
      <c r="A1363" s="12">
        <f t="shared" si="4"/>
        <v>4961</v>
      </c>
      <c r="B1363" s="6" t="s">
        <v>13914</v>
      </c>
      <c r="C1363" s="7" t="str">
        <f t="shared" si="7"/>
        <v>🔊</v>
      </c>
      <c r="D1363" s="8" t="s">
        <v>13915</v>
      </c>
      <c r="E1363" s="6" t="s">
        <v>27</v>
      </c>
      <c r="F1363" s="12" t="str">
        <f>IFERROR(__xludf.DUMMYFUNCTION("GOOGLETRANSLATE(B1363,""zh_cn"",""vi"")"),"hoàng tử")</f>
        <v>hoàng tử</v>
      </c>
      <c r="G1363" s="12"/>
      <c r="H1363" s="6"/>
      <c r="I1363" s="11" t="b">
        <f t="shared" si="2"/>
        <v>0</v>
      </c>
      <c r="J1363" s="24"/>
      <c r="K1363" s="11" t="b">
        <f t="shared" si="3"/>
        <v>0</v>
      </c>
    </row>
    <row r="1364" ht="22.5" customHeight="1">
      <c r="A1364" s="12">
        <f t="shared" si="4"/>
        <v>4962</v>
      </c>
      <c r="B1364" s="6" t="s">
        <v>13916</v>
      </c>
      <c r="C1364" s="7" t="str">
        <f t="shared" si="7"/>
        <v>🔊</v>
      </c>
      <c r="D1364" s="8" t="s">
        <v>13917</v>
      </c>
      <c r="E1364" s="6" t="s">
        <v>99</v>
      </c>
      <c r="F1364" s="12" t="str">
        <f>IFERROR(__xludf.DUMMYFUNCTION("GOOGLETRANSLATE(B1364,""zh_cn"",""vi"")"),"kiên cường")</f>
        <v>kiên cường</v>
      </c>
      <c r="G1364" s="12"/>
      <c r="H1364" s="6"/>
      <c r="I1364" s="11" t="b">
        <f t="shared" si="2"/>
        <v>0</v>
      </c>
      <c r="J1364" s="24"/>
      <c r="K1364" s="11" t="b">
        <f t="shared" si="3"/>
        <v>0</v>
      </c>
    </row>
    <row r="1365" ht="22.5" customHeight="1">
      <c r="A1365" s="12">
        <f t="shared" si="4"/>
        <v>4963</v>
      </c>
      <c r="B1365" s="6" t="s">
        <v>13918</v>
      </c>
      <c r="C1365" s="7" t="str">
        <f t="shared" si="7"/>
        <v>🔊</v>
      </c>
      <c r="D1365" s="8" t="s">
        <v>13919</v>
      </c>
      <c r="E1365" s="6" t="s">
        <v>99</v>
      </c>
      <c r="F1365" s="12" t="str">
        <f>IFERROR(__xludf.DUMMYFUNCTION("GOOGLETRANSLATE(B1365,""zh_cn"",""vi"")"),"uốn cong")</f>
        <v>uốn cong</v>
      </c>
      <c r="G1365" s="12"/>
      <c r="H1365" s="6"/>
      <c r="I1365" s="11" t="b">
        <f t="shared" si="2"/>
        <v>0</v>
      </c>
      <c r="J1365" s="24"/>
      <c r="K1365" s="11" t="b">
        <f t="shared" si="3"/>
        <v>0</v>
      </c>
    </row>
    <row r="1366" ht="22.5" customHeight="1">
      <c r="A1366" s="12">
        <f t="shared" si="4"/>
        <v>4964</v>
      </c>
      <c r="B1366" s="6" t="s">
        <v>13920</v>
      </c>
      <c r="C1366" s="7" t="str">
        <f t="shared" si="7"/>
        <v>🔊</v>
      </c>
      <c r="D1366" s="8" t="s">
        <v>13921</v>
      </c>
      <c r="E1366" s="6" t="s">
        <v>27</v>
      </c>
      <c r="F1366" s="12" t="str">
        <f>IFERROR(__xludf.DUMMYFUNCTION("GOOGLETRANSLATE(B1366,""zh_cn"",""vi"")"),"Mọi thứ")</f>
        <v>Mọi thứ</v>
      </c>
      <c r="G1366" s="12"/>
      <c r="H1366" s="6"/>
      <c r="I1366" s="11" t="b">
        <f t="shared" si="2"/>
        <v>0</v>
      </c>
      <c r="J1366" s="24"/>
      <c r="K1366" s="11" t="b">
        <f t="shared" si="3"/>
        <v>0</v>
      </c>
    </row>
    <row r="1367" ht="22.5" customHeight="1">
      <c r="A1367" s="12">
        <f t="shared" si="4"/>
        <v>4965</v>
      </c>
      <c r="B1367" s="6" t="s">
        <v>13922</v>
      </c>
      <c r="C1367" s="7" t="str">
        <f t="shared" si="7"/>
        <v>🔊</v>
      </c>
      <c r="D1367" s="8" t="s">
        <v>13923</v>
      </c>
      <c r="E1367" s="6" t="s">
        <v>27</v>
      </c>
      <c r="F1367" s="12" t="str">
        <f>IFERROR(__xludf.DUMMYFUNCTION("GOOGLETRANSLATE(B1367,""zh_cn"",""vi"")"),"Đứa bé")</f>
        <v>Đứa bé</v>
      </c>
      <c r="G1367" s="12"/>
      <c r="H1367" s="6"/>
      <c r="I1367" s="11" t="b">
        <f t="shared" si="2"/>
        <v>0</v>
      </c>
      <c r="J1367" s="24"/>
      <c r="K1367" s="11" t="b">
        <f t="shared" si="3"/>
        <v>0</v>
      </c>
    </row>
    <row r="1368" ht="22.5" customHeight="1">
      <c r="A1368" s="12">
        <f t="shared" si="4"/>
        <v>4966</v>
      </c>
      <c r="B1368" s="6" t="s">
        <v>13924</v>
      </c>
      <c r="C1368" s="7" t="str">
        <f t="shared" si="7"/>
        <v>🔊</v>
      </c>
      <c r="D1368" s="8" t="s">
        <v>746</v>
      </c>
      <c r="E1368" s="6" t="s">
        <v>61</v>
      </c>
      <c r="F1368" s="12" t="str">
        <f>IFERROR(__xludf.DUMMYFUNCTION("GOOGLETRANSLATE(B1368,""zh_cn"",""vi"")"),"Chưa")</f>
        <v>Chưa</v>
      </c>
      <c r="G1368" s="12"/>
      <c r="H1368" s="6"/>
      <c r="I1368" s="11" t="b">
        <f t="shared" si="2"/>
        <v>0</v>
      </c>
      <c r="J1368" s="24"/>
      <c r="K1368" s="11" t="b">
        <f t="shared" si="3"/>
        <v>0</v>
      </c>
    </row>
    <row r="1369" ht="22.5" customHeight="1">
      <c r="A1369" s="12">
        <f t="shared" si="4"/>
        <v>4967</v>
      </c>
      <c r="B1369" s="6" t="s">
        <v>13925</v>
      </c>
      <c r="C1369" s="7" t="str">
        <f t="shared" si="7"/>
        <v>🔊</v>
      </c>
      <c r="D1369" s="8" t="s">
        <v>13926</v>
      </c>
      <c r="E1369" s="6" t="s">
        <v>61</v>
      </c>
      <c r="F1369" s="12" t="str">
        <f>IFERROR(__xludf.DUMMYFUNCTION("GOOGLETRANSLATE(B1369,""zh_cn"",""vi"")"),"không nhất thiết")</f>
        <v>không nhất thiết</v>
      </c>
      <c r="G1369" s="12"/>
      <c r="H1369" s="6"/>
      <c r="I1369" s="11" t="b">
        <f t="shared" si="2"/>
        <v>0</v>
      </c>
      <c r="J1369" s="24"/>
      <c r="K1369" s="11" t="b">
        <f t="shared" si="3"/>
        <v>0</v>
      </c>
    </row>
    <row r="1370" ht="22.5" customHeight="1">
      <c r="A1370" s="12">
        <f t="shared" si="4"/>
        <v>4968</v>
      </c>
      <c r="B1370" s="6" t="s">
        <v>13927</v>
      </c>
      <c r="C1370" s="7" t="str">
        <f t="shared" si="7"/>
        <v>🔊</v>
      </c>
      <c r="D1370" s="8" t="s">
        <v>13928</v>
      </c>
      <c r="E1370" s="6" t="s">
        <v>27</v>
      </c>
      <c r="F1370" s="12" t="str">
        <f>IFERROR(__xludf.DUMMYFUNCTION("GOOGLETRANSLATE(B1370,""zh_cn"",""vi"")"),"trẻ vị thành niên")</f>
        <v>trẻ vị thành niên</v>
      </c>
      <c r="G1370" s="12"/>
      <c r="H1370" s="6"/>
      <c r="I1370" s="11" t="b">
        <f t="shared" si="2"/>
        <v>0</v>
      </c>
      <c r="J1370" s="24"/>
      <c r="K1370" s="11" t="b">
        <f t="shared" si="3"/>
        <v>0</v>
      </c>
    </row>
    <row r="1371" ht="22.5" customHeight="1">
      <c r="A1371" s="12">
        <f t="shared" si="4"/>
        <v>4969</v>
      </c>
      <c r="B1371" s="6" t="s">
        <v>13929</v>
      </c>
      <c r="C1371" s="7" t="str">
        <f t="shared" si="7"/>
        <v>🔊</v>
      </c>
      <c r="D1371" s="8" t="s">
        <v>13930</v>
      </c>
      <c r="E1371" s="6" t="s">
        <v>1132</v>
      </c>
      <c r="F1371" s="12" t="str">
        <f>IFERROR(__xludf.DUMMYFUNCTION("GOOGLETRANSLATE(B1371,""zh_cn"",""vi"")"),"để đạt được mục đích này")</f>
        <v>để đạt được mục đích này</v>
      </c>
      <c r="G1371" s="12"/>
      <c r="H1371" s="6"/>
      <c r="I1371" s="11" t="b">
        <f t="shared" si="2"/>
        <v>0</v>
      </c>
      <c r="J1371" s="24"/>
      <c r="K1371" s="11" t="b">
        <f t="shared" si="3"/>
        <v>0</v>
      </c>
    </row>
    <row r="1372" ht="22.5" customHeight="1">
      <c r="A1372" s="12">
        <f t="shared" si="4"/>
        <v>4970</v>
      </c>
      <c r="B1372" s="6" t="s">
        <v>13931</v>
      </c>
      <c r="C1372" s="7" t="str">
        <f t="shared" si="7"/>
        <v>🔊</v>
      </c>
      <c r="D1372" s="8" t="s">
        <v>13932</v>
      </c>
      <c r="E1372" s="6" t="s">
        <v>13</v>
      </c>
      <c r="F1372" s="12" t="str">
        <f>IFERROR(__xludf.DUMMYFUNCTION("GOOGLETRANSLATE(B1372,""zh_cn"",""vi"")"),"vi phạm")</f>
        <v>vi phạm</v>
      </c>
      <c r="G1372" s="12"/>
      <c r="H1372" s="6"/>
      <c r="I1372" s="11" t="b">
        <f t="shared" si="2"/>
        <v>0</v>
      </c>
      <c r="J1372" s="24"/>
      <c r="K1372" s="11" t="b">
        <f t="shared" si="3"/>
        <v>0</v>
      </c>
    </row>
    <row r="1373" ht="22.5" customHeight="1">
      <c r="A1373" s="12">
        <f t="shared" si="4"/>
        <v>4971</v>
      </c>
      <c r="B1373" s="6" t="s">
        <v>13933</v>
      </c>
      <c r="C1373" s="7" t="str">
        <f t="shared" si="7"/>
        <v>🔊</v>
      </c>
      <c r="D1373" s="8" t="s">
        <v>13934</v>
      </c>
      <c r="E1373" s="6" t="s">
        <v>61</v>
      </c>
      <c r="F1373" s="12" t="str">
        <f>IFERROR(__xludf.DUMMYFUNCTION("GOOGLETRANSLATE(B1373,""zh_cn"",""vi"")"),"Tại sao")</f>
        <v>Tại sao</v>
      </c>
      <c r="G1373" s="12"/>
      <c r="H1373" s="6"/>
      <c r="I1373" s="11" t="b">
        <f t="shared" si="2"/>
        <v>0</v>
      </c>
      <c r="J1373" s="24"/>
      <c r="K1373" s="11" t="b">
        <f t="shared" si="3"/>
        <v>0</v>
      </c>
    </row>
    <row r="1374" ht="22.5" customHeight="1">
      <c r="A1374" s="12">
        <f t="shared" si="4"/>
        <v>4972</v>
      </c>
      <c r="B1374" s="6" t="s">
        <v>13935</v>
      </c>
      <c r="C1374" s="7" t="str">
        <f t="shared" si="7"/>
        <v>🔊</v>
      </c>
      <c r="D1374" s="8" t="s">
        <v>13936</v>
      </c>
      <c r="E1374" s="6" t="s">
        <v>13</v>
      </c>
      <c r="F1374" s="12" t="str">
        <f>IFERROR(__xludf.DUMMYFUNCTION("GOOGLETRANSLATE(B1374,""zh_cn"",""vi"")"),"duy trì")</f>
        <v>duy trì</v>
      </c>
      <c r="G1374" s="12"/>
      <c r="H1374" s="6"/>
      <c r="I1374" s="11" t="b">
        <f t="shared" si="2"/>
        <v>0</v>
      </c>
      <c r="J1374" s="24"/>
      <c r="K1374" s="11" t="b">
        <f t="shared" si="3"/>
        <v>0</v>
      </c>
    </row>
    <row r="1375" ht="22.5" customHeight="1">
      <c r="A1375" s="12">
        <f t="shared" si="4"/>
        <v>4973</v>
      </c>
      <c r="B1375" s="6" t="s">
        <v>13937</v>
      </c>
      <c r="C1375" s="7" t="str">
        <f t="shared" si="7"/>
        <v>🔊</v>
      </c>
      <c r="D1375" s="8" t="s">
        <v>13938</v>
      </c>
      <c r="E1375" s="6" t="s">
        <v>27</v>
      </c>
      <c r="F1375" s="12" t="str">
        <f>IFERROR(__xludf.DUMMYFUNCTION("GOOGLETRANSLATE(B1375,""zh_cn"",""vi"")"),"khủng hoảng")</f>
        <v>khủng hoảng</v>
      </c>
      <c r="G1375" s="12"/>
      <c r="H1375" s="6"/>
      <c r="I1375" s="11" t="b">
        <f t="shared" si="2"/>
        <v>0</v>
      </c>
      <c r="J1375" s="24"/>
      <c r="K1375" s="11" t="b">
        <f t="shared" si="3"/>
        <v>0</v>
      </c>
    </row>
    <row r="1376" ht="22.5" customHeight="1">
      <c r="A1376" s="12">
        <f t="shared" si="4"/>
        <v>4974</v>
      </c>
      <c r="B1376" s="6" t="s">
        <v>13939</v>
      </c>
      <c r="C1376" s="7" t="str">
        <f t="shared" si="7"/>
        <v>🔊</v>
      </c>
      <c r="D1376" s="8" t="s">
        <v>13940</v>
      </c>
      <c r="E1376" s="6" t="s">
        <v>27</v>
      </c>
      <c r="F1376" s="12" t="str">
        <f>IFERROR(__xludf.DUMMYFUNCTION("GOOGLETRANSLATE(B1376,""zh_cn"",""vi"")"),"nếm")</f>
        <v>nếm</v>
      </c>
      <c r="G1376" s="12"/>
      <c r="H1376" s="6"/>
      <c r="I1376" s="11" t="b">
        <f t="shared" si="2"/>
        <v>0</v>
      </c>
      <c r="J1376" s="24"/>
      <c r="K1376" s="11" t="b">
        <f t="shared" si="3"/>
        <v>0</v>
      </c>
    </row>
    <row r="1377" ht="22.5" customHeight="1">
      <c r="A1377" s="12">
        <f t="shared" si="4"/>
        <v>4975</v>
      </c>
      <c r="B1377" s="6" t="s">
        <v>13941</v>
      </c>
      <c r="C1377" s="7" t="str">
        <f t="shared" si="7"/>
        <v>🔊</v>
      </c>
      <c r="D1377" s="8" t="s">
        <v>13942</v>
      </c>
      <c r="E1377" s="6" t="s">
        <v>27</v>
      </c>
      <c r="F1377" s="12" t="str">
        <f>IFERROR(__xludf.DUMMYFUNCTION("GOOGLETRANSLATE(B1377,""zh_cn"",""vi"")"),"sự thèm ăn")</f>
        <v>sự thèm ăn</v>
      </c>
      <c r="G1377" s="12"/>
      <c r="H1377" s="6"/>
      <c r="I1377" s="11" t="b">
        <f t="shared" si="2"/>
        <v>0</v>
      </c>
      <c r="J1377" s="24"/>
      <c r="K1377" s="11" t="b">
        <f t="shared" si="3"/>
        <v>0</v>
      </c>
    </row>
    <row r="1378" ht="22.5" customHeight="1">
      <c r="A1378" s="12">
        <f t="shared" si="4"/>
        <v>4976</v>
      </c>
      <c r="B1378" s="6" t="s">
        <v>13943</v>
      </c>
      <c r="C1378" s="7" t="str">
        <f t="shared" si="7"/>
        <v>🔊</v>
      </c>
      <c r="D1378" s="8" t="s">
        <v>13944</v>
      </c>
      <c r="E1378" s="6" t="s">
        <v>416</v>
      </c>
      <c r="F1378" s="12" t="str">
        <f>IFERROR(__xludf.DUMMYFUNCTION("GOOGLETRANSLATE(B1378,""zh_cn"",""vi"")"),"Khó")</f>
        <v>Khó</v>
      </c>
      <c r="G1378" s="12"/>
      <c r="H1378" s="6"/>
      <c r="I1378" s="11" t="b">
        <f t="shared" si="2"/>
        <v>0</v>
      </c>
      <c r="J1378" s="24"/>
      <c r="K1378" s="11" t="b">
        <f t="shared" si="3"/>
        <v>0</v>
      </c>
    </row>
    <row r="1379" ht="22.5" customHeight="1">
      <c r="A1379" s="12">
        <f t="shared" si="4"/>
        <v>4977</v>
      </c>
      <c r="B1379" s="6" t="s">
        <v>13945</v>
      </c>
      <c r="C1379" s="7" t="str">
        <f t="shared" si="7"/>
        <v>🔊</v>
      </c>
      <c r="D1379" s="8" t="s">
        <v>13946</v>
      </c>
      <c r="E1379" s="6" t="s">
        <v>27</v>
      </c>
      <c r="F1379" s="12" t="str">
        <f>IFERROR(__xludf.DUMMYFUNCTION("GOOGLETRANSLATE(B1379,""zh_cn"",""vi"")"),"Đi")</f>
        <v>Đi</v>
      </c>
      <c r="G1379" s="12"/>
      <c r="H1379" s="6"/>
      <c r="I1379" s="11" t="b">
        <f t="shared" si="2"/>
        <v>0</v>
      </c>
      <c r="J1379" s="24"/>
      <c r="K1379" s="11" t="b">
        <f t="shared" si="3"/>
        <v>0</v>
      </c>
    </row>
    <row r="1380" ht="22.5" customHeight="1">
      <c r="A1380" s="12">
        <f t="shared" si="4"/>
        <v>4978</v>
      </c>
      <c r="B1380" s="6" t="s">
        <v>13947</v>
      </c>
      <c r="C1380" s="7" t="str">
        <f t="shared" si="7"/>
        <v>🔊</v>
      </c>
      <c r="D1380" s="8" t="s">
        <v>13948</v>
      </c>
      <c r="E1380" s="6" t="s">
        <v>13</v>
      </c>
      <c r="F1380" s="12" t="str">
        <f>IFERROR(__xludf.DUMMYFUNCTION("GOOGLETRANSLATE(B1380,""zh_cn"",""vi"")"),"Trong một khoảng thời gian")</f>
        <v>Trong một khoảng thời gian</v>
      </c>
      <c r="G1380" s="12"/>
      <c r="H1380" s="6"/>
      <c r="I1380" s="11" t="b">
        <f t="shared" si="2"/>
        <v>0</v>
      </c>
      <c r="J1380" s="24"/>
      <c r="K1380" s="11" t="b">
        <f t="shared" si="3"/>
        <v>0</v>
      </c>
    </row>
    <row r="1381" ht="22.5" customHeight="1">
      <c r="A1381" s="12">
        <f t="shared" si="4"/>
        <v>4979</v>
      </c>
      <c r="B1381" s="6" t="s">
        <v>13949</v>
      </c>
      <c r="C1381" s="7" t="str">
        <f t="shared" si="7"/>
        <v>🔊</v>
      </c>
      <c r="D1381" s="8" t="s">
        <v>13950</v>
      </c>
      <c r="E1381" s="6" t="s">
        <v>416</v>
      </c>
      <c r="F1381" s="12" t="str">
        <f>IFERROR(__xludf.DUMMYFUNCTION("GOOGLETRANSLATE(B1381,""zh_cn"",""vi"")"),"Bị oan ức")</f>
        <v>Bị oan ức</v>
      </c>
      <c r="G1381" s="12"/>
      <c r="H1381" s="6"/>
      <c r="I1381" s="11" t="b">
        <f t="shared" si="2"/>
        <v>0</v>
      </c>
      <c r="J1381" s="24"/>
      <c r="K1381" s="11" t="b">
        <f t="shared" si="3"/>
        <v>0</v>
      </c>
    </row>
    <row r="1382" ht="22.5" customHeight="1">
      <c r="A1382" s="12">
        <f t="shared" si="4"/>
        <v>4980</v>
      </c>
      <c r="B1382" s="6" t="s">
        <v>13951</v>
      </c>
      <c r="C1382" s="7" t="str">
        <f t="shared" si="7"/>
        <v>🔊</v>
      </c>
      <c r="D1382" s="8" t="s">
        <v>13952</v>
      </c>
      <c r="E1382" s="6" t="s">
        <v>27</v>
      </c>
      <c r="F1382" s="12" t="str">
        <f>IFERROR(__xludf.DUMMYFUNCTION("GOOGLETRANSLATE(B1382,""zh_cn"",""vi"")"),"Vitamin")</f>
        <v>Vitamin</v>
      </c>
      <c r="G1382" s="12"/>
      <c r="H1382" s="6"/>
      <c r="I1382" s="11" t="b">
        <f t="shared" si="2"/>
        <v>0</v>
      </c>
      <c r="J1382" s="24"/>
      <c r="K1382" s="11" t="b">
        <f t="shared" si="3"/>
        <v>0</v>
      </c>
    </row>
    <row r="1383" ht="22.5" customHeight="1">
      <c r="A1383" s="12">
        <f t="shared" si="4"/>
        <v>4981</v>
      </c>
      <c r="B1383" s="6" t="s">
        <v>13953</v>
      </c>
      <c r="C1383" s="7" t="str">
        <f t="shared" si="7"/>
        <v>🔊</v>
      </c>
      <c r="D1383" s="8" t="s">
        <v>13954</v>
      </c>
      <c r="E1383" s="6" t="s">
        <v>13</v>
      </c>
      <c r="F1383" s="12" t="str">
        <f>IFERROR(__xludf.DUMMYFUNCTION("GOOGLETRANSLATE(B1383,""zh_cn"",""vi"")"),"Giao phó")</f>
        <v>Giao phó</v>
      </c>
      <c r="G1383" s="12"/>
      <c r="H1383" s="6"/>
      <c r="I1383" s="11" t="b">
        <f t="shared" si="2"/>
        <v>0</v>
      </c>
      <c r="J1383" s="24"/>
      <c r="K1383" s="11" t="b">
        <f t="shared" si="3"/>
        <v>0</v>
      </c>
    </row>
    <row r="1384" ht="22.5" customHeight="1">
      <c r="A1384" s="12">
        <f t="shared" si="4"/>
        <v>4982</v>
      </c>
      <c r="B1384" s="6" t="s">
        <v>13955</v>
      </c>
      <c r="C1384" s="7" t="str">
        <f t="shared" si="7"/>
        <v>🔊</v>
      </c>
      <c r="D1384" s="8" t="s">
        <v>13956</v>
      </c>
      <c r="E1384" s="6" t="s">
        <v>99</v>
      </c>
      <c r="F1384" s="12" t="str">
        <f>IFERROR(__xludf.DUMMYFUNCTION("GOOGLETRANSLATE(B1384,""zh_cn"",""vi"")"),"bé nhỏ")</f>
        <v>bé nhỏ</v>
      </c>
      <c r="G1384" s="12"/>
      <c r="H1384" s="6"/>
      <c r="I1384" s="11" t="b">
        <f t="shared" si="2"/>
        <v>0</v>
      </c>
      <c r="J1384" s="24"/>
      <c r="K1384" s="11" t="b">
        <f t="shared" si="3"/>
        <v>0</v>
      </c>
    </row>
    <row r="1385" ht="22.5" customHeight="1">
      <c r="A1385" s="12">
        <f t="shared" si="4"/>
        <v>4983</v>
      </c>
      <c r="B1385" s="6" t="s">
        <v>13957</v>
      </c>
      <c r="C1385" s="7" t="str">
        <f t="shared" si="7"/>
        <v>🔊</v>
      </c>
      <c r="D1385" s="8" t="s">
        <v>13958</v>
      </c>
      <c r="E1385" s="6" t="s">
        <v>13</v>
      </c>
      <c r="F1385" s="12" t="str">
        <f>IFERROR(__xludf.DUMMYFUNCTION("GOOGLETRANSLATE(B1385,""zh_cn"",""vi"")"),"cho đến khi")</f>
        <v>cho đến khi</v>
      </c>
      <c r="G1385" s="12"/>
      <c r="H1385" s="6"/>
      <c r="I1385" s="11" t="b">
        <f t="shared" si="2"/>
        <v>0</v>
      </c>
      <c r="J1385" s="24"/>
      <c r="K1385" s="11" t="b">
        <f t="shared" si="3"/>
        <v>0</v>
      </c>
    </row>
    <row r="1386" ht="22.5" customHeight="1">
      <c r="A1386" s="12">
        <f t="shared" si="4"/>
        <v>4984</v>
      </c>
      <c r="B1386" s="6" t="s">
        <v>13959</v>
      </c>
      <c r="C1386" s="7" t="str">
        <f t="shared" si="7"/>
        <v>🔊</v>
      </c>
      <c r="D1386" s="8" t="s">
        <v>13960</v>
      </c>
      <c r="E1386" s="6" t="s">
        <v>27</v>
      </c>
      <c r="F1386" s="12" t="str">
        <f>IFERROR(__xludf.DUMMYFUNCTION("GOOGLETRANSLATE(B1386,""zh_cn"",""vi"")"),"tài liệu")</f>
        <v>tài liệu</v>
      </c>
      <c r="G1386" s="12"/>
      <c r="H1386" s="6"/>
      <c r="I1386" s="11" t="b">
        <f t="shared" si="2"/>
        <v>0</v>
      </c>
      <c r="J1386" s="24"/>
      <c r="K1386" s="11" t="b">
        <f t="shared" si="3"/>
        <v>0</v>
      </c>
    </row>
    <row r="1387" ht="22.5" customHeight="1">
      <c r="A1387" s="12">
        <f t="shared" si="4"/>
        <v>4985</v>
      </c>
      <c r="B1387" s="6" t="s">
        <v>13961</v>
      </c>
      <c r="C1387" s="7" t="str">
        <f t="shared" si="7"/>
        <v>🔊</v>
      </c>
      <c r="D1387" s="8" t="s">
        <v>13962</v>
      </c>
      <c r="E1387" s="6" t="s">
        <v>99</v>
      </c>
      <c r="F1387" s="12" t="str">
        <f>IFERROR(__xludf.DUMMYFUNCTION("GOOGLETRANSLATE(B1387,""zh_cn"",""vi"")"),"nhẹ")</f>
        <v>nhẹ</v>
      </c>
      <c r="G1387" s="12"/>
      <c r="H1387" s="6"/>
      <c r="I1387" s="11" t="b">
        <f t="shared" si="2"/>
        <v>0</v>
      </c>
      <c r="J1387" s="24"/>
      <c r="K1387" s="11" t="b">
        <f t="shared" si="3"/>
        <v>0</v>
      </c>
    </row>
    <row r="1388" ht="22.5" customHeight="1">
      <c r="A1388" s="12">
        <f t="shared" si="4"/>
        <v>4986</v>
      </c>
      <c r="B1388" s="6" t="s">
        <v>13963</v>
      </c>
      <c r="C1388" s="7" t="str">
        <f t="shared" si="7"/>
        <v>🔊</v>
      </c>
      <c r="D1388" s="8" t="s">
        <v>13964</v>
      </c>
      <c r="E1388" s="6" t="s">
        <v>27</v>
      </c>
      <c r="F1388" s="12" t="str">
        <f>IFERROR(__xludf.DUMMYFUNCTION("GOOGLETRANSLATE(B1388,""zh_cn"",""vi"")"),"Văn phòng phẩm")</f>
        <v>Văn phòng phẩm</v>
      </c>
      <c r="G1388" s="12"/>
      <c r="H1388" s="6"/>
      <c r="I1388" s="11" t="b">
        <f t="shared" si="2"/>
        <v>0</v>
      </c>
      <c r="J1388" s="24"/>
      <c r="K1388" s="11" t="b">
        <f t="shared" si="3"/>
        <v>0</v>
      </c>
    </row>
    <row r="1389" ht="22.5" customHeight="1">
      <c r="A1389" s="12">
        <f t="shared" si="4"/>
        <v>4987</v>
      </c>
      <c r="B1389" s="6" t="s">
        <v>13965</v>
      </c>
      <c r="C1389" s="7" t="str">
        <f t="shared" si="7"/>
        <v>🔊</v>
      </c>
      <c r="D1389" s="8" t="s">
        <v>13966</v>
      </c>
      <c r="E1389" s="6" t="s">
        <v>27</v>
      </c>
      <c r="F1389" s="12" t="str">
        <f>IFERROR(__xludf.DUMMYFUNCTION("GOOGLETRANSLATE(B1389,""zh_cn"",""vi"")"),"nghệ thuật tự do")</f>
        <v>nghệ thuật tự do</v>
      </c>
      <c r="G1389" s="12"/>
      <c r="H1389" s="6"/>
      <c r="I1389" s="11" t="b">
        <f t="shared" si="2"/>
        <v>0</v>
      </c>
      <c r="J1389" s="24"/>
      <c r="K1389" s="11" t="b">
        <f t="shared" si="3"/>
        <v>0</v>
      </c>
    </row>
    <row r="1390" ht="22.5" customHeight="1">
      <c r="A1390" s="12">
        <f t="shared" si="4"/>
        <v>4988</v>
      </c>
      <c r="B1390" s="6" t="s">
        <v>13967</v>
      </c>
      <c r="C1390" s="7" t="str">
        <f t="shared" si="7"/>
        <v>🔊</v>
      </c>
      <c r="D1390" s="8" t="s">
        <v>13968</v>
      </c>
      <c r="E1390" s="6" t="s">
        <v>3430</v>
      </c>
      <c r="F1390" s="12" t="str">
        <f>IFERROR(__xludf.DUMMYFUNCTION("GOOGLETRANSLATE(B1390,""zh_cn"",""vi"")"),"nền văn minh")</f>
        <v>nền văn minh</v>
      </c>
      <c r="G1390" s="12"/>
      <c r="H1390" s="6"/>
      <c r="I1390" s="11" t="b">
        <f t="shared" si="2"/>
        <v>0</v>
      </c>
      <c r="J1390" s="24"/>
      <c r="K1390" s="11" t="b">
        <f t="shared" si="3"/>
        <v>0</v>
      </c>
    </row>
    <row r="1391" ht="22.5" customHeight="1">
      <c r="A1391" s="12">
        <f t="shared" si="4"/>
        <v>4989</v>
      </c>
      <c r="B1391" s="6" t="s">
        <v>13969</v>
      </c>
      <c r="C1391" s="7" t="str">
        <f t="shared" si="7"/>
        <v>🔊</v>
      </c>
      <c r="D1391" s="8" t="s">
        <v>13968</v>
      </c>
      <c r="E1391" s="6" t="s">
        <v>13</v>
      </c>
      <c r="F1391" s="12" t="str">
        <f>IFERROR(__xludf.DUMMYFUNCTION("GOOGLETRANSLATE(B1391,""zh_cn"",""vi"")"),"nổi tiếng")</f>
        <v>nổi tiếng</v>
      </c>
      <c r="G1391" s="12"/>
      <c r="H1391" s="6"/>
      <c r="I1391" s="11" t="b">
        <f t="shared" si="2"/>
        <v>0</v>
      </c>
      <c r="J1391" s="24"/>
      <c r="K1391" s="11" t="b">
        <f t="shared" si="3"/>
        <v>0</v>
      </c>
    </row>
    <row r="1392" ht="22.5" customHeight="1">
      <c r="A1392" s="12">
        <f t="shared" si="4"/>
        <v>4990</v>
      </c>
      <c r="B1392" s="6" t="s">
        <v>13970</v>
      </c>
      <c r="C1392" s="7" t="str">
        <f t="shared" si="7"/>
        <v>🔊</v>
      </c>
      <c r="D1392" s="8" t="s">
        <v>13971</v>
      </c>
      <c r="E1392" s="6" t="s">
        <v>99</v>
      </c>
      <c r="F1392" s="12" t="str">
        <f>IFERROR(__xludf.DUMMYFUNCTION("GOOGLETRANSLATE(B1392,""zh_cn"",""vi"")"),"dịu dàng")</f>
        <v>dịu dàng</v>
      </c>
      <c r="G1392" s="12"/>
      <c r="H1392" s="6"/>
      <c r="I1392" s="11" t="b">
        <f t="shared" si="2"/>
        <v>0</v>
      </c>
      <c r="J1392" s="24"/>
      <c r="K1392" s="11" t="b">
        <f t="shared" si="3"/>
        <v>0</v>
      </c>
    </row>
    <row r="1393" ht="22.5" customHeight="1">
      <c r="A1393" s="12">
        <f t="shared" si="4"/>
        <v>4991</v>
      </c>
      <c r="B1393" s="6" t="s">
        <v>13972</v>
      </c>
      <c r="C1393" s="7" t="str">
        <f t="shared" si="7"/>
        <v>🔊</v>
      </c>
      <c r="D1393" s="8" t="s">
        <v>13973</v>
      </c>
      <c r="E1393" s="6" t="s">
        <v>27</v>
      </c>
      <c r="F1393" s="12" t="str">
        <f>IFERROR(__xludf.DUMMYFUNCTION("GOOGLETRANSLATE(B1393,""zh_cn"",""vi"")"),"di tích văn hóa")</f>
        <v>di tích văn hóa</v>
      </c>
      <c r="G1393" s="12"/>
      <c r="H1393" s="6"/>
      <c r="I1393" s="11" t="b">
        <f t="shared" si="2"/>
        <v>0</v>
      </c>
      <c r="J1393" s="24"/>
      <c r="K1393" s="11" t="b">
        <f t="shared" si="3"/>
        <v>0</v>
      </c>
    </row>
    <row r="1394" ht="22.5" customHeight="1">
      <c r="A1394" s="12">
        <f t="shared" si="4"/>
        <v>4992</v>
      </c>
      <c r="B1394" s="6" t="s">
        <v>13974</v>
      </c>
      <c r="C1394" s="7" t="str">
        <f t="shared" si="7"/>
        <v>🔊</v>
      </c>
      <c r="D1394" s="8" t="s">
        <v>13975</v>
      </c>
      <c r="E1394" s="6" t="s">
        <v>27</v>
      </c>
      <c r="F1394" s="12" t="str">
        <f>IFERROR(__xludf.DUMMYFUNCTION("GOOGLETRANSLATE(B1394,""zh_cn"",""vi"")"),"văn học")</f>
        <v>văn học</v>
      </c>
      <c r="G1394" s="12"/>
      <c r="H1394" s="6"/>
      <c r="I1394" s="11" t="b">
        <f t="shared" si="2"/>
        <v>0</v>
      </c>
      <c r="J1394" s="24"/>
      <c r="K1394" s="11" t="b">
        <f t="shared" si="3"/>
        <v>0</v>
      </c>
    </row>
    <row r="1395" ht="22.5" customHeight="1">
      <c r="A1395" s="12">
        <f t="shared" si="4"/>
        <v>4993</v>
      </c>
      <c r="B1395" s="6" t="s">
        <v>13976</v>
      </c>
      <c r="C1395" s="7" t="str">
        <f t="shared" si="7"/>
        <v>🔊</v>
      </c>
      <c r="D1395" s="8" t="s">
        <v>13977</v>
      </c>
      <c r="E1395" s="6" t="s">
        <v>27</v>
      </c>
      <c r="F1395" s="12" t="str">
        <f>IFERROR(__xludf.DUMMYFUNCTION("GOOGLETRANSLATE(B1395,""zh_cn"",""vi"")"),"Văn học và Nghệ thuật")</f>
        <v>Văn học và Nghệ thuật</v>
      </c>
      <c r="G1395" s="12"/>
      <c r="H1395" s="6"/>
      <c r="I1395" s="11" t="b">
        <f t="shared" si="2"/>
        <v>0</v>
      </c>
      <c r="J1395" s="24"/>
      <c r="K1395" s="11" t="b">
        <f t="shared" si="3"/>
        <v>0</v>
      </c>
    </row>
    <row r="1396" ht="22.5" customHeight="1">
      <c r="A1396" s="12">
        <f t="shared" si="4"/>
        <v>4994</v>
      </c>
      <c r="B1396" s="6" t="s">
        <v>13978</v>
      </c>
      <c r="C1396" s="7" t="str">
        <f t="shared" si="7"/>
        <v>🔊</v>
      </c>
      <c r="D1396" s="8" t="s">
        <v>10154</v>
      </c>
      <c r="E1396" s="6" t="s">
        <v>13</v>
      </c>
      <c r="F1396" s="12" t="str">
        <f>IFERROR(__xludf.DUMMYFUNCTION("GOOGLETRANSLATE(B1396,""zh_cn"",""vi"")"),"lỗi")</f>
        <v>lỗi</v>
      </c>
      <c r="G1396" s="12"/>
      <c r="H1396" s="6"/>
      <c r="I1396" s="11" t="b">
        <f t="shared" si="2"/>
        <v>0</v>
      </c>
      <c r="J1396" s="24"/>
      <c r="K1396" s="11" t="b">
        <f t="shared" si="3"/>
        <v>0</v>
      </c>
    </row>
    <row r="1397" ht="22.5" customHeight="1">
      <c r="A1397" s="12">
        <f t="shared" si="4"/>
        <v>4995</v>
      </c>
      <c r="B1397" s="6" t="s">
        <v>13979</v>
      </c>
      <c r="C1397" s="7" t="str">
        <f t="shared" si="7"/>
        <v>🔊</v>
      </c>
      <c r="D1397" s="8" t="s">
        <v>13980</v>
      </c>
      <c r="E1397" s="6" t="s">
        <v>27</v>
      </c>
      <c r="F1397" s="12" t="str">
        <f>IFERROR(__xludf.DUMMYFUNCTION("GOOGLETRANSLATE(B1397,""zh_cn"",""vi"")"),"con rùa")</f>
        <v>con rùa</v>
      </c>
      <c r="G1397" s="12"/>
      <c r="H1397" s="6"/>
      <c r="I1397" s="11" t="b">
        <f t="shared" si="2"/>
        <v>0</v>
      </c>
      <c r="J1397" s="24"/>
      <c r="K1397" s="11" t="b">
        <f t="shared" si="3"/>
        <v>0</v>
      </c>
    </row>
    <row r="1398" ht="22.5" customHeight="1">
      <c r="A1398" s="12">
        <f t="shared" si="4"/>
        <v>4996</v>
      </c>
      <c r="B1398" s="6" t="s">
        <v>13981</v>
      </c>
      <c r="C1398" s="7" t="str">
        <f t="shared" si="7"/>
        <v>🔊</v>
      </c>
      <c r="D1398" s="8" t="s">
        <v>13982</v>
      </c>
      <c r="E1398" s="6" t="s">
        <v>232</v>
      </c>
      <c r="F1398" s="12" t="str">
        <f>IFERROR(__xludf.DUMMYFUNCTION("GOOGLETRANSLATE(B1398,""zh_cn"",""vi"")"),"hiểu lầm")</f>
        <v>hiểu lầm</v>
      </c>
      <c r="G1398" s="12"/>
      <c r="H1398" s="6"/>
      <c r="I1398" s="11" t="b">
        <f t="shared" si="2"/>
        <v>0</v>
      </c>
      <c r="J1398" s="24"/>
      <c r="K1398" s="11" t="b">
        <f t="shared" si="3"/>
        <v>0</v>
      </c>
    </row>
    <row r="1399" ht="22.5" customHeight="1">
      <c r="A1399" s="12">
        <f t="shared" si="4"/>
        <v>4997</v>
      </c>
      <c r="B1399" s="6" t="s">
        <v>13983</v>
      </c>
      <c r="C1399" s="7" t="str">
        <f t="shared" si="7"/>
        <v>🔊</v>
      </c>
      <c r="D1399" s="8" t="s">
        <v>13984</v>
      </c>
      <c r="E1399" s="6" t="s">
        <v>27</v>
      </c>
      <c r="F1399" s="12" t="str">
        <f>IFERROR(__xludf.DUMMYFUNCTION("GOOGLETRANSLATE(B1399,""zh_cn"",""vi"")"),"cánh tay")</f>
        <v>cánh tay</v>
      </c>
      <c r="G1399" s="12"/>
      <c r="H1399" s="6"/>
      <c r="I1399" s="11" t="b">
        <f t="shared" si="2"/>
        <v>0</v>
      </c>
      <c r="J1399" s="24"/>
      <c r="K1399" s="11" t="b">
        <f t="shared" si="3"/>
        <v>0</v>
      </c>
    </row>
    <row r="1400" ht="22.5" customHeight="1">
      <c r="A1400" s="12">
        <f t="shared" si="4"/>
        <v>4998</v>
      </c>
      <c r="B1400" s="6" t="s">
        <v>13985</v>
      </c>
      <c r="C1400" s="7" t="str">
        <f t="shared" si="7"/>
        <v>🔊</v>
      </c>
      <c r="D1400" s="8" t="s">
        <v>13986</v>
      </c>
      <c r="E1400" s="6" t="s">
        <v>27</v>
      </c>
      <c r="F1400" s="12" t="str">
        <f>IFERROR(__xludf.DUMMYFUNCTION("GOOGLETRANSLATE(B1400,""zh_cn"",""vi"")"),"nước thải")</f>
        <v>nước thải</v>
      </c>
      <c r="G1400" s="12"/>
      <c r="H1400" s="6"/>
      <c r="I1400" s="11" t="b">
        <f t="shared" si="2"/>
        <v>0</v>
      </c>
      <c r="J1400" s="24"/>
      <c r="K1400" s="11" t="b">
        <f t="shared" si="3"/>
        <v>0</v>
      </c>
    </row>
    <row r="1401" ht="22.5" customHeight="1">
      <c r="A1401" s="12">
        <f t="shared" si="4"/>
        <v>4999</v>
      </c>
      <c r="B1401" s="6" t="s">
        <v>13987</v>
      </c>
      <c r="C1401" s="7" t="str">
        <f t="shared" si="7"/>
        <v>🔊</v>
      </c>
      <c r="D1401" s="8" t="s">
        <v>13988</v>
      </c>
      <c r="E1401" s="6" t="s">
        <v>13</v>
      </c>
      <c r="F1401" s="12" t="str">
        <f>IFERROR(__xludf.DUMMYFUNCTION("GOOGLETRANSLATE(B1401,""zh_cn"",""vi"")"),"Điều đó không quan trọng")</f>
        <v>Điều đó không quan trọng</v>
      </c>
      <c r="G1401" s="12"/>
      <c r="H1401" s="6"/>
      <c r="I1401" s="11" t="b">
        <f t="shared" si="2"/>
        <v>0</v>
      </c>
      <c r="J1401" s="24"/>
      <c r="K1401" s="11" t="b">
        <f t="shared" si="3"/>
        <v>0</v>
      </c>
    </row>
    <row r="1402" ht="22.5" customHeight="1">
      <c r="A1402" s="12">
        <f t="shared" si="4"/>
        <v>5000</v>
      </c>
      <c r="B1402" s="6" t="s">
        <v>13989</v>
      </c>
      <c r="C1402" s="7" t="str">
        <f t="shared" si="7"/>
        <v>🔊</v>
      </c>
      <c r="D1402" s="8" t="s">
        <v>13990</v>
      </c>
      <c r="E1402" s="6" t="s">
        <v>27</v>
      </c>
      <c r="F1402" s="12" t="str">
        <f>IFERROR(__xludf.DUMMYFUNCTION("GOOGLETRANSLATE(B1402,""zh_cn"",""vi"")"),"sự vật")</f>
        <v>sự vật</v>
      </c>
      <c r="G1402" s="12"/>
      <c r="H1402" s="6"/>
      <c r="I1402" s="11" t="b">
        <f t="shared" si="2"/>
        <v>0</v>
      </c>
      <c r="J1402" s="24"/>
      <c r="K1402" s="11" t="b">
        <f t="shared" si="3"/>
        <v>0</v>
      </c>
    </row>
    <row r="1403" ht="22.5" customHeight="1">
      <c r="A1403" s="12">
        <f t="shared" si="4"/>
        <v>5001</v>
      </c>
      <c r="B1403" s="6" t="s">
        <v>13991</v>
      </c>
      <c r="C1403" s="7" t="str">
        <f t="shared" si="7"/>
        <v>🔊</v>
      </c>
      <c r="D1403" s="8" t="s">
        <v>13992</v>
      </c>
      <c r="E1403" s="6" t="s">
        <v>13</v>
      </c>
      <c r="F1403" s="12" t="str">
        <f>IFERROR(__xludf.DUMMYFUNCTION("GOOGLETRANSLATE(B1403,""zh_cn"",""vi"")"),"chắc chắn")</f>
        <v>chắc chắn</v>
      </c>
      <c r="G1403" s="12"/>
      <c r="H1403" s="6"/>
      <c r="I1403" s="11" t="b">
        <f t="shared" si="2"/>
        <v>0</v>
      </c>
      <c r="J1403" s="24"/>
      <c r="K1403" s="11" t="b">
        <f t="shared" si="3"/>
        <v>0</v>
      </c>
    </row>
    <row r="1404" ht="22.5" customHeight="1">
      <c r="A1404" s="12">
        <f t="shared" si="4"/>
        <v>5002</v>
      </c>
      <c r="B1404" s="6" t="s">
        <v>13993</v>
      </c>
      <c r="C1404" s="7" t="str">
        <f t="shared" si="7"/>
        <v>🔊</v>
      </c>
      <c r="D1404" s="8" t="s">
        <v>770</v>
      </c>
      <c r="E1404" s="6" t="s">
        <v>13</v>
      </c>
      <c r="F1404" s="12" t="str">
        <f>IFERROR(__xludf.DUMMYFUNCTION("GOOGLETRANSLATE(B1404,""zh_cn"",""vi"")"),"sự sợ hãi")</f>
        <v>sự sợ hãi</v>
      </c>
      <c r="G1404" s="12"/>
      <c r="H1404" s="6"/>
      <c r="I1404" s="11" t="b">
        <f t="shared" si="2"/>
        <v>0</v>
      </c>
      <c r="J1404" s="24"/>
      <c r="K1404" s="11" t="b">
        <f t="shared" si="3"/>
        <v>0</v>
      </c>
    </row>
    <row r="1405" ht="22.5" customHeight="1">
      <c r="A1405" s="12">
        <f t="shared" si="4"/>
        <v>5003</v>
      </c>
      <c r="B1405" s="6" t="s">
        <v>13994</v>
      </c>
      <c r="C1405" s="7" t="str">
        <f t="shared" si="7"/>
        <v>🔊</v>
      </c>
      <c r="D1405" s="8" t="s">
        <v>13995</v>
      </c>
      <c r="E1405" s="14"/>
      <c r="F1405" s="12" t="str">
        <f>IFERROR(__xludf.DUMMYFUNCTION("GOOGLETRANSLATE(B1405,""zh_cn"",""vi"")"),"Hãy nỗ lực")</f>
        <v>Hãy nỗ lực</v>
      </c>
      <c r="G1405" s="12"/>
      <c r="H1405" s="6"/>
      <c r="I1405" s="11" t="b">
        <f t="shared" si="2"/>
        <v>0</v>
      </c>
      <c r="J1405" s="24"/>
      <c r="K1405" s="11" t="b">
        <f t="shared" si="3"/>
        <v>0</v>
      </c>
    </row>
    <row r="1406" ht="22.5" customHeight="1">
      <c r="A1406" s="12">
        <f t="shared" si="4"/>
        <v>5004</v>
      </c>
      <c r="B1406" s="6" t="s">
        <v>13996</v>
      </c>
      <c r="C1406" s="7" t="str">
        <f t="shared" si="7"/>
        <v>🔊</v>
      </c>
      <c r="D1406" s="8" t="s">
        <v>13997</v>
      </c>
      <c r="E1406" s="6" t="s">
        <v>13</v>
      </c>
      <c r="F1406" s="12" t="str">
        <f>IFERROR(__xludf.DUMMYFUNCTION("GOOGLETRANSLATE(B1406,""zh_cn"",""vi"")"),"Đặt hàng")</f>
        <v>Đặt hàng</v>
      </c>
      <c r="G1406" s="12"/>
      <c r="H1406" s="6"/>
      <c r="I1406" s="11" t="b">
        <f t="shared" si="2"/>
        <v>0</v>
      </c>
      <c r="J1406" s="24"/>
      <c r="K1406" s="11" t="b">
        <f t="shared" si="3"/>
        <v>0</v>
      </c>
    </row>
    <row r="1407" ht="22.5" customHeight="1">
      <c r="A1407" s="12">
        <f t="shared" si="4"/>
        <v>5005</v>
      </c>
      <c r="B1407" s="6" t="s">
        <v>13998</v>
      </c>
      <c r="C1407" s="7" t="str">
        <f t="shared" si="7"/>
        <v>🔊</v>
      </c>
      <c r="D1407" s="8" t="s">
        <v>13999</v>
      </c>
      <c r="E1407" s="6" t="s">
        <v>27</v>
      </c>
      <c r="F1407" s="12" t="str">
        <f>IFERROR(__xludf.DUMMYFUNCTION("GOOGLETRANSLATE(B1407,""zh_cn"",""vi"")"),"Trại hè")</f>
        <v>Trại hè</v>
      </c>
      <c r="G1407" s="12"/>
      <c r="H1407" s="6"/>
      <c r="I1407" s="11" t="b">
        <f t="shared" si="2"/>
        <v>0</v>
      </c>
      <c r="J1407" s="24"/>
      <c r="K1407" s="11" t="b">
        <f t="shared" si="3"/>
        <v>0</v>
      </c>
    </row>
    <row r="1408" ht="22.5" customHeight="1">
      <c r="A1408" s="12">
        <f t="shared" si="4"/>
        <v>5006</v>
      </c>
      <c r="B1408" s="6" t="s">
        <v>14000</v>
      </c>
      <c r="C1408" s="7" t="str">
        <f t="shared" si="7"/>
        <v>🔊</v>
      </c>
      <c r="D1408" s="8" t="s">
        <v>5933</v>
      </c>
      <c r="E1408" s="6" t="s">
        <v>13</v>
      </c>
      <c r="F1408" s="12" t="str">
        <f>IFERROR(__xludf.DUMMYFUNCTION("GOOGLETRANSLATE(B1408,""zh_cn"",""vi"")"),"Không thích")</f>
        <v>Không thích</v>
      </c>
      <c r="G1408" s="12"/>
      <c r="H1408" s="6"/>
      <c r="I1408" s="11" t="b">
        <f t="shared" si="2"/>
        <v>0</v>
      </c>
      <c r="J1408" s="24"/>
      <c r="K1408" s="11" t="b">
        <f t="shared" si="3"/>
        <v>0</v>
      </c>
    </row>
    <row r="1409" ht="22.5" customHeight="1">
      <c r="A1409" s="12">
        <f t="shared" si="4"/>
        <v>5007</v>
      </c>
      <c r="B1409" s="6" t="s">
        <v>14001</v>
      </c>
      <c r="C1409" s="7" t="str">
        <f t="shared" si="7"/>
        <v>🔊</v>
      </c>
      <c r="D1409" s="8" t="s">
        <v>10204</v>
      </c>
      <c r="E1409" s="6" t="s">
        <v>13</v>
      </c>
      <c r="F1409" s="12" t="str">
        <f>IFERROR(__xludf.DUMMYFUNCTION("GOOGLETRANSLATE(B1409,""zh_cn"",""vi"")"),"giới hạn")</f>
        <v>giới hạn</v>
      </c>
      <c r="G1409" s="12"/>
      <c r="H1409" s="6"/>
      <c r="I1409" s="11" t="b">
        <f t="shared" si="2"/>
        <v>0</v>
      </c>
      <c r="J1409" s="24"/>
      <c r="K1409" s="11" t="b">
        <f t="shared" si="3"/>
        <v>0</v>
      </c>
    </row>
    <row r="1410" ht="22.5" customHeight="1">
      <c r="A1410" s="12">
        <f t="shared" si="4"/>
        <v>5008</v>
      </c>
      <c r="B1410" s="6" t="s">
        <v>14002</v>
      </c>
      <c r="C1410" s="7" t="str">
        <f t="shared" si="7"/>
        <v>🔊</v>
      </c>
      <c r="D1410" s="8" t="s">
        <v>10204</v>
      </c>
      <c r="E1410" s="6" t="s">
        <v>259</v>
      </c>
      <c r="F1410" s="12" t="str">
        <f>IFERROR(__xludf.DUMMYFUNCTION("GOOGLETRANSLATE(B1410,""zh_cn"",""vi"")"),"Dây điện")</f>
        <v>Dây điện</v>
      </c>
      <c r="G1410" s="12"/>
      <c r="H1410" s="6"/>
      <c r="I1410" s="11" t="b">
        <f t="shared" si="2"/>
        <v>0</v>
      </c>
      <c r="J1410" s="24"/>
      <c r="K1410" s="11" t="b">
        <f t="shared" si="3"/>
        <v>0</v>
      </c>
    </row>
    <row r="1411" ht="22.5" customHeight="1">
      <c r="A1411" s="12">
        <f t="shared" si="4"/>
        <v>5009</v>
      </c>
      <c r="B1411" s="6" t="s">
        <v>14003</v>
      </c>
      <c r="C1411" s="7" t="str">
        <f t="shared" si="7"/>
        <v>🔊</v>
      </c>
      <c r="D1411" s="8" t="s">
        <v>14004</v>
      </c>
      <c r="E1411" s="6" t="s">
        <v>416</v>
      </c>
      <c r="F1411" s="12" t="str">
        <f>IFERROR(__xludf.DUMMYFUNCTION("GOOGLETRANSLATE(B1411,""zh_cn"",""vi"")"),"Biểu hiện")</f>
        <v>Biểu hiện</v>
      </c>
      <c r="G1411" s="12"/>
      <c r="H1411" s="6"/>
      <c r="I1411" s="11" t="b">
        <f t="shared" si="2"/>
        <v>0</v>
      </c>
      <c r="J1411" s="24"/>
      <c r="K1411" s="11" t="b">
        <f t="shared" si="3"/>
        <v>0</v>
      </c>
    </row>
    <row r="1412" ht="22.5" customHeight="1">
      <c r="A1412" s="12">
        <f t="shared" si="4"/>
        <v>5010</v>
      </c>
      <c r="B1412" s="6" t="s">
        <v>14005</v>
      </c>
      <c r="C1412" s="7" t="str">
        <f t="shared" si="7"/>
        <v>🔊</v>
      </c>
      <c r="D1412" s="8" t="s">
        <v>14004</v>
      </c>
      <c r="E1412" s="6" t="s">
        <v>1308</v>
      </c>
      <c r="F1412" s="12" t="str">
        <f>IFERROR(__xludf.DUMMYFUNCTION("GOOGLETRANSLATE(B1412,""zh_cn"",""vi"")"),"rủi ro")</f>
        <v>rủi ro</v>
      </c>
      <c r="G1412" s="12"/>
      <c r="H1412" s="6"/>
      <c r="I1412" s="11" t="b">
        <f t="shared" si="2"/>
        <v>0</v>
      </c>
      <c r="J1412" s="24"/>
      <c r="K1412" s="11" t="b">
        <f t="shared" si="3"/>
        <v>0</v>
      </c>
    </row>
    <row r="1413" ht="22.5" customHeight="1">
      <c r="A1413" s="12">
        <f t="shared" si="4"/>
        <v>5011</v>
      </c>
      <c r="B1413" s="6" t="s">
        <v>14006</v>
      </c>
      <c r="C1413" s="7" t="str">
        <f t="shared" si="7"/>
        <v>🔊</v>
      </c>
      <c r="D1413" s="8" t="s">
        <v>14007</v>
      </c>
      <c r="E1413" s="6" t="s">
        <v>13</v>
      </c>
      <c r="F1413" s="12" t="str">
        <f>IFERROR(__xludf.DUMMYFUNCTION("GOOGLETRANSLATE(B1413,""zh_cn"",""vi"")"),"Hiện có")</f>
        <v>Hiện có</v>
      </c>
      <c r="G1413" s="12"/>
      <c r="H1413" s="6"/>
      <c r="I1413" s="11" t="b">
        <f t="shared" si="2"/>
        <v>0</v>
      </c>
      <c r="J1413" s="24"/>
      <c r="K1413" s="11" t="b">
        <f t="shared" si="3"/>
        <v>0</v>
      </c>
    </row>
    <row r="1414" ht="22.5" customHeight="1">
      <c r="A1414" s="12">
        <f t="shared" si="4"/>
        <v>5012</v>
      </c>
      <c r="B1414" s="6" t="s">
        <v>14008</v>
      </c>
      <c r="C1414" s="7" t="str">
        <f t="shared" si="7"/>
        <v>🔊</v>
      </c>
      <c r="D1414" s="8" t="s">
        <v>14009</v>
      </c>
      <c r="E1414" s="6" t="s">
        <v>27</v>
      </c>
      <c r="F1414" s="12" t="str">
        <f>IFERROR(__xludf.DUMMYFUNCTION("GOOGLETRANSLATE(B1414,""zh_cn"",""vi"")"),"giới hạn")</f>
        <v>giới hạn</v>
      </c>
      <c r="G1414" s="12"/>
      <c r="H1414" s="6"/>
      <c r="I1414" s="11" t="b">
        <f t="shared" si="2"/>
        <v>0</v>
      </c>
      <c r="J1414" s="24"/>
      <c r="K1414" s="11" t="b">
        <f t="shared" si="3"/>
        <v>0</v>
      </c>
    </row>
    <row r="1415" ht="22.5" customHeight="1">
      <c r="A1415" s="12">
        <f t="shared" si="4"/>
        <v>5013</v>
      </c>
      <c r="B1415" s="6" t="s">
        <v>14010</v>
      </c>
      <c r="C1415" s="7" t="str">
        <f t="shared" si="7"/>
        <v>🔊</v>
      </c>
      <c r="D1415" s="8" t="s">
        <v>14011</v>
      </c>
      <c r="E1415" s="6" t="s">
        <v>13</v>
      </c>
      <c r="F1415" s="12" t="str">
        <f>IFERROR(__xludf.DUMMYFUNCTION("GOOGLETRANSLATE(B1415,""zh_cn"",""vi"")"),"sự khác biệt")</f>
        <v>sự khác biệt</v>
      </c>
      <c r="G1415" s="12"/>
      <c r="H1415" s="6"/>
      <c r="I1415" s="11" t="b">
        <f t="shared" si="2"/>
        <v>0</v>
      </c>
      <c r="J1415" s="24"/>
      <c r="K1415" s="11" t="b">
        <f t="shared" si="3"/>
        <v>0</v>
      </c>
    </row>
    <row r="1416" ht="22.5" customHeight="1">
      <c r="A1416" s="12">
        <f t="shared" si="4"/>
        <v>5014</v>
      </c>
      <c r="B1416" s="6" t="s">
        <v>14012</v>
      </c>
      <c r="C1416" s="7" t="str">
        <f t="shared" si="7"/>
        <v>🔊</v>
      </c>
      <c r="D1416" s="8" t="s">
        <v>14013</v>
      </c>
      <c r="E1416" s="6" t="s">
        <v>27</v>
      </c>
      <c r="F1416" s="12" t="str">
        <f>IFERROR(__xludf.DUMMYFUNCTION("GOOGLETRANSLATE(B1416,""zh_cn"",""vi"")"),"xúc xích")</f>
        <v>xúc xích</v>
      </c>
      <c r="G1416" s="12"/>
      <c r="H1416" s="6"/>
      <c r="I1416" s="11" t="b">
        <f t="shared" si="2"/>
        <v>0</v>
      </c>
      <c r="J1416" s="24"/>
      <c r="K1416" s="11" t="b">
        <f t="shared" si="3"/>
        <v>0</v>
      </c>
    </row>
    <row r="1417" ht="22.5" customHeight="1">
      <c r="A1417" s="12">
        <f t="shared" si="4"/>
        <v>5015</v>
      </c>
      <c r="B1417" s="6" t="s">
        <v>14014</v>
      </c>
      <c r="C1417" s="7" t="str">
        <f t="shared" si="7"/>
        <v>🔊</v>
      </c>
      <c r="D1417" s="8" t="s">
        <v>14015</v>
      </c>
      <c r="E1417" s="6" t="s">
        <v>13</v>
      </c>
      <c r="F1417" s="12" t="str">
        <f>IFERROR(__xludf.DUMMYFUNCTION("GOOGLETRANSLATE(B1417,""zh_cn"",""vi"")"),"Truyền thuyết kể rằng")</f>
        <v>Truyền thuyết kể rằng</v>
      </c>
      <c r="G1417" s="12"/>
      <c r="H1417" s="6"/>
      <c r="I1417" s="11" t="b">
        <f t="shared" si="2"/>
        <v>0</v>
      </c>
      <c r="J1417" s="24"/>
      <c r="K1417" s="11" t="b">
        <f t="shared" si="3"/>
        <v>0</v>
      </c>
    </row>
    <row r="1418" ht="22.5" customHeight="1">
      <c r="A1418" s="12">
        <f t="shared" si="4"/>
        <v>5016</v>
      </c>
      <c r="B1418" s="6" t="s">
        <v>14016</v>
      </c>
      <c r="C1418" s="7" t="str">
        <f t="shared" si="7"/>
        <v>🔊</v>
      </c>
      <c r="D1418" s="8" t="s">
        <v>14017</v>
      </c>
      <c r="E1418" s="6" t="s">
        <v>13</v>
      </c>
      <c r="F1418" s="12" t="str">
        <f>IFERROR(__xludf.DUMMYFUNCTION("GOOGLETRANSLATE(B1418,""zh_cn"",""vi"")"),"bình đẳng")</f>
        <v>bình đẳng</v>
      </c>
      <c r="G1418" s="12"/>
      <c r="H1418" s="6"/>
      <c r="I1418" s="11" t="b">
        <f t="shared" si="2"/>
        <v>0</v>
      </c>
      <c r="J1418" s="24"/>
      <c r="K1418" s="11" t="b">
        <f t="shared" si="3"/>
        <v>0</v>
      </c>
    </row>
    <row r="1419" ht="22.5" customHeight="1">
      <c r="A1419" s="12">
        <f t="shared" si="4"/>
        <v>5017</v>
      </c>
      <c r="B1419" s="6" t="s">
        <v>14018</v>
      </c>
      <c r="C1419" s="7" t="str">
        <f t="shared" si="7"/>
        <v>🔊</v>
      </c>
      <c r="D1419" s="8" t="s">
        <v>14019</v>
      </c>
      <c r="E1419" s="6" t="s">
        <v>27</v>
      </c>
      <c r="F1419" s="12" t="str">
        <f>IFERROR(__xludf.DUMMYFUNCTION("GOOGLETRANSLATE(B1419,""zh_cn"",""vi"")"),"vòng cổ")</f>
        <v>vòng cổ</v>
      </c>
      <c r="G1419" s="12"/>
      <c r="H1419" s="6"/>
      <c r="I1419" s="11" t="b">
        <f t="shared" si="2"/>
        <v>0</v>
      </c>
      <c r="J1419" s="24"/>
      <c r="K1419" s="11" t="b">
        <f t="shared" si="3"/>
        <v>0</v>
      </c>
    </row>
    <row r="1420" ht="22.5" customHeight="1">
      <c r="A1420" s="12">
        <f t="shared" si="4"/>
        <v>5018</v>
      </c>
      <c r="B1420" s="6" t="s">
        <v>14020</v>
      </c>
      <c r="C1420" s="7" t="str">
        <f t="shared" si="7"/>
        <v>🔊</v>
      </c>
      <c r="D1420" s="8" t="s">
        <v>14021</v>
      </c>
      <c r="E1420" s="6" t="s">
        <v>13</v>
      </c>
      <c r="F1420" s="12" t="str">
        <f>IFERROR(__xludf.DUMMYFUNCTION("GOOGLETRANSLATE(B1420,""zh_cn"",""vi"")"),"Đã kết nối")</f>
        <v>Đã kết nối</v>
      </c>
      <c r="G1420" s="12"/>
      <c r="H1420" s="6"/>
      <c r="I1420" s="11" t="b">
        <f t="shared" si="2"/>
        <v>0</v>
      </c>
      <c r="J1420" s="24"/>
      <c r="K1420" s="11" t="b">
        <f t="shared" si="3"/>
        <v>0</v>
      </c>
    </row>
    <row r="1421" ht="22.5" customHeight="1">
      <c r="A1421" s="12">
        <f t="shared" si="4"/>
        <v>5019</v>
      </c>
      <c r="B1421" s="6" t="s">
        <v>14022</v>
      </c>
      <c r="C1421" s="7" t="str">
        <f t="shared" si="7"/>
        <v>🔊</v>
      </c>
      <c r="D1421" s="8" t="s">
        <v>14023</v>
      </c>
      <c r="E1421" s="6" t="s">
        <v>27</v>
      </c>
      <c r="F1421" s="12" t="str">
        <f>IFERROR(__xludf.DUMMYFUNCTION("GOOGLETRANSLATE(B1421,""zh_cn"",""vi"")"),"Cờ vua")</f>
        <v>Cờ vua</v>
      </c>
      <c r="G1421" s="12"/>
      <c r="H1421" s="6"/>
      <c r="I1421" s="11" t="b">
        <f t="shared" si="2"/>
        <v>0</v>
      </c>
      <c r="J1421" s="24"/>
      <c r="K1421" s="11" t="b">
        <f t="shared" si="3"/>
        <v>0</v>
      </c>
    </row>
    <row r="1422" ht="22.5" customHeight="1">
      <c r="A1422" s="12">
        <f t="shared" si="4"/>
        <v>5020</v>
      </c>
      <c r="B1422" s="6" t="s">
        <v>14024</v>
      </c>
      <c r="C1422" s="7" t="str">
        <f t="shared" si="7"/>
        <v>🔊</v>
      </c>
      <c r="D1422" s="8" t="s">
        <v>14025</v>
      </c>
      <c r="E1422" s="6" t="s">
        <v>27</v>
      </c>
      <c r="F1422" s="12" t="str">
        <f>IFERROR(__xludf.DUMMYFUNCTION("GOOGLETRANSLATE(B1422,""zh_cn"",""vi"")"),"đàm thoại")</f>
        <v>đàm thoại</v>
      </c>
      <c r="G1422" s="12"/>
      <c r="H1422" s="6"/>
      <c r="I1422" s="11" t="b">
        <f t="shared" si="2"/>
        <v>0</v>
      </c>
      <c r="J1422" s="24"/>
      <c r="K1422" s="11" t="b">
        <f t="shared" si="3"/>
        <v>0</v>
      </c>
    </row>
    <row r="1423" ht="22.5" customHeight="1">
      <c r="A1423" s="12">
        <f t="shared" si="4"/>
        <v>5021</v>
      </c>
      <c r="B1423" s="6" t="s">
        <v>14026</v>
      </c>
      <c r="C1423" s="7" t="str">
        <f t="shared" si="7"/>
        <v>🔊</v>
      </c>
      <c r="D1423" s="8" t="s">
        <v>14027</v>
      </c>
      <c r="E1423" s="6" t="s">
        <v>27</v>
      </c>
      <c r="F1423" s="12" t="str">
        <f>IFERROR(__xludf.DUMMYFUNCTION("GOOGLETRANSLATE(B1423,""zh_cn"",""vi"")"),"nước hoa")</f>
        <v>nước hoa</v>
      </c>
      <c r="G1423" s="12"/>
      <c r="H1423" s="6"/>
      <c r="I1423" s="11" t="b">
        <f t="shared" si="2"/>
        <v>0</v>
      </c>
      <c r="J1423" s="24"/>
      <c r="K1423" s="11" t="b">
        <f t="shared" si="3"/>
        <v>0</v>
      </c>
    </row>
    <row r="1424" ht="22.5" customHeight="1">
      <c r="A1424" s="12">
        <f t="shared" si="4"/>
        <v>5022</v>
      </c>
      <c r="B1424" s="6" t="s">
        <v>14028</v>
      </c>
      <c r="C1424" s="7" t="str">
        <f t="shared" si="7"/>
        <v>🔊</v>
      </c>
      <c r="D1424" s="8" t="s">
        <v>14029</v>
      </c>
      <c r="E1424" s="6" t="s">
        <v>13</v>
      </c>
      <c r="F1424" s="12" t="str">
        <f>IFERROR(__xludf.DUMMYFUNCTION("GOOGLETRANSLATE(B1424,""zh_cn"",""vi"")"),"Khao khát")</f>
        <v>Khao khát</v>
      </c>
      <c r="G1424" s="12"/>
      <c r="H1424" s="6"/>
      <c r="I1424" s="11" t="b">
        <f t="shared" si="2"/>
        <v>0</v>
      </c>
      <c r="J1424" s="24"/>
      <c r="K1424" s="11" t="b">
        <f t="shared" si="3"/>
        <v>0</v>
      </c>
    </row>
    <row r="1425" ht="22.5" customHeight="1">
      <c r="A1425" s="12">
        <f t="shared" si="4"/>
        <v>5023</v>
      </c>
      <c r="B1425" s="6" t="s">
        <v>14030</v>
      </c>
      <c r="C1425" s="7" t="str">
        <f t="shared" si="7"/>
        <v>🔊</v>
      </c>
      <c r="D1425" s="8" t="s">
        <v>14031</v>
      </c>
      <c r="E1425" s="6" t="s">
        <v>13</v>
      </c>
      <c r="F1425" s="12" t="str">
        <f>IFERROR(__xludf.DUMMYFUNCTION("GOOGLETRANSLATE(B1425,""zh_cn"",""vi"")"),"tương ứng")</f>
        <v>tương ứng</v>
      </c>
      <c r="G1425" s="12"/>
      <c r="H1425" s="6"/>
      <c r="I1425" s="11" t="b">
        <f t="shared" si="2"/>
        <v>0</v>
      </c>
      <c r="J1425" s="24"/>
      <c r="K1425" s="11" t="b">
        <f t="shared" si="3"/>
        <v>0</v>
      </c>
    </row>
    <row r="1426" ht="22.5" customHeight="1">
      <c r="A1426" s="12">
        <f t="shared" si="4"/>
        <v>5024</v>
      </c>
      <c r="B1426" s="6" t="s">
        <v>14032</v>
      </c>
      <c r="C1426" s="7" t="str">
        <f t="shared" si="7"/>
        <v>🔊</v>
      </c>
      <c r="D1426" s="8" t="s">
        <v>14033</v>
      </c>
      <c r="E1426" s="6" t="s">
        <v>27</v>
      </c>
      <c r="F1426" s="12" t="str">
        <f>IFERROR(__xludf.DUMMYFUNCTION("GOOGLETRANSLATE(B1426,""zh_cn"",""vi"")"),"Hàng hóa giao ngay")</f>
        <v>Hàng hóa giao ngay</v>
      </c>
      <c r="G1426" s="12"/>
      <c r="H1426" s="6"/>
      <c r="I1426" s="11" t="b">
        <f t="shared" si="2"/>
        <v>0</v>
      </c>
      <c r="J1426" s="24"/>
      <c r="K1426" s="11" t="b">
        <f t="shared" si="3"/>
        <v>0</v>
      </c>
    </row>
    <row r="1427" ht="22.5" customHeight="1">
      <c r="A1427" s="12">
        <f t="shared" si="4"/>
        <v>5025</v>
      </c>
      <c r="B1427" s="6" t="s">
        <v>14034</v>
      </c>
      <c r="C1427" s="7" t="str">
        <f t="shared" si="7"/>
        <v>🔊</v>
      </c>
      <c r="D1427" s="8" t="s">
        <v>14035</v>
      </c>
      <c r="E1427" s="6" t="s">
        <v>99</v>
      </c>
      <c r="F1427" s="12" t="str">
        <f>IFERROR(__xludf.DUMMYFUNCTION("GOOGLETRANSLATE(B1427,""zh_cn"",""vi"")"),"sống động")</f>
        <v>sống động</v>
      </c>
      <c r="G1427" s="12"/>
      <c r="H1427" s="6"/>
      <c r="I1427" s="11" t="b">
        <f t="shared" si="2"/>
        <v>0</v>
      </c>
      <c r="J1427" s="24"/>
      <c r="K1427" s="11" t="b">
        <f t="shared" si="3"/>
        <v>0</v>
      </c>
    </row>
    <row r="1428" ht="22.5" customHeight="1">
      <c r="A1428" s="12">
        <f t="shared" si="4"/>
        <v>5026</v>
      </c>
      <c r="B1428" s="6" t="s">
        <v>14036</v>
      </c>
      <c r="C1428" s="7" t="str">
        <f t="shared" si="7"/>
        <v>🔊</v>
      </c>
      <c r="D1428" s="8" t="s">
        <v>14037</v>
      </c>
      <c r="E1428" s="6" t="s">
        <v>27</v>
      </c>
      <c r="F1428" s="12" t="str">
        <f>IFERROR(__xludf.DUMMYFUNCTION("GOOGLETRANSLATE(B1428,""zh_cn"",""vi"")"),"trước đây")</f>
        <v>trước đây</v>
      </c>
      <c r="G1428" s="12"/>
      <c r="H1428" s="6"/>
      <c r="I1428" s="11" t="b">
        <f t="shared" si="2"/>
        <v>0</v>
      </c>
      <c r="J1428" s="24"/>
      <c r="K1428" s="11" t="b">
        <f t="shared" si="3"/>
        <v>0</v>
      </c>
    </row>
    <row r="1429" ht="22.5" customHeight="1">
      <c r="A1429" s="12">
        <f t="shared" si="4"/>
        <v>5027</v>
      </c>
      <c r="B1429" s="6" t="s">
        <v>14038</v>
      </c>
      <c r="C1429" s="7" t="str">
        <f t="shared" si="7"/>
        <v>🔊</v>
      </c>
      <c r="D1429" s="8" t="s">
        <v>14039</v>
      </c>
      <c r="E1429" s="6" t="s">
        <v>13</v>
      </c>
      <c r="F1429" s="12" t="str">
        <f>IFERROR(__xludf.DUMMYFUNCTION("GOOGLETRANSLATE(B1429,""zh_cn"",""vi"")"),"Rơi vào")</f>
        <v>Rơi vào</v>
      </c>
      <c r="G1429" s="12"/>
      <c r="H1429" s="6"/>
      <c r="I1429" s="11" t="b">
        <f t="shared" si="2"/>
        <v>0</v>
      </c>
      <c r="J1429" s="24"/>
      <c r="K1429" s="11" t="b">
        <f t="shared" si="3"/>
        <v>0</v>
      </c>
    </row>
    <row r="1430" ht="22.5" customHeight="1">
      <c r="A1430" s="12">
        <f t="shared" si="4"/>
        <v>5028</v>
      </c>
      <c r="B1430" s="6" t="s">
        <v>14040</v>
      </c>
      <c r="C1430" s="7" t="str">
        <f t="shared" si="7"/>
        <v>🔊</v>
      </c>
      <c r="D1430" s="8" t="s">
        <v>14041</v>
      </c>
      <c r="E1430" s="6" t="s">
        <v>27</v>
      </c>
      <c r="F1430" s="12" t="str">
        <f>IFERROR(__xludf.DUMMYFUNCTION("GOOGLETRANSLATE(B1430,""zh_cn"",""vi"")"),"manh mối")</f>
        <v>manh mối</v>
      </c>
      <c r="G1430" s="12"/>
      <c r="H1430" s="6"/>
      <c r="I1430" s="11" t="b">
        <f t="shared" si="2"/>
        <v>0</v>
      </c>
      <c r="J1430" s="24"/>
      <c r="K1430" s="11" t="b">
        <f t="shared" si="3"/>
        <v>0</v>
      </c>
    </row>
    <row r="1431" ht="22.5" customHeight="1">
      <c r="A1431" s="12">
        <f t="shared" si="4"/>
        <v>5029</v>
      </c>
      <c r="B1431" s="6" t="s">
        <v>14042</v>
      </c>
      <c r="C1431" s="7" t="str">
        <f t="shared" si="7"/>
        <v>🔊</v>
      </c>
      <c r="D1431" s="8" t="s">
        <v>14043</v>
      </c>
      <c r="E1431" s="6" t="s">
        <v>99</v>
      </c>
      <c r="F1431" s="12" t="str">
        <f>IFERROR(__xludf.DUMMYFUNCTION("GOOGLETRANSLATE(B1431,""zh_cn"",""vi"")"),"sáng")</f>
        <v>sáng</v>
      </c>
      <c r="G1431" s="12"/>
      <c r="H1431" s="6"/>
      <c r="I1431" s="11" t="b">
        <f t="shared" si="2"/>
        <v>0</v>
      </c>
      <c r="J1431" s="24"/>
      <c r="K1431" s="11" t="b">
        <f t="shared" si="3"/>
        <v>0</v>
      </c>
    </row>
    <row r="1432" ht="22.5" customHeight="1">
      <c r="A1432" s="12">
        <f t="shared" si="4"/>
        <v>5030</v>
      </c>
      <c r="B1432" s="6" t="s">
        <v>14044</v>
      </c>
      <c r="C1432" s="7" t="str">
        <f t="shared" si="7"/>
        <v>🔊</v>
      </c>
      <c r="D1432" s="8" t="s">
        <v>14045</v>
      </c>
      <c r="E1432" s="6" t="s">
        <v>13</v>
      </c>
      <c r="F1432" s="12" t="str">
        <f>IFERROR(__xludf.DUMMYFUNCTION("GOOGLETRANSLATE(B1432,""zh_cn"",""vi"")"),"Giới hạn ở")</f>
        <v>Giới hạn ở</v>
      </c>
      <c r="G1432" s="12"/>
      <c r="H1432" s="6"/>
      <c r="I1432" s="11" t="b">
        <f t="shared" si="2"/>
        <v>0</v>
      </c>
      <c r="J1432" s="24"/>
      <c r="K1432" s="11" t="b">
        <f t="shared" si="3"/>
        <v>0</v>
      </c>
    </row>
    <row r="1433" ht="22.5" customHeight="1">
      <c r="A1433" s="12">
        <f t="shared" si="4"/>
        <v>5031</v>
      </c>
      <c r="B1433" s="6" t="s">
        <v>14046</v>
      </c>
      <c r="C1433" s="7" t="str">
        <f t="shared" si="7"/>
        <v>🔊</v>
      </c>
      <c r="D1433" s="8" t="s">
        <v>14047</v>
      </c>
      <c r="E1433" s="6" t="s">
        <v>99</v>
      </c>
      <c r="F1433" s="12" t="str">
        <f>IFERROR(__xludf.DUMMYFUNCTION("GOOGLETRANSLATE(B1433,""zh_cn"",""vi"")"),"Có ý nghĩa")</f>
        <v>Có ý nghĩa</v>
      </c>
      <c r="G1433" s="12"/>
      <c r="H1433" s="6"/>
      <c r="I1433" s="11" t="b">
        <f t="shared" si="2"/>
        <v>0</v>
      </c>
      <c r="J1433" s="24"/>
      <c r="K1433" s="11" t="b">
        <f t="shared" si="3"/>
        <v>0</v>
      </c>
    </row>
    <row r="1434" ht="22.5" customHeight="1">
      <c r="A1434" s="12">
        <f t="shared" si="4"/>
        <v>5032</v>
      </c>
      <c r="B1434" s="6" t="s">
        <v>14048</v>
      </c>
      <c r="C1434" s="7" t="str">
        <f t="shared" si="7"/>
        <v>🔊</v>
      </c>
      <c r="D1434" s="8" t="s">
        <v>14049</v>
      </c>
      <c r="E1434" s="6" t="s">
        <v>13</v>
      </c>
      <c r="F1434" s="12" t="str">
        <f>IFERROR(__xludf.DUMMYFUNCTION("GOOGLETRANSLATE(B1434,""zh_cn"",""vi"")"),"loại bỏ")</f>
        <v>loại bỏ</v>
      </c>
      <c r="G1434" s="12"/>
      <c r="H1434" s="6"/>
      <c r="I1434" s="11" t="b">
        <f t="shared" si="2"/>
        <v>0</v>
      </c>
      <c r="J1434" s="24"/>
      <c r="K1434" s="11" t="b">
        <f t="shared" si="3"/>
        <v>0</v>
      </c>
    </row>
    <row r="1435" ht="22.5" customHeight="1">
      <c r="A1435" s="12">
        <f t="shared" si="4"/>
        <v>5033</v>
      </c>
      <c r="B1435" s="6" t="s">
        <v>14050</v>
      </c>
      <c r="C1435" s="7" t="str">
        <f t="shared" si="7"/>
        <v>🔊</v>
      </c>
      <c r="D1435" s="8" t="s">
        <v>14051</v>
      </c>
      <c r="E1435" s="6" t="s">
        <v>13</v>
      </c>
      <c r="F1435" s="12" t="str">
        <f>IFERROR(__xludf.DUMMYFUNCTION("GOOGLETRANSLATE(B1435,""zh_cn"",""vi"")"),"khử trùng")</f>
        <v>khử trùng</v>
      </c>
      <c r="G1435" s="12"/>
      <c r="H1435" s="6"/>
      <c r="I1435" s="11" t="b">
        <f t="shared" si="2"/>
        <v>0</v>
      </c>
      <c r="J1435" s="24"/>
      <c r="K1435" s="11" t="b">
        <f t="shared" si="3"/>
        <v>0</v>
      </c>
    </row>
    <row r="1436" ht="22.5" customHeight="1">
      <c r="A1436" s="12">
        <f t="shared" si="4"/>
        <v>5034</v>
      </c>
      <c r="B1436" s="6" t="s">
        <v>14052</v>
      </c>
      <c r="C1436" s="7" t="str">
        <f t="shared" si="7"/>
        <v>🔊</v>
      </c>
      <c r="D1436" s="8" t="s">
        <v>14053</v>
      </c>
      <c r="E1436" s="6" t="s">
        <v>13</v>
      </c>
      <c r="F1436" s="12" t="str">
        <f>IFERROR(__xludf.DUMMYFUNCTION("GOOGLETRANSLATE(B1436,""zh_cn"",""vi"")"),"phòng cháy chữa cháy")</f>
        <v>phòng cháy chữa cháy</v>
      </c>
      <c r="G1436" s="12"/>
      <c r="H1436" s="6"/>
      <c r="I1436" s="11" t="b">
        <f t="shared" si="2"/>
        <v>0</v>
      </c>
      <c r="J1436" s="24"/>
      <c r="K1436" s="11" t="b">
        <f t="shared" si="3"/>
        <v>0</v>
      </c>
    </row>
    <row r="1437" ht="22.5" customHeight="1">
      <c r="A1437" s="12">
        <f t="shared" si="4"/>
        <v>5035</v>
      </c>
      <c r="B1437" s="6" t="s">
        <v>14054</v>
      </c>
      <c r="C1437" s="7" t="str">
        <f t="shared" si="7"/>
        <v>🔊</v>
      </c>
      <c r="D1437" s="8" t="s">
        <v>14055</v>
      </c>
      <c r="E1437" s="6" t="s">
        <v>13</v>
      </c>
      <c r="F1437" s="12" t="str">
        <f>IFERROR(__xludf.DUMMYFUNCTION("GOOGLETRANSLATE(B1437,""zh_cn"",""vi"")"),"Sự tiêu thụ")</f>
        <v>Sự tiêu thụ</v>
      </c>
      <c r="G1437" s="12"/>
      <c r="H1437" s="6"/>
      <c r="I1437" s="11" t="b">
        <f t="shared" si="2"/>
        <v>0</v>
      </c>
      <c r="J1437" s="24"/>
      <c r="K1437" s="11" t="b">
        <f t="shared" si="3"/>
        <v>0</v>
      </c>
    </row>
    <row r="1438" ht="22.5" customHeight="1">
      <c r="A1438" s="12">
        <f t="shared" si="4"/>
        <v>5036</v>
      </c>
      <c r="B1438" s="6" t="s">
        <v>14056</v>
      </c>
      <c r="C1438" s="7" t="str">
        <f t="shared" si="7"/>
        <v>🔊</v>
      </c>
      <c r="D1438" s="8" t="s">
        <v>14057</v>
      </c>
      <c r="E1438" s="6" t="s">
        <v>27</v>
      </c>
      <c r="F1438" s="12" t="str">
        <f>IFERROR(__xludf.DUMMYFUNCTION("GOOGLETRANSLATE(B1438,""zh_cn"",""vi"")"),"lúa mì")</f>
        <v>lúa mì</v>
      </c>
      <c r="G1438" s="12"/>
      <c r="H1438" s="6"/>
      <c r="I1438" s="11" t="b">
        <f t="shared" si="2"/>
        <v>0</v>
      </c>
      <c r="J1438" s="24"/>
      <c r="K1438" s="11" t="b">
        <f t="shared" si="3"/>
        <v>0</v>
      </c>
    </row>
    <row r="1439" ht="22.5" customHeight="1">
      <c r="A1439" s="12">
        <f t="shared" si="4"/>
        <v>5037</v>
      </c>
      <c r="B1439" s="6" t="s">
        <v>14058</v>
      </c>
      <c r="C1439" s="7" t="str">
        <f t="shared" si="7"/>
        <v>🔊</v>
      </c>
      <c r="D1439" s="8" t="s">
        <v>14059</v>
      </c>
      <c r="E1439" s="6" t="s">
        <v>13</v>
      </c>
      <c r="F1439" s="12" t="str">
        <f>IFERROR(__xludf.DUMMYFUNCTION("GOOGLETRANSLATE(B1439,""zh_cn"",""vi"")"),"xóa sổ")</f>
        <v>xóa sổ</v>
      </c>
      <c r="G1439" s="12"/>
      <c r="H1439" s="6"/>
      <c r="I1439" s="11" t="b">
        <f t="shared" si="2"/>
        <v>0</v>
      </c>
      <c r="J1439" s="24"/>
      <c r="K1439" s="11" t="b">
        <f t="shared" si="3"/>
        <v>0</v>
      </c>
    </row>
    <row r="1440" ht="22.5" customHeight="1">
      <c r="A1440" s="12">
        <f t="shared" si="4"/>
        <v>5038</v>
      </c>
      <c r="B1440" s="6" t="s">
        <v>14060</v>
      </c>
      <c r="C1440" s="7" t="str">
        <f t="shared" si="7"/>
        <v>🔊</v>
      </c>
      <c r="D1440" s="8" t="s">
        <v>14061</v>
      </c>
      <c r="E1440" s="6" t="s">
        <v>99</v>
      </c>
      <c r="F1440" s="12" t="str">
        <f>IFERROR(__xludf.DUMMYFUNCTION("GOOGLETRANSLATE(B1440,""zh_cn"",""vi"")"),"nghĩa là")</f>
        <v>nghĩa là</v>
      </c>
      <c r="G1440" s="12"/>
      <c r="H1440" s="6"/>
      <c r="I1440" s="11" t="b">
        <f t="shared" si="2"/>
        <v>0</v>
      </c>
      <c r="J1440" s="24"/>
      <c r="K1440" s="11" t="b">
        <f t="shared" si="3"/>
        <v>0</v>
      </c>
    </row>
    <row r="1441" ht="22.5" customHeight="1">
      <c r="A1441" s="12">
        <f t="shared" si="4"/>
        <v>5039</v>
      </c>
      <c r="B1441" s="6" t="s">
        <v>14062</v>
      </c>
      <c r="C1441" s="7" t="str">
        <f t="shared" si="7"/>
        <v>🔊</v>
      </c>
      <c r="D1441" s="8" t="s">
        <v>14063</v>
      </c>
      <c r="E1441" s="6" t="s">
        <v>27</v>
      </c>
      <c r="F1441" s="12" t="str">
        <f>IFERROR(__xludf.DUMMYFUNCTION("GOOGLETRANSLATE(B1441,""zh_cn"",""vi"")"),"nụ cười")</f>
        <v>nụ cười</v>
      </c>
      <c r="G1441" s="12"/>
      <c r="H1441" s="6"/>
      <c r="I1441" s="11" t="b">
        <f t="shared" si="2"/>
        <v>0</v>
      </c>
      <c r="J1441" s="24"/>
      <c r="K1441" s="11" t="b">
        <f t="shared" si="3"/>
        <v>0</v>
      </c>
    </row>
    <row r="1442" ht="22.5" customHeight="1">
      <c r="A1442" s="12">
        <f t="shared" si="4"/>
        <v>5040</v>
      </c>
      <c r="B1442" s="6" t="s">
        <v>14064</v>
      </c>
      <c r="C1442" s="7" t="str">
        <f t="shared" si="7"/>
        <v>🔊</v>
      </c>
      <c r="D1442" s="8" t="s">
        <v>14065</v>
      </c>
      <c r="E1442" s="6" t="s">
        <v>27</v>
      </c>
      <c r="F1442" s="12" t="str">
        <f>IFERROR(__xludf.DUMMYFUNCTION("GOOGLETRANSLATE(B1442,""zh_cn"",""vi"")"),"tên trộm")</f>
        <v>tên trộm</v>
      </c>
      <c r="G1442" s="12"/>
      <c r="H1442" s="6"/>
      <c r="I1442" s="11" t="b">
        <f t="shared" si="2"/>
        <v>0</v>
      </c>
      <c r="J1442" s="24"/>
      <c r="K1442" s="11" t="b">
        <f t="shared" si="3"/>
        <v>0</v>
      </c>
    </row>
    <row r="1443" ht="22.5" customHeight="1">
      <c r="A1443" s="12">
        <f t="shared" si="4"/>
        <v>5041</v>
      </c>
      <c r="B1443" s="6" t="s">
        <v>14066</v>
      </c>
      <c r="C1443" s="7" t="str">
        <f t="shared" si="7"/>
        <v>🔊</v>
      </c>
      <c r="D1443" s="8" t="s">
        <v>14067</v>
      </c>
      <c r="E1443" s="6" t="s">
        <v>27</v>
      </c>
      <c r="F1443" s="12" t="str">
        <f>IFERROR(__xludf.DUMMYFUNCTION("GOOGLETRANSLATE(B1443,""zh_cn"",""vi"")"),"tác dụng")</f>
        <v>tác dụng</v>
      </c>
      <c r="G1443" s="12"/>
      <c r="H1443" s="6"/>
      <c r="I1443" s="11" t="b">
        <f t="shared" si="2"/>
        <v>0</v>
      </c>
      <c r="J1443" s="24"/>
      <c r="K1443" s="11" t="b">
        <f t="shared" si="3"/>
        <v>0</v>
      </c>
    </row>
    <row r="1444" ht="22.5" customHeight="1">
      <c r="A1444" s="12">
        <f t="shared" si="4"/>
        <v>5042</v>
      </c>
      <c r="B1444" s="6" t="s">
        <v>14068</v>
      </c>
      <c r="C1444" s="7" t="str">
        <f t="shared" si="7"/>
        <v>🔊</v>
      </c>
      <c r="D1444" s="8" t="s">
        <v>14069</v>
      </c>
      <c r="E1444" s="6" t="s">
        <v>13</v>
      </c>
      <c r="F1444" s="12" t="str">
        <f>IFERROR(__xludf.DUMMYFUNCTION("GOOGLETRANSLATE(B1444,""zh_cn"",""vi"")"),"Ngoại tuyến")</f>
        <v>Ngoại tuyến</v>
      </c>
      <c r="G1444" s="12"/>
      <c r="H1444" s="6"/>
      <c r="I1444" s="11" t="b">
        <f t="shared" si="2"/>
        <v>0</v>
      </c>
      <c r="J1444" s="24"/>
      <c r="K1444" s="11" t="b">
        <f t="shared" si="3"/>
        <v>0</v>
      </c>
    </row>
    <row r="1445" ht="22.5" customHeight="1">
      <c r="A1445" s="12">
        <f t="shared" si="4"/>
        <v>5043</v>
      </c>
      <c r="B1445" s="6" t="s">
        <v>14070</v>
      </c>
      <c r="C1445" s="7" t="str">
        <f t="shared" si="7"/>
        <v>🔊</v>
      </c>
      <c r="D1445" s="8" t="s">
        <v>14071</v>
      </c>
      <c r="E1445" s="6" t="s">
        <v>27</v>
      </c>
      <c r="F1445" s="12" t="str">
        <f>IFERROR(__xludf.DUMMYFUNCTION("GOOGLETRANSLATE(B1445,""zh_cn"",""vi"")"),"muộn")</f>
        <v>muộn</v>
      </c>
      <c r="G1445" s="12"/>
      <c r="H1445" s="6"/>
      <c r="I1445" s="11" t="b">
        <f t="shared" si="2"/>
        <v>0</v>
      </c>
      <c r="J1445" s="24"/>
      <c r="K1445" s="11" t="b">
        <f t="shared" si="3"/>
        <v>0</v>
      </c>
    </row>
    <row r="1446" ht="22.5" customHeight="1">
      <c r="A1446" s="12">
        <f t="shared" si="4"/>
        <v>5044</v>
      </c>
      <c r="B1446" s="6" t="s">
        <v>14072</v>
      </c>
      <c r="C1446" s="7" t="str">
        <f t="shared" si="7"/>
        <v>🔊</v>
      </c>
      <c r="D1446" s="8" t="s">
        <v>14073</v>
      </c>
      <c r="E1446" s="6" t="s">
        <v>27</v>
      </c>
      <c r="F1446" s="12" t="str">
        <f>IFERROR(__xludf.DUMMYFUNCTION("GOOGLETRANSLATE(B1446,""zh_cn"",""vi"")"),"tế bào")</f>
        <v>tế bào</v>
      </c>
      <c r="G1446" s="12"/>
      <c r="H1446" s="6"/>
      <c r="I1446" s="11" t="b">
        <f t="shared" si="2"/>
        <v>0</v>
      </c>
      <c r="J1446" s="24"/>
      <c r="K1446" s="11" t="b">
        <f t="shared" si="3"/>
        <v>0</v>
      </c>
    </row>
    <row r="1447" ht="22.5" customHeight="1">
      <c r="A1447" s="12">
        <f t="shared" si="4"/>
        <v>5045</v>
      </c>
      <c r="B1447" s="6" t="s">
        <v>14074</v>
      </c>
      <c r="C1447" s="7" t="str">
        <f t="shared" si="7"/>
        <v>🔊</v>
      </c>
      <c r="D1447" s="8" t="s">
        <v>819</v>
      </c>
      <c r="E1447" s="6" t="s">
        <v>13</v>
      </c>
      <c r="F1447" s="12" t="str">
        <f>IFERROR(__xludf.DUMMYFUNCTION("GOOGLETRANSLATE(B1447,""zh_cn"",""vi"")"),"nghỉ ngơi")</f>
        <v>nghỉ ngơi</v>
      </c>
      <c r="G1447" s="12"/>
      <c r="H1447" s="6"/>
      <c r="I1447" s="11" t="b">
        <f t="shared" si="2"/>
        <v>0</v>
      </c>
      <c r="J1447" s="24"/>
      <c r="K1447" s="11" t="b">
        <f t="shared" si="3"/>
        <v>0</v>
      </c>
    </row>
    <row r="1448" ht="22.5" customHeight="1">
      <c r="A1448" s="12">
        <f t="shared" si="4"/>
        <v>5046</v>
      </c>
      <c r="B1448" s="6" t="s">
        <v>14075</v>
      </c>
      <c r="C1448" s="7" t="str">
        <f t="shared" si="7"/>
        <v>🔊</v>
      </c>
      <c r="D1448" s="8" t="s">
        <v>14076</v>
      </c>
      <c r="E1448" s="6" t="s">
        <v>13</v>
      </c>
      <c r="F1448" s="12" t="str">
        <f>IFERROR(__xludf.DUMMYFUNCTION("GOOGLETRANSLATE(B1448,""zh_cn"",""vi"")"),"mang")</f>
        <v>mang</v>
      </c>
      <c r="G1448" s="12"/>
      <c r="H1448" s="6"/>
      <c r="I1448" s="11" t="b">
        <f t="shared" si="2"/>
        <v>0</v>
      </c>
      <c r="J1448" s="24"/>
      <c r="K1448" s="11" t="b">
        <f t="shared" si="3"/>
        <v>0</v>
      </c>
    </row>
    <row r="1449" ht="22.5" customHeight="1">
      <c r="A1449" s="12">
        <f t="shared" si="4"/>
        <v>5047</v>
      </c>
      <c r="B1449" s="6" t="s">
        <v>14077</v>
      </c>
      <c r="C1449" s="7" t="str">
        <f t="shared" si="7"/>
        <v>🔊</v>
      </c>
      <c r="D1449" s="8" t="s">
        <v>14078</v>
      </c>
      <c r="E1449" s="6" t="s">
        <v>27</v>
      </c>
      <c r="F1449" s="12" t="str">
        <f>IFERROR(__xludf.DUMMYFUNCTION("GOOGLETRANSLATE(B1449,""zh_cn"",""vi"")"),"sự kết hợp")</f>
        <v>sự kết hợp</v>
      </c>
      <c r="G1449" s="12"/>
      <c r="H1449" s="6"/>
      <c r="I1449" s="11" t="b">
        <f t="shared" si="2"/>
        <v>0</v>
      </c>
      <c r="J1449" s="24"/>
      <c r="K1449" s="11" t="b">
        <f t="shared" si="3"/>
        <v>0</v>
      </c>
    </row>
    <row r="1450" ht="22.5" customHeight="1">
      <c r="A1450" s="12">
        <f t="shared" si="4"/>
        <v>5048</v>
      </c>
      <c r="B1450" s="6" t="s">
        <v>14079</v>
      </c>
      <c r="C1450" s="7" t="str">
        <f t="shared" si="7"/>
        <v>🔊</v>
      </c>
      <c r="D1450" s="8" t="s">
        <v>14080</v>
      </c>
      <c r="E1450" s="6" t="s">
        <v>416</v>
      </c>
      <c r="F1450" s="12" t="str">
        <f>IFERROR(__xludf.DUMMYFUNCTION("GOOGLETRANSLATE(B1450,""zh_cn"",""vi"")"),"phối hợp")</f>
        <v>phối hợp</v>
      </c>
      <c r="G1450" s="12"/>
      <c r="H1450" s="6"/>
      <c r="I1450" s="11" t="b">
        <f t="shared" si="2"/>
        <v>0</v>
      </c>
      <c r="J1450" s="24"/>
      <c r="K1450" s="11" t="b">
        <f t="shared" si="3"/>
        <v>0</v>
      </c>
    </row>
    <row r="1451" ht="22.5" customHeight="1">
      <c r="A1451" s="12">
        <f t="shared" si="4"/>
        <v>5049</v>
      </c>
      <c r="B1451" s="6" t="s">
        <v>14081</v>
      </c>
      <c r="C1451" s="7" t="str">
        <f t="shared" si="7"/>
        <v>🔊</v>
      </c>
      <c r="D1451" s="8" t="s">
        <v>14082</v>
      </c>
      <c r="E1451" s="6" t="s">
        <v>13</v>
      </c>
      <c r="F1451" s="12" t="str">
        <f>IFERROR(__xludf.DUMMYFUNCTION("GOOGLETRANSLATE(B1451,""zh_cn"",""vi"")"),"hỗ trợ")</f>
        <v>hỗ trợ</v>
      </c>
      <c r="G1451" s="12"/>
      <c r="H1451" s="6"/>
      <c r="I1451" s="11" t="b">
        <f t="shared" si="2"/>
        <v>0</v>
      </c>
      <c r="J1451" s="24"/>
      <c r="K1451" s="11" t="b">
        <f t="shared" si="3"/>
        <v>0</v>
      </c>
    </row>
    <row r="1452" ht="22.5" customHeight="1">
      <c r="A1452" s="12">
        <f t="shared" si="4"/>
        <v>5050</v>
      </c>
      <c r="B1452" s="6" t="s">
        <v>14083</v>
      </c>
      <c r="C1452" s="7" t="str">
        <f t="shared" si="7"/>
        <v>🔊</v>
      </c>
      <c r="D1452" s="8" t="s">
        <v>14084</v>
      </c>
      <c r="E1452" s="6" t="s">
        <v>27</v>
      </c>
      <c r="F1452" s="12" t="str">
        <f>IFERROR(__xludf.DUMMYFUNCTION("GOOGLETRANSLATE(B1452,""zh_cn"",""vi"")"),"con dâu")</f>
        <v>con dâu</v>
      </c>
      <c r="G1452" s="12"/>
      <c r="H1452" s="6"/>
      <c r="I1452" s="11" t="b">
        <f t="shared" si="2"/>
        <v>0</v>
      </c>
      <c r="J1452" s="24"/>
      <c r="K1452" s="11" t="b">
        <f t="shared" si="3"/>
        <v>0</v>
      </c>
    </row>
    <row r="1453" ht="22.5" customHeight="1">
      <c r="A1453" s="12">
        <f t="shared" si="4"/>
        <v>5051</v>
      </c>
      <c r="B1453" s="6" t="s">
        <v>14085</v>
      </c>
      <c r="C1453" s="7" t="str">
        <f t="shared" si="7"/>
        <v>🔊</v>
      </c>
      <c r="D1453" s="8" t="s">
        <v>14086</v>
      </c>
      <c r="E1453" s="6" t="s">
        <v>27</v>
      </c>
      <c r="F1453" s="12" t="str">
        <f>IFERROR(__xludf.DUMMYFUNCTION("GOOGLETRANSLATE(B1453,""zh_cn"",""vi"")"),"hài kịch")</f>
        <v>hài kịch</v>
      </c>
      <c r="G1453" s="12"/>
      <c r="H1453" s="6"/>
      <c r="I1453" s="11" t="b">
        <f t="shared" si="2"/>
        <v>0</v>
      </c>
      <c r="J1453" s="24"/>
      <c r="K1453" s="11" t="b">
        <f t="shared" si="3"/>
        <v>0</v>
      </c>
    </row>
    <row r="1454" ht="22.5" customHeight="1">
      <c r="A1454" s="12">
        <f t="shared" si="4"/>
        <v>5052</v>
      </c>
      <c r="B1454" s="6" t="s">
        <v>14087</v>
      </c>
      <c r="C1454" s="7" t="str">
        <f t="shared" si="7"/>
        <v>🔊</v>
      </c>
      <c r="D1454" s="8" t="s">
        <v>14088</v>
      </c>
      <c r="E1454" s="6" t="s">
        <v>27</v>
      </c>
      <c r="F1454" s="12" t="str">
        <f>IFERROR(__xludf.DUMMYFUNCTION("GOOGLETRANSLATE(B1454,""zh_cn"",""vi"")"),"vi khuẩn")</f>
        <v>vi khuẩn</v>
      </c>
      <c r="G1454" s="12"/>
      <c r="H1454" s="6"/>
      <c r="I1454" s="11" t="b">
        <f t="shared" si="2"/>
        <v>0</v>
      </c>
      <c r="J1454" s="24"/>
      <c r="K1454" s="11" t="b">
        <f t="shared" si="3"/>
        <v>0</v>
      </c>
    </row>
    <row r="1455" ht="22.5" customHeight="1">
      <c r="A1455" s="12">
        <f t="shared" si="4"/>
        <v>5053</v>
      </c>
      <c r="B1455" s="6" t="s">
        <v>14089</v>
      </c>
      <c r="C1455" s="7" t="str">
        <f t="shared" si="7"/>
        <v>🔊</v>
      </c>
      <c r="D1455" s="8" t="s">
        <v>14090</v>
      </c>
      <c r="E1455" s="6" t="s">
        <v>27</v>
      </c>
      <c r="F1455" s="12" t="str">
        <f>IFERROR(__xludf.DUMMYFUNCTION("GOOGLETRANSLATE(B1455,""zh_cn"",""vi"")"),"loạt")</f>
        <v>loạt</v>
      </c>
      <c r="G1455" s="12"/>
      <c r="H1455" s="6"/>
      <c r="I1455" s="11" t="b">
        <f t="shared" si="2"/>
        <v>0</v>
      </c>
      <c r="J1455" s="24"/>
      <c r="K1455" s="11" t="b">
        <f t="shared" si="3"/>
        <v>0</v>
      </c>
    </row>
    <row r="1456" ht="22.5" customHeight="1">
      <c r="A1456" s="12">
        <f t="shared" si="4"/>
        <v>5054</v>
      </c>
      <c r="B1456" s="6" t="s">
        <v>14091</v>
      </c>
      <c r="C1456" s="7" t="str">
        <f t="shared" si="7"/>
        <v>🔊</v>
      </c>
      <c r="D1456" s="8" t="s">
        <v>14092</v>
      </c>
      <c r="E1456" s="6" t="s">
        <v>99</v>
      </c>
      <c r="F1456" s="12" t="str">
        <f>IFERROR(__xludf.DUMMYFUNCTION("GOOGLETRANSLATE(B1456,""zh_cn"",""vi"")"),"người yêu dấu")</f>
        <v>người yêu dấu</v>
      </c>
      <c r="G1456" s="12"/>
      <c r="H1456" s="6"/>
      <c r="I1456" s="11" t="b">
        <f t="shared" si="2"/>
        <v>0</v>
      </c>
      <c r="J1456" s="24"/>
      <c r="K1456" s="11" t="b">
        <f t="shared" si="3"/>
        <v>0</v>
      </c>
    </row>
    <row r="1457" ht="22.5" customHeight="1">
      <c r="A1457" s="12">
        <f t="shared" si="4"/>
        <v>5055</v>
      </c>
      <c r="B1457" s="6" t="s">
        <v>14093</v>
      </c>
      <c r="C1457" s="7" t="str">
        <f t="shared" si="7"/>
        <v>🔊</v>
      </c>
      <c r="D1457" s="8" t="s">
        <v>14094</v>
      </c>
      <c r="E1457" s="6" t="s">
        <v>27</v>
      </c>
      <c r="F1457" s="12" t="str">
        <f>IFERROR(__xludf.DUMMYFUNCTION("GOOGLETRANSLATE(B1457,""zh_cn"",""vi"")"),"Trong trái tim tôi")</f>
        <v>Trong trái tim tôi</v>
      </c>
      <c r="G1457" s="12"/>
      <c r="H1457" s="6"/>
      <c r="I1457" s="11" t="b">
        <f t="shared" si="2"/>
        <v>0</v>
      </c>
      <c r="J1457" s="24"/>
      <c r="K1457" s="11" t="b">
        <f t="shared" si="3"/>
        <v>0</v>
      </c>
    </row>
    <row r="1458" ht="22.5" customHeight="1">
      <c r="A1458" s="12">
        <f t="shared" si="4"/>
        <v>5056</v>
      </c>
      <c r="B1458" s="6" t="s">
        <v>14095</v>
      </c>
      <c r="C1458" s="7" t="str">
        <f t="shared" si="7"/>
        <v>🔊</v>
      </c>
      <c r="D1458" s="8" t="s">
        <v>14096</v>
      </c>
      <c r="E1458" s="6" t="s">
        <v>27</v>
      </c>
      <c r="F1458" s="12" t="str">
        <f>IFERROR(__xludf.DUMMYFUNCTION("GOOGLETRANSLATE(B1458,""zh_cn"",""vi"")"),"người mẫu")</f>
        <v>người mẫu</v>
      </c>
      <c r="G1458" s="12"/>
      <c r="H1458" s="6"/>
      <c r="I1458" s="11" t="b">
        <f t="shared" si="2"/>
        <v>0</v>
      </c>
      <c r="J1458" s="24"/>
      <c r="K1458" s="11" t="b">
        <f t="shared" si="3"/>
        <v>0</v>
      </c>
    </row>
    <row r="1459" ht="22.5" customHeight="1">
      <c r="A1459" s="12">
        <f t="shared" si="4"/>
        <v>5057</v>
      </c>
      <c r="B1459" s="6" t="s">
        <v>14097</v>
      </c>
      <c r="C1459" s="7" t="str">
        <f t="shared" si="7"/>
        <v>🔊</v>
      </c>
      <c r="D1459" s="8" t="s">
        <v>14098</v>
      </c>
      <c r="E1459" s="6" t="s">
        <v>27</v>
      </c>
      <c r="F1459" s="12" t="str">
        <f>IFERROR(__xludf.DUMMYFUNCTION("GOOGLETRANSLATE(B1459,""zh_cn"",""vi"")"),"Hiệu quả chi phí")</f>
        <v>Hiệu quả chi phí</v>
      </c>
      <c r="G1459" s="12"/>
      <c r="H1459" s="6"/>
      <c r="I1459" s="11" t="b">
        <f t="shared" si="2"/>
        <v>0</v>
      </c>
      <c r="J1459" s="24"/>
      <c r="K1459" s="11" t="b">
        <f t="shared" si="3"/>
        <v>0</v>
      </c>
    </row>
    <row r="1460" ht="22.5" customHeight="1">
      <c r="A1460" s="12">
        <f t="shared" si="4"/>
        <v>5058</v>
      </c>
      <c r="B1460" s="6" t="s">
        <v>14099</v>
      </c>
      <c r="C1460" s="7" t="str">
        <f t="shared" si="7"/>
        <v>🔊</v>
      </c>
      <c r="D1460" s="8" t="s">
        <v>14100</v>
      </c>
      <c r="E1460" s="6" t="s">
        <v>27</v>
      </c>
      <c r="F1460" s="12" t="str">
        <f>IFERROR(__xludf.DUMMYFUNCTION("GOOGLETRANSLATE(B1460,""zh_cn"",""vi"")"),"hiệu suất")</f>
        <v>hiệu suất</v>
      </c>
      <c r="G1460" s="12"/>
      <c r="H1460" s="6"/>
      <c r="I1460" s="11" t="b">
        <f t="shared" si="2"/>
        <v>0</v>
      </c>
      <c r="J1460" s="24"/>
      <c r="K1460" s="11" t="b">
        <f t="shared" si="3"/>
        <v>0</v>
      </c>
    </row>
    <row r="1461" ht="22.5" customHeight="1">
      <c r="A1461" s="12">
        <f t="shared" si="4"/>
        <v>5059</v>
      </c>
      <c r="B1461" s="6" t="s">
        <v>14101</v>
      </c>
      <c r="C1461" s="7" t="str">
        <f t="shared" si="7"/>
        <v>🔊</v>
      </c>
      <c r="D1461" s="8" t="s">
        <v>14102</v>
      </c>
      <c r="E1461" s="6" t="s">
        <v>13</v>
      </c>
      <c r="F1461" s="12" t="str">
        <f>IFERROR(__xludf.DUMMYFUNCTION("GOOGLETRANSLATE(B1461,""zh_cn"",""vi"")"),"Tăng lên")</f>
        <v>Tăng lên</v>
      </c>
      <c r="G1461" s="12"/>
      <c r="H1461" s="6"/>
      <c r="I1461" s="11" t="b">
        <f t="shared" si="2"/>
        <v>0</v>
      </c>
      <c r="J1461" s="24"/>
      <c r="K1461" s="11" t="b">
        <f t="shared" si="3"/>
        <v>0</v>
      </c>
    </row>
    <row r="1462" ht="22.5" customHeight="1">
      <c r="A1462" s="12">
        <f t="shared" si="4"/>
        <v>5060</v>
      </c>
      <c r="B1462" s="6" t="s">
        <v>14103</v>
      </c>
      <c r="C1462" s="7" t="str">
        <f t="shared" si="7"/>
        <v>🔊</v>
      </c>
      <c r="D1462" s="8" t="s">
        <v>14104</v>
      </c>
      <c r="E1462" s="6" t="s">
        <v>27</v>
      </c>
      <c r="F1462" s="12" t="str">
        <f>IFERROR(__xludf.DUMMYFUNCTION("GOOGLETRANSLATE(B1462,""zh_cn"",""vi"")"),"hình thức")</f>
        <v>hình thức</v>
      </c>
      <c r="G1462" s="12"/>
      <c r="H1462" s="6"/>
      <c r="I1462" s="11" t="b">
        <f t="shared" si="2"/>
        <v>0</v>
      </c>
      <c r="J1462" s="24"/>
      <c r="K1462" s="11" t="b">
        <f t="shared" si="3"/>
        <v>0</v>
      </c>
    </row>
    <row r="1463" ht="22.5" customHeight="1">
      <c r="A1463" s="12">
        <f t="shared" si="4"/>
        <v>5061</v>
      </c>
      <c r="B1463" s="6" t="s">
        <v>14105</v>
      </c>
      <c r="C1463" s="7" t="str">
        <f t="shared" si="7"/>
        <v>🔊</v>
      </c>
      <c r="D1463" s="8" t="s">
        <v>14106</v>
      </c>
      <c r="E1463" s="6" t="s">
        <v>27</v>
      </c>
      <c r="F1463" s="12" t="str">
        <f>IFERROR(__xludf.DUMMYFUNCTION("GOOGLETRANSLATE(B1463,""zh_cn"",""vi"")"),"Mẫu mới")</f>
        <v>Mẫu mới</v>
      </c>
      <c r="G1463" s="12"/>
      <c r="H1463" s="6"/>
      <c r="I1463" s="11" t="b">
        <f t="shared" si="2"/>
        <v>0</v>
      </c>
      <c r="J1463" s="24"/>
      <c r="K1463" s="11" t="b">
        <f t="shared" si="3"/>
        <v>0</v>
      </c>
    </row>
    <row r="1464" ht="22.5" customHeight="1">
      <c r="A1464" s="12">
        <f t="shared" si="4"/>
        <v>5062</v>
      </c>
      <c r="B1464" s="6" t="s">
        <v>14107</v>
      </c>
      <c r="C1464" s="7" t="str">
        <f t="shared" si="7"/>
        <v>🔊</v>
      </c>
      <c r="D1464" s="8" t="s">
        <v>14108</v>
      </c>
      <c r="E1464" s="6" t="s">
        <v>13</v>
      </c>
      <c r="F1464" s="12" t="str">
        <f>IFERROR(__xludf.DUMMYFUNCTION("GOOGLETRANSLATE(B1464,""zh_cn"",""vi"")"),"lòng tin")</f>
        <v>lòng tin</v>
      </c>
      <c r="G1464" s="12"/>
      <c r="H1464" s="6"/>
      <c r="I1464" s="11" t="b">
        <f t="shared" si="2"/>
        <v>0</v>
      </c>
      <c r="J1464" s="24"/>
      <c r="K1464" s="11" t="b">
        <f t="shared" si="3"/>
        <v>0</v>
      </c>
    </row>
    <row r="1465" ht="22.5" customHeight="1">
      <c r="A1465" s="12">
        <f t="shared" si="4"/>
        <v>5063</v>
      </c>
      <c r="B1465" s="6" t="s">
        <v>14109</v>
      </c>
      <c r="C1465" s="7" t="str">
        <f t="shared" si="7"/>
        <v>🔊</v>
      </c>
      <c r="D1465" s="8" t="s">
        <v>14110</v>
      </c>
      <c r="E1465" s="6" t="s">
        <v>27</v>
      </c>
      <c r="F1465" s="12" t="str">
        <f>IFERROR(__xludf.DUMMYFUNCTION("GOOGLETRANSLATE(B1465,""zh_cn"",""vi"")"),"linh hồn")</f>
        <v>linh hồn</v>
      </c>
      <c r="G1465" s="12"/>
      <c r="H1465" s="6"/>
      <c r="I1465" s="11" t="b">
        <f t="shared" si="2"/>
        <v>0</v>
      </c>
      <c r="J1465" s="24"/>
      <c r="K1465" s="11" t="b">
        <f t="shared" si="3"/>
        <v>0</v>
      </c>
    </row>
    <row r="1466" ht="22.5" customHeight="1">
      <c r="A1466" s="12">
        <f t="shared" si="4"/>
        <v>5064</v>
      </c>
      <c r="B1466" s="6" t="s">
        <v>14111</v>
      </c>
      <c r="C1466" s="7" t="str">
        <f t="shared" si="7"/>
        <v>🔊</v>
      </c>
      <c r="D1466" s="8" t="s">
        <v>14112</v>
      </c>
      <c r="E1466" s="6" t="s">
        <v>27</v>
      </c>
      <c r="F1466" s="12" t="str">
        <f>IFERROR(__xludf.DUMMYFUNCTION("GOOGLETRANSLATE(B1466,""zh_cn"",""vi"")"),"Truyền thông mới")</f>
        <v>Truyền thông mới</v>
      </c>
      <c r="G1466" s="12"/>
      <c r="H1466" s="6"/>
      <c r="I1466" s="11" t="b">
        <f t="shared" si="2"/>
        <v>0</v>
      </c>
      <c r="J1466" s="24"/>
      <c r="K1466" s="11" t="b">
        <f t="shared" si="3"/>
        <v>0</v>
      </c>
    </row>
    <row r="1467" ht="22.5" customHeight="1">
      <c r="A1467" s="12">
        <f t="shared" si="4"/>
        <v>5065</v>
      </c>
      <c r="B1467" s="6" t="s">
        <v>14113</v>
      </c>
      <c r="C1467" s="7" t="str">
        <f t="shared" si="7"/>
        <v>🔊</v>
      </c>
      <c r="D1467" s="8" t="s">
        <v>14114</v>
      </c>
      <c r="E1467" s="6" t="s">
        <v>27</v>
      </c>
      <c r="F1467" s="12" t="str">
        <f>IFERROR(__xludf.DUMMYFUNCTION("GOOGLETRANSLATE(B1467,""zh_cn"",""vi"")"),"tâm trí")</f>
        <v>tâm trí</v>
      </c>
      <c r="G1467" s="12"/>
      <c r="H1467" s="6"/>
      <c r="I1467" s="11" t="b">
        <f t="shared" si="2"/>
        <v>0</v>
      </c>
      <c r="J1467" s="24"/>
      <c r="K1467" s="11" t="b">
        <f t="shared" si="3"/>
        <v>0</v>
      </c>
    </row>
    <row r="1468" ht="22.5" customHeight="1">
      <c r="A1468" s="12">
        <f t="shared" si="4"/>
        <v>5066</v>
      </c>
      <c r="B1468" s="6" t="s">
        <v>14115</v>
      </c>
      <c r="C1468" s="7" t="str">
        <f t="shared" si="7"/>
        <v>🔊</v>
      </c>
      <c r="D1468" s="8" t="s">
        <v>14116</v>
      </c>
      <c r="E1468" s="6" t="s">
        <v>27</v>
      </c>
      <c r="F1468" s="12" t="str">
        <f>IFERROR(__xludf.DUMMYFUNCTION("GOOGLETRANSLATE(B1468,""zh_cn"",""vi"")"),"Năng lượng mới")</f>
        <v>Năng lượng mới</v>
      </c>
      <c r="G1468" s="12"/>
      <c r="H1468" s="6"/>
      <c r="I1468" s="11" t="b">
        <f t="shared" si="2"/>
        <v>0</v>
      </c>
      <c r="J1468" s="24"/>
      <c r="K1468" s="11" t="b">
        <f t="shared" si="3"/>
        <v>0</v>
      </c>
    </row>
    <row r="1469" ht="22.5" customHeight="1">
      <c r="A1469" s="12">
        <f t="shared" si="4"/>
        <v>5067</v>
      </c>
      <c r="B1469" s="6" t="s">
        <v>14117</v>
      </c>
      <c r="C1469" s="7" t="str">
        <f t="shared" si="7"/>
        <v>🔊</v>
      </c>
      <c r="D1469" s="8" t="s">
        <v>14118</v>
      </c>
      <c r="E1469" s="6" t="s">
        <v>27</v>
      </c>
      <c r="F1469" s="12" t="str">
        <f>IFERROR(__xludf.DUMMYFUNCTION("GOOGLETRANSLATE(B1469,""zh_cn"",""vi"")"),"sự tin tưởng")</f>
        <v>sự tin tưởng</v>
      </c>
      <c r="G1469" s="12"/>
      <c r="H1469" s="6"/>
      <c r="I1469" s="11" t="b">
        <f t="shared" si="2"/>
        <v>0</v>
      </c>
      <c r="J1469" s="24"/>
      <c r="K1469" s="11" t="b">
        <f t="shared" si="3"/>
        <v>0</v>
      </c>
    </row>
    <row r="1470" ht="22.5" customHeight="1">
      <c r="A1470" s="12">
        <f t="shared" si="4"/>
        <v>5068</v>
      </c>
      <c r="B1470" s="6" t="s">
        <v>14119</v>
      </c>
      <c r="C1470" s="7" t="str">
        <f t="shared" si="7"/>
        <v>🔊</v>
      </c>
      <c r="D1470" s="8" t="s">
        <v>14120</v>
      </c>
      <c r="E1470" s="6" t="s">
        <v>27</v>
      </c>
      <c r="F1470" s="12" t="str">
        <f>IFERROR(__xludf.DUMMYFUNCTION("GOOGLETRANSLATE(B1470,""zh_cn"",""vi"")"),"lương")</f>
        <v>lương</v>
      </c>
      <c r="G1470" s="12"/>
      <c r="H1470" s="6"/>
      <c r="I1470" s="11" t="b">
        <f t="shared" si="2"/>
        <v>0</v>
      </c>
      <c r="J1470" s="24"/>
      <c r="K1470" s="11" t="b">
        <f t="shared" si="3"/>
        <v>0</v>
      </c>
    </row>
    <row r="1471" ht="22.5" customHeight="1">
      <c r="A1471" s="12">
        <f t="shared" si="4"/>
        <v>5069</v>
      </c>
      <c r="B1471" s="6" t="s">
        <v>14121</v>
      </c>
      <c r="C1471" s="7" t="str">
        <f t="shared" si="7"/>
        <v>🔊</v>
      </c>
      <c r="D1471" s="8" t="s">
        <v>14122</v>
      </c>
      <c r="E1471" s="6" t="s">
        <v>13</v>
      </c>
      <c r="F1471" s="12" t="str">
        <f>IFERROR(__xludf.DUMMYFUNCTION("GOOGLETRANSLATE(B1471,""zh_cn"",""vi"")"),"Nỗi đau lòng")</f>
        <v>Nỗi đau lòng</v>
      </c>
      <c r="G1471" s="12"/>
      <c r="H1471" s="6"/>
      <c r="I1471" s="11" t="b">
        <f t="shared" si="2"/>
        <v>0</v>
      </c>
      <c r="J1471" s="24"/>
      <c r="K1471" s="11" t="b">
        <f t="shared" si="3"/>
        <v>0</v>
      </c>
    </row>
    <row r="1472" ht="22.5" customHeight="1">
      <c r="A1472" s="12">
        <f t="shared" si="4"/>
        <v>5070</v>
      </c>
      <c r="B1472" s="6" t="s">
        <v>14123</v>
      </c>
      <c r="C1472" s="7" t="str">
        <f t="shared" si="7"/>
        <v>🔊</v>
      </c>
      <c r="D1472" s="8" t="s">
        <v>14124</v>
      </c>
      <c r="E1472" s="6" t="s">
        <v>99</v>
      </c>
      <c r="F1472" s="12" t="str">
        <f>IFERROR(__xludf.DUMMYFUNCTION("GOOGLETRANSLATE(B1472,""zh_cn"",""vi"")"),"mới")</f>
        <v>mới</v>
      </c>
      <c r="G1472" s="12"/>
      <c r="H1472" s="6"/>
      <c r="I1472" s="11" t="b">
        <f t="shared" si="2"/>
        <v>0</v>
      </c>
      <c r="J1472" s="24"/>
      <c r="K1472" s="11" t="b">
        <f t="shared" si="3"/>
        <v>0</v>
      </c>
    </row>
    <row r="1473" ht="22.5" customHeight="1">
      <c r="A1473" s="12">
        <f t="shared" si="4"/>
        <v>5071</v>
      </c>
      <c r="B1473" s="6" t="s">
        <v>14125</v>
      </c>
      <c r="C1473" s="7" t="str">
        <f t="shared" si="7"/>
        <v>🔊</v>
      </c>
      <c r="D1473" s="8" t="s">
        <v>14126</v>
      </c>
      <c r="E1473" s="6" t="s">
        <v>99</v>
      </c>
      <c r="F1473" s="12" t="str">
        <f>IFERROR(__xludf.DUMMYFUNCTION("GOOGLETRANSLATE(B1473,""zh_cn"",""vi"")"),"cuốn tiểu thuyết")</f>
        <v>cuốn tiểu thuyết</v>
      </c>
      <c r="G1473" s="12"/>
      <c r="H1473" s="6"/>
      <c r="I1473" s="11" t="b">
        <f t="shared" si="2"/>
        <v>0</v>
      </c>
      <c r="J1473" s="24"/>
      <c r="K1473" s="11" t="b">
        <f t="shared" si="3"/>
        <v>0</v>
      </c>
    </row>
    <row r="1474" ht="22.5" customHeight="1">
      <c r="A1474" s="12">
        <f t="shared" si="4"/>
        <v>5072</v>
      </c>
      <c r="B1474" s="6" t="s">
        <v>14127</v>
      </c>
      <c r="C1474" s="7" t="str">
        <f t="shared" si="7"/>
        <v>🔊</v>
      </c>
      <c r="D1474" s="8" t="s">
        <v>14128</v>
      </c>
      <c r="E1474" s="6" t="s">
        <v>27</v>
      </c>
      <c r="F1474" s="12" t="str">
        <f>IFERROR(__xludf.DUMMYFUNCTION("GOOGLETRANSLATE(B1474,""zh_cn"",""vi"")"),"ước")</f>
        <v>ước</v>
      </c>
      <c r="G1474" s="12"/>
      <c r="H1474" s="6"/>
      <c r="I1474" s="11" t="b">
        <f t="shared" si="2"/>
        <v>0</v>
      </c>
      <c r="J1474" s="24"/>
      <c r="K1474" s="11" t="b">
        <f t="shared" si="3"/>
        <v>0</v>
      </c>
    </row>
    <row r="1475" ht="22.5" customHeight="1">
      <c r="A1475" s="12">
        <f t="shared" si="4"/>
        <v>5073</v>
      </c>
      <c r="B1475" s="6" t="s">
        <v>14129</v>
      </c>
      <c r="C1475" s="7" t="str">
        <f t="shared" si="7"/>
        <v>🔊</v>
      </c>
      <c r="D1475" s="8" t="s">
        <v>14130</v>
      </c>
      <c r="E1475" s="6" t="s">
        <v>27</v>
      </c>
      <c r="F1475" s="12" t="str">
        <f>IFERROR(__xludf.DUMMYFUNCTION("GOOGLETRANSLATE(B1475,""zh_cn"",""vi"")"),"trái tim")</f>
        <v>trái tim</v>
      </c>
      <c r="G1475" s="12"/>
      <c r="H1475" s="6"/>
      <c r="I1475" s="11" t="b">
        <f t="shared" si="2"/>
        <v>0</v>
      </c>
      <c r="J1475" s="24"/>
      <c r="K1475" s="11" t="b">
        <f t="shared" si="3"/>
        <v>0</v>
      </c>
    </row>
    <row r="1476" ht="22.5" customHeight="1">
      <c r="A1476" s="12">
        <f t="shared" si="4"/>
        <v>5074</v>
      </c>
      <c r="B1476" s="6" t="s">
        <v>14131</v>
      </c>
      <c r="C1476" s="7" t="str">
        <f t="shared" si="7"/>
        <v>🔊</v>
      </c>
      <c r="D1476" s="8" t="s">
        <v>14132</v>
      </c>
      <c r="E1476" s="6" t="s">
        <v>27</v>
      </c>
      <c r="F1476" s="12" t="str">
        <f>IFERROR(__xludf.DUMMYFUNCTION("GOOGLETRANSLATE(B1476,""zh_cn"",""vi"")"),"ngực")</f>
        <v>ngực</v>
      </c>
      <c r="G1476" s="12"/>
      <c r="H1476" s="6"/>
      <c r="I1476" s="11" t="b">
        <f t="shared" si="2"/>
        <v>0</v>
      </c>
      <c r="J1476" s="24"/>
      <c r="K1476" s="11" t="b">
        <f t="shared" si="3"/>
        <v>0</v>
      </c>
    </row>
    <row r="1477" ht="22.5" customHeight="1">
      <c r="A1477" s="12">
        <f t="shared" si="4"/>
        <v>5075</v>
      </c>
      <c r="B1477" s="6" t="s">
        <v>14133</v>
      </c>
      <c r="C1477" s="7" t="str">
        <f t="shared" si="7"/>
        <v>🔊</v>
      </c>
      <c r="D1477" s="8" t="s">
        <v>14134</v>
      </c>
      <c r="E1477" s="6" t="s">
        <v>27</v>
      </c>
      <c r="F1477" s="12" t="str">
        <f>IFERROR(__xludf.DUMMYFUNCTION("GOOGLETRANSLATE(B1477,""zh_cn"",""vi"")"),"kịch")</f>
        <v>kịch</v>
      </c>
      <c r="G1477" s="12"/>
      <c r="H1477" s="6"/>
      <c r="I1477" s="11" t="b">
        <f t="shared" si="2"/>
        <v>0</v>
      </c>
      <c r="J1477" s="24"/>
      <c r="K1477" s="11" t="b">
        <f t="shared" si="3"/>
        <v>0</v>
      </c>
    </row>
    <row r="1478" ht="22.5" customHeight="1">
      <c r="A1478" s="12">
        <f t="shared" si="4"/>
        <v>5076</v>
      </c>
      <c r="B1478" s="6" t="s">
        <v>14135</v>
      </c>
      <c r="C1478" s="7" t="str">
        <f t="shared" si="7"/>
        <v>🔊</v>
      </c>
      <c r="D1478" s="8" t="s">
        <v>14136</v>
      </c>
      <c r="E1478" s="6" t="s">
        <v>13</v>
      </c>
      <c r="F1478" s="12" t="str">
        <f>IFERROR(__xludf.DUMMYFUNCTION("GOOGLETRANSLATE(B1478,""zh_cn"",""vi"")"),"vẽ tranh")</f>
        <v>vẽ tranh</v>
      </c>
      <c r="G1478" s="12"/>
      <c r="H1478" s="6"/>
      <c r="I1478" s="11" t="b">
        <f t="shared" si="2"/>
        <v>0</v>
      </c>
      <c r="J1478" s="24"/>
      <c r="K1478" s="11" t="b">
        <f t="shared" si="3"/>
        <v>0</v>
      </c>
    </row>
    <row r="1479" ht="22.5" customHeight="1">
      <c r="A1479" s="12">
        <f t="shared" si="4"/>
        <v>5077</v>
      </c>
      <c r="B1479" s="6" t="s">
        <v>14137</v>
      </c>
      <c r="C1479" s="7" t="str">
        <f t="shared" si="7"/>
        <v>🔊</v>
      </c>
      <c r="D1479" s="8" t="s">
        <v>14138</v>
      </c>
      <c r="E1479" s="6" t="s">
        <v>27</v>
      </c>
      <c r="F1479" s="12" t="str">
        <f>IFERROR(__xludf.DUMMYFUNCTION("GOOGLETRANSLATE(B1479,""zh_cn"",""vi"")"),"sự kiện vui vẻ")</f>
        <v>sự kiện vui vẻ</v>
      </c>
      <c r="G1479" s="12"/>
      <c r="H1479" s="6"/>
      <c r="I1479" s="11" t="b">
        <f t="shared" si="2"/>
        <v>0</v>
      </c>
      <c r="J1479" s="24"/>
      <c r="K1479" s="11" t="b">
        <f t="shared" si="3"/>
        <v>0</v>
      </c>
    </row>
    <row r="1480" ht="22.5" customHeight="1">
      <c r="A1480" s="12">
        <f t="shared" si="4"/>
        <v>5078</v>
      </c>
      <c r="B1480" s="6" t="s">
        <v>14139</v>
      </c>
      <c r="C1480" s="7" t="str">
        <f t="shared" si="7"/>
        <v>🔊</v>
      </c>
      <c r="D1480" s="8" t="s">
        <v>14140</v>
      </c>
      <c r="E1480" s="6" t="s">
        <v>13</v>
      </c>
      <c r="F1480" s="12" t="str">
        <f>IFERROR(__xludf.DUMMYFUNCTION("GOOGLETRANSLATE(B1480,""zh_cn"",""vi"")"),"Giặt giũ")</f>
        <v>Giặt giũ</v>
      </c>
      <c r="G1480" s="12"/>
      <c r="H1480" s="6"/>
      <c r="I1480" s="11" t="b">
        <f t="shared" si="2"/>
        <v>0</v>
      </c>
      <c r="J1480" s="24"/>
      <c r="K1480" s="11" t="b">
        <f t="shared" si="3"/>
        <v>0</v>
      </c>
    </row>
    <row r="1481" ht="22.5" customHeight="1">
      <c r="A1481" s="12">
        <f t="shared" si="4"/>
        <v>5079</v>
      </c>
      <c r="B1481" s="6" t="s">
        <v>14141</v>
      </c>
      <c r="C1481" s="7" t="str">
        <f t="shared" si="7"/>
        <v>🔊</v>
      </c>
      <c r="D1481" s="8" t="s">
        <v>14142</v>
      </c>
      <c r="E1481" s="6" t="s">
        <v>27</v>
      </c>
      <c r="F1481" s="12" t="str">
        <f>IFERROR(__xludf.DUMMYFUNCTION("GOOGLETRANSLATE(B1481,""zh_cn"",""vi"")"),"phong tục")</f>
        <v>phong tục</v>
      </c>
      <c r="G1481" s="12"/>
      <c r="H1481" s="6"/>
      <c r="I1481" s="11" t="b">
        <f t="shared" si="2"/>
        <v>0</v>
      </c>
      <c r="J1481" s="24"/>
      <c r="K1481" s="11" t="b">
        <f t="shared" si="3"/>
        <v>0</v>
      </c>
    </row>
    <row r="1482" ht="22.5" customHeight="1">
      <c r="A1482" s="12">
        <f t="shared" si="4"/>
        <v>5080</v>
      </c>
      <c r="B1482" s="6" t="s">
        <v>14143</v>
      </c>
      <c r="C1482" s="7" t="str">
        <f t="shared" si="7"/>
        <v>🔊</v>
      </c>
      <c r="D1482" s="8" t="s">
        <v>14144</v>
      </c>
      <c r="E1482" s="6" t="s">
        <v>13</v>
      </c>
      <c r="F1482" s="12" t="str">
        <f>IFERROR(__xludf.DUMMYFUNCTION("GOOGLETRANSLATE(B1482,""zh_cn"",""vi"")"),"Ôn tập")</f>
        <v>Ôn tập</v>
      </c>
      <c r="G1482" s="12"/>
      <c r="H1482" s="6"/>
      <c r="I1482" s="11" t="b">
        <f t="shared" si="2"/>
        <v>0</v>
      </c>
      <c r="J1482" s="24"/>
      <c r="K1482" s="11" t="b">
        <f t="shared" si="3"/>
        <v>0</v>
      </c>
    </row>
    <row r="1483" ht="22.5" customHeight="1">
      <c r="A1483" s="12">
        <f t="shared" si="4"/>
        <v>5081</v>
      </c>
      <c r="B1483" s="6" t="s">
        <v>14145</v>
      </c>
      <c r="C1483" s="7" t="str">
        <f t="shared" si="7"/>
        <v>🔊</v>
      </c>
      <c r="D1483" s="8" t="s">
        <v>14146</v>
      </c>
      <c r="E1483" s="6" t="s">
        <v>13</v>
      </c>
      <c r="F1483" s="12" t="str">
        <f>IFERROR(__xludf.DUMMYFUNCTION("GOOGLETRANSLATE(B1483,""zh_cn"",""vi"")"),"Sửa chữa")</f>
        <v>Sửa chữa</v>
      </c>
      <c r="G1483" s="12"/>
      <c r="H1483" s="6"/>
      <c r="I1483" s="11" t="b">
        <f t="shared" si="2"/>
        <v>0</v>
      </c>
      <c r="J1483" s="24"/>
      <c r="K1483" s="11" t="b">
        <f t="shared" si="3"/>
        <v>0</v>
      </c>
    </row>
    <row r="1484" ht="22.5" customHeight="1">
      <c r="A1484" s="12">
        <f t="shared" si="4"/>
        <v>5082</v>
      </c>
      <c r="B1484" s="6" t="s">
        <v>14147</v>
      </c>
      <c r="C1484" s="7" t="str">
        <f t="shared" si="7"/>
        <v>🔊</v>
      </c>
      <c r="D1484" s="8" t="s">
        <v>14148</v>
      </c>
      <c r="E1484" s="6" t="s">
        <v>27</v>
      </c>
      <c r="F1484" s="12" t="str">
        <f>IFERROR(__xludf.DUMMYFUNCTION("GOOGLETRANSLATE(B1484,""zh_cn"",""vi"")"),"tay áo")</f>
        <v>tay áo</v>
      </c>
      <c r="G1484" s="12"/>
      <c r="H1484" s="6"/>
      <c r="I1484" s="11" t="b">
        <f t="shared" si="2"/>
        <v>0</v>
      </c>
      <c r="J1484" s="24"/>
      <c r="K1484" s="11" t="b">
        <f t="shared" si="3"/>
        <v>0</v>
      </c>
    </row>
    <row r="1485" ht="22.5" customHeight="1">
      <c r="A1485" s="12">
        <f t="shared" si="4"/>
        <v>5083</v>
      </c>
      <c r="B1485" s="6" t="s">
        <v>14149</v>
      </c>
      <c r="C1485" s="7" t="str">
        <f t="shared" si="7"/>
        <v>🔊</v>
      </c>
      <c r="D1485" s="8" t="s">
        <v>14150</v>
      </c>
      <c r="E1485" s="6" t="s">
        <v>99</v>
      </c>
      <c r="F1485" s="12" t="str">
        <f>IFERROR(__xludf.DUMMYFUNCTION("GOOGLETRANSLATE(B1485,""zh_cn"",""vi"")"),"tỉ mỉ")</f>
        <v>tỉ mỉ</v>
      </c>
      <c r="G1485" s="12"/>
      <c r="H1485" s="6"/>
      <c r="I1485" s="11" t="b">
        <f t="shared" si="2"/>
        <v>0</v>
      </c>
      <c r="J1485" s="24"/>
      <c r="K1485" s="11" t="b">
        <f t="shared" si="3"/>
        <v>0</v>
      </c>
    </row>
    <row r="1486" ht="22.5" customHeight="1">
      <c r="A1486" s="12">
        <f t="shared" si="4"/>
        <v>5084</v>
      </c>
      <c r="B1486" s="6" t="s">
        <v>14151</v>
      </c>
      <c r="C1486" s="7" t="str">
        <f t="shared" si="7"/>
        <v>🔊</v>
      </c>
      <c r="D1486" s="8" t="s">
        <v>14152</v>
      </c>
      <c r="E1486" s="6" t="s">
        <v>13</v>
      </c>
      <c r="F1486" s="12" t="str">
        <f>IFERROR(__xludf.DUMMYFUNCTION("GOOGLETRANSLATE(B1486,""zh_cn"",""vi"")"),"Lựa chọn")</f>
        <v>Lựa chọn</v>
      </c>
      <c r="G1486" s="12"/>
      <c r="H1486" s="6"/>
      <c r="I1486" s="11" t="b">
        <f t="shared" si="2"/>
        <v>0</v>
      </c>
      <c r="J1486" s="24"/>
      <c r="K1486" s="11" t="b">
        <f t="shared" si="3"/>
        <v>0</v>
      </c>
    </row>
    <row r="1487" ht="22.5" customHeight="1">
      <c r="A1487" s="12">
        <f t="shared" si="4"/>
        <v>5085</v>
      </c>
      <c r="B1487" s="6" t="s">
        <v>14153</v>
      </c>
      <c r="C1487" s="7" t="str">
        <f t="shared" si="7"/>
        <v>🔊</v>
      </c>
      <c r="D1487" s="8" t="s">
        <v>14154</v>
      </c>
      <c r="E1487" s="6" t="s">
        <v>13</v>
      </c>
      <c r="F1487" s="12" t="str">
        <f>IFERROR(__xludf.DUMMYFUNCTION("GOOGLETRANSLATE(B1487,""zh_cn"",""vi"")"),"môn tự chọn")</f>
        <v>môn tự chọn</v>
      </c>
      <c r="G1487" s="12"/>
      <c r="H1487" s="6"/>
      <c r="I1487" s="11" t="b">
        <f t="shared" si="2"/>
        <v>0</v>
      </c>
      <c r="J1487" s="24"/>
      <c r="K1487" s="11" t="b">
        <f t="shared" si="3"/>
        <v>0</v>
      </c>
    </row>
    <row r="1488" ht="22.5" customHeight="1">
      <c r="A1488" s="12">
        <f t="shared" si="4"/>
        <v>5086</v>
      </c>
      <c r="B1488" s="6" t="s">
        <v>14155</v>
      </c>
      <c r="C1488" s="7" t="str">
        <f t="shared" si="7"/>
        <v>🔊</v>
      </c>
      <c r="D1488" s="8" t="s">
        <v>14156</v>
      </c>
      <c r="E1488" s="6" t="s">
        <v>13</v>
      </c>
      <c r="F1488" s="12" t="str">
        <f>IFERROR(__xludf.DUMMYFUNCTION("GOOGLETRANSLATE(B1488,""zh_cn"",""vi"")"),"Xoay")</f>
        <v>Xoay</v>
      </c>
      <c r="G1488" s="12"/>
      <c r="H1488" s="6"/>
      <c r="I1488" s="11" t="b">
        <f t="shared" si="2"/>
        <v>0</v>
      </c>
      <c r="J1488" s="24"/>
      <c r="K1488" s="11" t="b">
        <f t="shared" si="3"/>
        <v>0</v>
      </c>
    </row>
    <row r="1489" ht="22.5" customHeight="1">
      <c r="A1489" s="12">
        <f t="shared" si="4"/>
        <v>5087</v>
      </c>
      <c r="B1489" s="6" t="s">
        <v>14157</v>
      </c>
      <c r="C1489" s="7" t="str">
        <f t="shared" si="7"/>
        <v>🔊</v>
      </c>
      <c r="D1489" s="8" t="s">
        <v>14158</v>
      </c>
      <c r="E1489" s="6" t="s">
        <v>27</v>
      </c>
      <c r="F1489" s="12" t="str">
        <f>IFERROR(__xludf.DUMMYFUNCTION("GOOGLETRANSLATE(B1489,""zh_cn"",""vi"")"),"Mạch máu")</f>
        <v>Mạch máu</v>
      </c>
      <c r="G1489" s="12"/>
      <c r="H1489" s="6"/>
      <c r="I1489" s="11" t="b">
        <f t="shared" si="2"/>
        <v>0</v>
      </c>
      <c r="J1489" s="24"/>
      <c r="K1489" s="11" t="b">
        <f t="shared" si="3"/>
        <v>0</v>
      </c>
    </row>
    <row r="1490" ht="22.5" customHeight="1">
      <c r="A1490" s="12">
        <f t="shared" si="4"/>
        <v>5088</v>
      </c>
      <c r="B1490" s="6" t="s">
        <v>14159</v>
      </c>
      <c r="C1490" s="7" t="str">
        <f t="shared" si="7"/>
        <v>🔊</v>
      </c>
      <c r="D1490" s="8" t="s">
        <v>14160</v>
      </c>
      <c r="E1490" s="6" t="s">
        <v>27</v>
      </c>
      <c r="F1490" s="12" t="str">
        <f>IFERROR(__xludf.DUMMYFUNCTION("GOOGLETRANSLATE(B1490,""zh_cn"",""vi"")"),"học hỏi")</f>
        <v>học hỏi</v>
      </c>
      <c r="G1490" s="12"/>
      <c r="H1490" s="6"/>
      <c r="I1490" s="11" t="b">
        <f t="shared" si="2"/>
        <v>0</v>
      </c>
      <c r="J1490" s="24"/>
      <c r="K1490" s="11" t="b">
        <f t="shared" si="3"/>
        <v>0</v>
      </c>
    </row>
    <row r="1491" ht="22.5" customHeight="1">
      <c r="A1491" s="12">
        <f t="shared" si="4"/>
        <v>5089</v>
      </c>
      <c r="B1491" s="6" t="s">
        <v>14161</v>
      </c>
      <c r="C1491" s="7" t="str">
        <f t="shared" si="7"/>
        <v>🔊</v>
      </c>
      <c r="D1491" s="8" t="s">
        <v>14162</v>
      </c>
      <c r="E1491" s="6" t="s">
        <v>27</v>
      </c>
      <c r="F1491" s="12" t="str">
        <f>IFERROR(__xludf.DUMMYFUNCTION("GOOGLETRANSLATE(B1491,""zh_cn"",""vi"")"),"Cử nhân Khoa học")</f>
        <v>Cử nhân Khoa học</v>
      </c>
      <c r="G1491" s="12"/>
      <c r="H1491" s="6"/>
      <c r="I1491" s="11" t="b">
        <f t="shared" si="2"/>
        <v>0</v>
      </c>
      <c r="J1491" s="24"/>
      <c r="K1491" s="11" t="b">
        <f t="shared" si="3"/>
        <v>0</v>
      </c>
    </row>
    <row r="1492" ht="22.5" customHeight="1">
      <c r="A1492" s="12">
        <f t="shared" si="4"/>
        <v>5090</v>
      </c>
      <c r="B1492" s="6" t="s">
        <v>14163</v>
      </c>
      <c r="C1492" s="7" t="str">
        <f t="shared" si="7"/>
        <v>🔊</v>
      </c>
      <c r="D1492" s="8" t="s">
        <v>14164</v>
      </c>
      <c r="E1492" s="6" t="s">
        <v>27</v>
      </c>
      <c r="F1492" s="12" t="str">
        <f>IFERROR(__xludf.DUMMYFUNCTION("GOOGLETRANSLATE(B1492,""zh_cn"",""vi"")"),"kiến thức")</f>
        <v>kiến thức</v>
      </c>
      <c r="G1492" s="12"/>
      <c r="H1492" s="6"/>
      <c r="I1492" s="11" t="b">
        <f t="shared" si="2"/>
        <v>0</v>
      </c>
      <c r="J1492" s="24"/>
      <c r="K1492" s="11" t="b">
        <f t="shared" si="3"/>
        <v>0</v>
      </c>
    </row>
    <row r="1493" ht="22.5" customHeight="1">
      <c r="A1493" s="12">
        <f t="shared" si="4"/>
        <v>5091</v>
      </c>
      <c r="B1493" s="6" t="s">
        <v>14165</v>
      </c>
      <c r="C1493" s="7" t="str">
        <f t="shared" si="7"/>
        <v>🔊</v>
      </c>
      <c r="D1493" s="8" t="s">
        <v>14166</v>
      </c>
      <c r="E1493" s="6" t="s">
        <v>27</v>
      </c>
      <c r="F1493" s="12" t="str">
        <f>IFERROR(__xludf.DUMMYFUNCTION("GOOGLETRANSLATE(B1493,""zh_cn"",""vi"")"),"nhóm máu")</f>
        <v>nhóm máu</v>
      </c>
      <c r="G1493" s="12"/>
      <c r="H1493" s="6"/>
      <c r="I1493" s="11" t="b">
        <f t="shared" si="2"/>
        <v>0</v>
      </c>
      <c r="J1493" s="24"/>
      <c r="K1493" s="11" t="b">
        <f t="shared" si="3"/>
        <v>0</v>
      </c>
    </row>
    <row r="1494" ht="22.5" customHeight="1">
      <c r="A1494" s="12">
        <f t="shared" si="4"/>
        <v>5092</v>
      </c>
      <c r="B1494" s="6" t="s">
        <v>14167</v>
      </c>
      <c r="C1494" s="7" t="str">
        <f t="shared" si="7"/>
        <v>🔊</v>
      </c>
      <c r="D1494" s="8" t="s">
        <v>14168</v>
      </c>
      <c r="E1494" s="6" t="s">
        <v>27</v>
      </c>
      <c r="F1494" s="12" t="str">
        <f>IFERROR(__xludf.DUMMYFUNCTION("GOOGLETRANSLATE(B1494,""zh_cn"",""vi"")"),"huyết áp")</f>
        <v>huyết áp</v>
      </c>
      <c r="G1494" s="12"/>
      <c r="H1494" s="6"/>
      <c r="I1494" s="11" t="b">
        <f t="shared" si="2"/>
        <v>0</v>
      </c>
      <c r="J1494" s="24"/>
      <c r="K1494" s="11" t="b">
        <f t="shared" si="3"/>
        <v>0</v>
      </c>
    </row>
    <row r="1495" ht="22.5" customHeight="1">
      <c r="A1495" s="12">
        <f t="shared" si="4"/>
        <v>5093</v>
      </c>
      <c r="B1495" s="6" t="s">
        <v>14169</v>
      </c>
      <c r="C1495" s="7" t="str">
        <f t="shared" si="7"/>
        <v>🔊</v>
      </c>
      <c r="D1495" s="8" t="s">
        <v>14170</v>
      </c>
      <c r="E1495" s="6" t="s">
        <v>27</v>
      </c>
      <c r="F1495" s="12" t="str">
        <f>IFERROR(__xludf.DUMMYFUNCTION("GOOGLETRANSLATE(B1495,""zh_cn"",""vi"")"),"máu")</f>
        <v>máu</v>
      </c>
      <c r="G1495" s="12"/>
      <c r="H1495" s="6"/>
      <c r="I1495" s="11" t="b">
        <f t="shared" si="2"/>
        <v>0</v>
      </c>
      <c r="J1495" s="24"/>
      <c r="K1495" s="11" t="b">
        <f t="shared" si="3"/>
        <v>0</v>
      </c>
    </row>
    <row r="1496" ht="22.5" customHeight="1">
      <c r="A1496" s="12">
        <f t="shared" si="4"/>
        <v>5094</v>
      </c>
      <c r="B1496" s="6" t="s">
        <v>14171</v>
      </c>
      <c r="C1496" s="7" t="str">
        <f t="shared" si="7"/>
        <v>🔊</v>
      </c>
      <c r="D1496" s="8" t="s">
        <v>14172</v>
      </c>
      <c r="E1496" s="6" t="s">
        <v>27</v>
      </c>
      <c r="F1496" s="12" t="str">
        <f>IFERROR(__xludf.DUMMYFUNCTION("GOOGLETRANSLATE(B1496,""zh_cn"",""vi"")"),"Sinh viên")</f>
        <v>Sinh viên</v>
      </c>
      <c r="G1496" s="12"/>
      <c r="H1496" s="6"/>
      <c r="I1496" s="11" t="b">
        <f t="shared" si="2"/>
        <v>0</v>
      </c>
      <c r="J1496" s="24"/>
      <c r="K1496" s="11" t="b">
        <f t="shared" si="3"/>
        <v>0</v>
      </c>
    </row>
    <row r="1497" ht="22.5" customHeight="1">
      <c r="A1497" s="12">
        <f t="shared" si="4"/>
        <v>5095</v>
      </c>
      <c r="B1497" s="6" t="s">
        <v>14173</v>
      </c>
      <c r="C1497" s="7" t="str">
        <f t="shared" si="7"/>
        <v>🔊</v>
      </c>
      <c r="D1497" s="8" t="s">
        <v>14174</v>
      </c>
      <c r="E1497" s="6" t="s">
        <v>13</v>
      </c>
      <c r="F1497" s="12" t="str">
        <f>IFERROR(__xludf.DUMMYFUNCTION("GOOGLETRANSLATE(B1497,""zh_cn"",""vi"")"),"giấy phép")</f>
        <v>giấy phép</v>
      </c>
      <c r="G1497" s="12"/>
      <c r="H1497" s="6"/>
      <c r="I1497" s="11" t="b">
        <f t="shared" si="2"/>
        <v>0</v>
      </c>
      <c r="J1497" s="24"/>
      <c r="K1497" s="11" t="b">
        <f t="shared" si="3"/>
        <v>0</v>
      </c>
    </row>
    <row r="1498" ht="22.5" customHeight="1">
      <c r="A1498" s="12">
        <f t="shared" si="4"/>
        <v>5096</v>
      </c>
      <c r="B1498" s="6" t="s">
        <v>14175</v>
      </c>
      <c r="C1498" s="7" t="str">
        <f t="shared" si="7"/>
        <v>🔊</v>
      </c>
      <c r="D1498" s="8" t="s">
        <v>14176</v>
      </c>
      <c r="E1498" s="6" t="s">
        <v>13</v>
      </c>
      <c r="F1498" s="12" t="str">
        <f>IFERROR(__xludf.DUMMYFUNCTION("GOOGLETRANSLATE(B1498,""zh_cn"",""vi"")"),"xe đạp")</f>
        <v>xe đạp</v>
      </c>
      <c r="G1498" s="12"/>
      <c r="H1498" s="6"/>
      <c r="I1498" s="11" t="b">
        <f t="shared" si="2"/>
        <v>0</v>
      </c>
      <c r="J1498" s="24"/>
      <c r="K1498" s="11" t="b">
        <f t="shared" si="3"/>
        <v>0</v>
      </c>
    </row>
    <row r="1499" ht="22.5" customHeight="1">
      <c r="A1499" s="12">
        <f t="shared" si="4"/>
        <v>5097</v>
      </c>
      <c r="B1499" s="6" t="s">
        <v>14177</v>
      </c>
      <c r="C1499" s="7" t="str">
        <f t="shared" si="7"/>
        <v>🔊</v>
      </c>
      <c r="D1499" s="8" t="s">
        <v>14178</v>
      </c>
      <c r="E1499" s="6" t="s">
        <v>13</v>
      </c>
      <c r="F1499" s="12" t="str">
        <f>IFERROR(__xludf.DUMMYFUNCTION("GOOGLETRANSLATE(B1499,""zh_cn"",""vi"")"),"tìm kiếm")</f>
        <v>tìm kiếm</v>
      </c>
      <c r="G1499" s="12"/>
      <c r="H1499" s="6"/>
      <c r="I1499" s="11" t="b">
        <f t="shared" si="2"/>
        <v>0</v>
      </c>
      <c r="J1499" s="24"/>
      <c r="K1499" s="11" t="b">
        <f t="shared" si="3"/>
        <v>0</v>
      </c>
    </row>
    <row r="1500" ht="22.5" customHeight="1">
      <c r="A1500" s="12">
        <f t="shared" si="4"/>
        <v>5098</v>
      </c>
      <c r="B1500" s="6" t="s">
        <v>14179</v>
      </c>
      <c r="C1500" s="7" t="str">
        <f t="shared" si="7"/>
        <v>🔊</v>
      </c>
      <c r="D1500" s="8" t="s">
        <v>14180</v>
      </c>
      <c r="E1500" s="6" t="s">
        <v>13</v>
      </c>
      <c r="F1500" s="12" t="str">
        <f>IFERROR(__xludf.DUMMYFUNCTION("GOOGLETRANSLATE(B1500,""zh_cn"",""vi"")"),"Chuyện kể")</f>
        <v>Chuyện kể</v>
      </c>
      <c r="G1500" s="12"/>
      <c r="H1500" s="6"/>
      <c r="I1500" s="11" t="b">
        <f t="shared" si="2"/>
        <v>0</v>
      </c>
      <c r="J1500" s="24"/>
      <c r="K1500" s="11" t="b">
        <f t="shared" si="3"/>
        <v>0</v>
      </c>
    </row>
    <row r="1501" ht="22.5" customHeight="1">
      <c r="A1501" s="12">
        <f t="shared" si="4"/>
        <v>5099</v>
      </c>
      <c r="B1501" s="6" t="s">
        <v>14181</v>
      </c>
      <c r="C1501" s="7" t="str">
        <f t="shared" si="7"/>
        <v>🔊</v>
      </c>
      <c r="D1501" s="8" t="s">
        <v>14182</v>
      </c>
      <c r="E1501" s="6" t="s">
        <v>27</v>
      </c>
      <c r="F1501" s="12" t="str">
        <f>IFERROR(__xludf.DUMMYFUNCTION("GOOGLETRANSLATE(B1501,""zh_cn"",""vi"")"),"á quân")</f>
        <v>á quân</v>
      </c>
      <c r="G1501" s="12"/>
      <c r="H1501" s="6"/>
      <c r="I1501" s="11" t="b">
        <f t="shared" si="2"/>
        <v>0</v>
      </c>
      <c r="J1501" s="24"/>
      <c r="K1501" s="11" t="b">
        <f t="shared" si="3"/>
        <v>0</v>
      </c>
    </row>
    <row r="1502" ht="22.5" customHeight="1">
      <c r="A1502" s="12">
        <f t="shared" si="4"/>
        <v>5100</v>
      </c>
      <c r="B1502" s="6" t="s">
        <v>14183</v>
      </c>
      <c r="C1502" s="7" t="str">
        <f t="shared" si="7"/>
        <v>🔊</v>
      </c>
      <c r="D1502" s="8" t="s">
        <v>6095</v>
      </c>
      <c r="E1502" s="6" t="s">
        <v>99</v>
      </c>
      <c r="F1502" s="12" t="str">
        <f>IFERROR(__xludf.DUMMYFUNCTION("GOOGLETRANSLATE(B1502,""zh_cn"",""vi"")"),"nghiêm ngặt")</f>
        <v>nghiêm ngặt</v>
      </c>
      <c r="G1502" s="12"/>
      <c r="H1502" s="6"/>
      <c r="I1502" s="11" t="b">
        <f t="shared" si="2"/>
        <v>0</v>
      </c>
      <c r="J1502" s="24"/>
      <c r="K1502" s="11" t="b">
        <f t="shared" si="3"/>
        <v>0</v>
      </c>
    </row>
    <row r="1503" ht="22.5" customHeight="1">
      <c r="A1503" s="12">
        <f t="shared" si="4"/>
        <v>5101</v>
      </c>
      <c r="B1503" s="6" t="s">
        <v>14184</v>
      </c>
      <c r="C1503" s="7" t="str">
        <f t="shared" si="7"/>
        <v>🔊</v>
      </c>
      <c r="D1503" s="8" t="s">
        <v>6102</v>
      </c>
      <c r="E1503" s="6" t="s">
        <v>13</v>
      </c>
      <c r="F1503" s="12" t="str">
        <f>IFERROR(__xludf.DUMMYFUNCTION("GOOGLETRANSLATE(B1503,""zh_cn"",""vi"")"),"Lụt")</f>
        <v>Lụt</v>
      </c>
      <c r="G1503" s="12"/>
      <c r="H1503" s="6"/>
      <c r="I1503" s="11" t="b">
        <f t="shared" si="2"/>
        <v>0</v>
      </c>
      <c r="J1503" s="24"/>
      <c r="K1503" s="11" t="b">
        <f t="shared" si="3"/>
        <v>0</v>
      </c>
    </row>
    <row r="1504" ht="22.5" customHeight="1">
      <c r="A1504" s="12">
        <f t="shared" si="4"/>
        <v>5102</v>
      </c>
      <c r="B1504" s="6" t="s">
        <v>14185</v>
      </c>
      <c r="C1504" s="7" t="str">
        <f t="shared" si="7"/>
        <v>🔊</v>
      </c>
      <c r="D1504" s="8" t="s">
        <v>14186</v>
      </c>
      <c r="E1504" s="6" t="s">
        <v>47</v>
      </c>
      <c r="F1504" s="12" t="str">
        <f>IFERROR(__xludf.DUMMYFUNCTION("GOOGLETRANSLATE(B1504,""zh_cn"",""vi"")"),"Vật mẫu")</f>
        <v>Vật mẫu</v>
      </c>
      <c r="G1504" s="12"/>
      <c r="H1504" s="6"/>
      <c r="I1504" s="11" t="b">
        <f t="shared" si="2"/>
        <v>0</v>
      </c>
      <c r="J1504" s="24"/>
      <c r="K1504" s="11" t="b">
        <f t="shared" si="3"/>
        <v>0</v>
      </c>
    </row>
    <row r="1505" ht="22.5" customHeight="1">
      <c r="A1505" s="12">
        <f t="shared" si="4"/>
        <v>5103</v>
      </c>
      <c r="B1505" s="6" t="s">
        <v>14187</v>
      </c>
      <c r="C1505" s="7" t="str">
        <f t="shared" si="7"/>
        <v>🔊</v>
      </c>
      <c r="D1505" s="8" t="s">
        <v>3057</v>
      </c>
      <c r="E1505" s="6" t="s">
        <v>13</v>
      </c>
      <c r="F1505" s="12" t="str">
        <f>IFERROR(__xludf.DUMMYFUNCTION("GOOGLETRANSLATE(B1505,""zh_cn"",""vi"")"),"Nhìn lên")</f>
        <v>Nhìn lên</v>
      </c>
      <c r="G1505" s="12"/>
      <c r="H1505" s="6"/>
      <c r="I1505" s="11" t="b">
        <f t="shared" si="2"/>
        <v>0</v>
      </c>
      <c r="J1505" s="24"/>
      <c r="K1505" s="11" t="b">
        <f t="shared" si="3"/>
        <v>0</v>
      </c>
    </row>
    <row r="1506" ht="22.5" customHeight="1">
      <c r="A1506" s="12">
        <f t="shared" si="4"/>
        <v>5104</v>
      </c>
      <c r="B1506" s="6" t="s">
        <v>14188</v>
      </c>
      <c r="C1506" s="7" t="str">
        <f t="shared" si="7"/>
        <v>🔊</v>
      </c>
      <c r="D1506" s="8" t="s">
        <v>3057</v>
      </c>
      <c r="E1506" s="6" t="s">
        <v>99</v>
      </c>
      <c r="F1506" s="12" t="str">
        <f>IFERROR(__xludf.DUMMYFUNCTION("GOOGLETRANSLATE(B1506,""zh_cn"",""vi"")"),"ngứa")</f>
        <v>ngứa</v>
      </c>
      <c r="G1506" s="12"/>
      <c r="H1506" s="6"/>
      <c r="I1506" s="11" t="b">
        <f t="shared" si="2"/>
        <v>0</v>
      </c>
      <c r="J1506" s="24"/>
      <c r="K1506" s="11" t="b">
        <f t="shared" si="3"/>
        <v>0</v>
      </c>
    </row>
    <row r="1507" ht="22.5" customHeight="1">
      <c r="A1507" s="12">
        <f t="shared" si="4"/>
        <v>5105</v>
      </c>
      <c r="B1507" s="6" t="s">
        <v>14189</v>
      </c>
      <c r="C1507" s="7" t="str">
        <f t="shared" si="7"/>
        <v>🔊</v>
      </c>
      <c r="D1507" s="8" t="s">
        <v>14190</v>
      </c>
      <c r="E1507" s="6" t="s">
        <v>13</v>
      </c>
      <c r="F1507" s="12" t="str">
        <f>IFERROR(__xludf.DUMMYFUNCTION("GOOGLETRANSLATE(B1507,""zh_cn"",""vi"")"),"Chăm sóc người cao tuổi")</f>
        <v>Chăm sóc người cao tuổi</v>
      </c>
      <c r="G1507" s="12"/>
      <c r="H1507" s="6"/>
      <c r="I1507" s="11" t="b">
        <f t="shared" si="2"/>
        <v>0</v>
      </c>
      <c r="J1507" s="24"/>
      <c r="K1507" s="11" t="b">
        <f t="shared" si="3"/>
        <v>0</v>
      </c>
    </row>
    <row r="1508" ht="22.5" customHeight="1">
      <c r="A1508" s="12">
        <f t="shared" si="4"/>
        <v>5106</v>
      </c>
      <c r="B1508" s="6" t="s">
        <v>14191</v>
      </c>
      <c r="C1508" s="7" t="str">
        <f t="shared" si="7"/>
        <v>🔊</v>
      </c>
      <c r="D1508" s="8" t="s">
        <v>14192</v>
      </c>
      <c r="E1508" s="6" t="s">
        <v>27</v>
      </c>
      <c r="F1508" s="12" t="str">
        <f>IFERROR(__xludf.DUMMYFUNCTION("GOOGLETRANSLATE(B1508,""zh_cn"",""vi"")"),"viện dưỡng lão")</f>
        <v>viện dưỡng lão</v>
      </c>
      <c r="G1508" s="12"/>
      <c r="H1508" s="6"/>
      <c r="I1508" s="11" t="b">
        <f t="shared" si="2"/>
        <v>0</v>
      </c>
      <c r="J1508" s="24"/>
      <c r="K1508" s="11" t="b">
        <f t="shared" si="3"/>
        <v>0</v>
      </c>
    </row>
    <row r="1509" ht="22.5" customHeight="1">
      <c r="A1509" s="12">
        <f t="shared" si="4"/>
        <v>5107</v>
      </c>
      <c r="B1509" s="6" t="s">
        <v>14193</v>
      </c>
      <c r="C1509" s="7" t="str">
        <f t="shared" si="7"/>
        <v>🔊</v>
      </c>
      <c r="D1509" s="8" t="s">
        <v>14194</v>
      </c>
      <c r="E1509" s="6" t="s">
        <v>27</v>
      </c>
      <c r="F1509" s="12" t="str">
        <f>IFERROR(__xludf.DUMMYFUNCTION("GOOGLETRANSLATE(B1509,""zh_cn"",""vi"")"),"ôxy")</f>
        <v>ôxy</v>
      </c>
      <c r="G1509" s="12"/>
      <c r="H1509" s="6"/>
      <c r="I1509" s="11" t="b">
        <f t="shared" si="2"/>
        <v>0</v>
      </c>
      <c r="J1509" s="24"/>
      <c r="K1509" s="11" t="b">
        <f t="shared" si="3"/>
        <v>0</v>
      </c>
    </row>
    <row r="1510" ht="22.5" customHeight="1">
      <c r="A1510" s="12">
        <f t="shared" si="4"/>
        <v>5108</v>
      </c>
      <c r="B1510" s="6" t="s">
        <v>14195</v>
      </c>
      <c r="C1510" s="7" t="str">
        <f t="shared" si="7"/>
        <v>🔊</v>
      </c>
      <c r="D1510" s="8" t="s">
        <v>14196</v>
      </c>
      <c r="E1510" s="6" t="s">
        <v>27</v>
      </c>
      <c r="F1510" s="12" t="str">
        <f>IFERROR(__xludf.DUMMYFUNCTION("GOOGLETRANSLATE(B1510,""zh_cn"",""vi"")"),"tầm nhìn")</f>
        <v>tầm nhìn</v>
      </c>
      <c r="G1510" s="12"/>
      <c r="H1510" s="6"/>
      <c r="I1510" s="11" t="b">
        <f t="shared" si="2"/>
        <v>0</v>
      </c>
      <c r="J1510" s="24"/>
      <c r="K1510" s="11" t="b">
        <f t="shared" si="3"/>
        <v>0</v>
      </c>
    </row>
    <row r="1511" ht="22.5" customHeight="1">
      <c r="A1511" s="12">
        <f t="shared" si="4"/>
        <v>5109</v>
      </c>
      <c r="B1511" s="6" t="s">
        <v>14197</v>
      </c>
      <c r="C1511" s="7" t="str">
        <f t="shared" si="7"/>
        <v>🔊</v>
      </c>
      <c r="D1511" s="8" t="s">
        <v>14198</v>
      </c>
      <c r="E1511" s="6" t="s">
        <v>27</v>
      </c>
      <c r="F1511" s="12" t="str">
        <f>IFERROR(__xludf.DUMMYFUNCTION("GOOGLETRANSLATE(B1511,""zh_cn"",""vi"")"),"ven biển")</f>
        <v>ven biển</v>
      </c>
      <c r="G1511" s="12"/>
      <c r="H1511" s="6"/>
      <c r="I1511" s="11" t="b">
        <f t="shared" si="2"/>
        <v>0</v>
      </c>
      <c r="J1511" s="24"/>
      <c r="K1511" s="11" t="b">
        <f t="shared" si="3"/>
        <v>0</v>
      </c>
    </row>
    <row r="1512" ht="22.5" customHeight="1">
      <c r="A1512" s="12">
        <f t="shared" si="4"/>
        <v>5110</v>
      </c>
      <c r="B1512" s="6" t="s">
        <v>14199</v>
      </c>
      <c r="C1512" s="7" t="str">
        <f t="shared" si="7"/>
        <v>🔊</v>
      </c>
      <c r="D1512" s="8" t="s">
        <v>14200</v>
      </c>
      <c r="E1512" s="6" t="s">
        <v>99</v>
      </c>
      <c r="F1512" s="12" t="str">
        <f>IFERROR(__xludf.DUMMYFUNCTION("GOOGLETRANSLATE(B1512,""zh_cn"",""vi"")"),"lạnh giá khắc nghiệt")</f>
        <v>lạnh giá khắc nghiệt</v>
      </c>
      <c r="G1512" s="12"/>
      <c r="H1512" s="6"/>
      <c r="I1512" s="11" t="b">
        <f t="shared" si="2"/>
        <v>0</v>
      </c>
      <c r="J1512" s="24"/>
      <c r="K1512" s="11" t="b">
        <f t="shared" si="3"/>
        <v>0</v>
      </c>
    </row>
    <row r="1513" ht="22.5" customHeight="1">
      <c r="A1513" s="12">
        <f t="shared" si="4"/>
        <v>5111</v>
      </c>
      <c r="B1513" s="6" t="s">
        <v>14201</v>
      </c>
      <c r="C1513" s="7" t="str">
        <f t="shared" si="7"/>
        <v>🔊</v>
      </c>
      <c r="D1513" s="8" t="s">
        <v>14202</v>
      </c>
      <c r="E1513" s="6" t="s">
        <v>27</v>
      </c>
      <c r="F1513" s="12" t="str">
        <f>IFERROR(__xludf.DUMMYFUNCTION("GOOGLETRANSLATE(B1513,""zh_cn"",""vi"")"),"tiệc")</f>
        <v>tiệc</v>
      </c>
      <c r="G1513" s="12"/>
      <c r="H1513" s="6"/>
      <c r="I1513" s="11" t="b">
        <f t="shared" si="2"/>
        <v>0</v>
      </c>
      <c r="J1513" s="24"/>
      <c r="K1513" s="11" t="b">
        <f t="shared" si="3"/>
        <v>0</v>
      </c>
    </row>
    <row r="1514" ht="22.5" customHeight="1">
      <c r="A1514" s="12">
        <f t="shared" si="4"/>
        <v>5112</v>
      </c>
      <c r="B1514" s="6" t="s">
        <v>14203</v>
      </c>
      <c r="C1514" s="7" t="str">
        <f t="shared" si="7"/>
        <v>🔊</v>
      </c>
      <c r="D1514" s="8" t="s">
        <v>14204</v>
      </c>
      <c r="E1514" s="6" t="s">
        <v>13</v>
      </c>
      <c r="F1514" s="12" t="str">
        <f>IFERROR(__xludf.DUMMYFUNCTION("GOOGLETRANSLATE(B1514,""zh_cn"",""vi"")"),"Nghiêm cấm tuyệt đối")</f>
        <v>Nghiêm cấm tuyệt đối</v>
      </c>
      <c r="G1514" s="12"/>
      <c r="H1514" s="6"/>
      <c r="I1514" s="11" t="b">
        <f t="shared" si="2"/>
        <v>0</v>
      </c>
      <c r="J1514" s="24"/>
      <c r="K1514" s="11" t="b">
        <f t="shared" si="3"/>
        <v>0</v>
      </c>
    </row>
    <row r="1515" ht="22.5" customHeight="1">
      <c r="A1515" s="12">
        <f t="shared" si="4"/>
        <v>5113</v>
      </c>
      <c r="B1515" s="6" t="s">
        <v>14205</v>
      </c>
      <c r="C1515" s="7" t="str">
        <f t="shared" si="7"/>
        <v>🔊</v>
      </c>
      <c r="D1515" s="8" t="s">
        <v>14206</v>
      </c>
      <c r="E1515" s="6" t="s">
        <v>14207</v>
      </c>
      <c r="F1515" s="12" t="str">
        <f>IFERROR(__xludf.DUMMYFUNCTION("GOOGLETRANSLATE(B1515,""zh_cn"",""vi"")"),"Nhìn thấy")</f>
        <v>Nhìn thấy</v>
      </c>
      <c r="G1515" s="12"/>
      <c r="H1515" s="6"/>
      <c r="I1515" s="11" t="b">
        <f t="shared" si="2"/>
        <v>0</v>
      </c>
      <c r="J1515" s="24"/>
      <c r="K1515" s="11" t="b">
        <f t="shared" si="3"/>
        <v>0</v>
      </c>
    </row>
    <row r="1516" ht="22.5" customHeight="1">
      <c r="A1516" s="12">
        <f t="shared" si="4"/>
        <v>5114</v>
      </c>
      <c r="B1516" s="6" t="s">
        <v>14208</v>
      </c>
      <c r="C1516" s="7" t="str">
        <f t="shared" si="7"/>
        <v>🔊</v>
      </c>
      <c r="D1516" s="8" t="s">
        <v>14209</v>
      </c>
      <c r="E1516" s="6" t="s">
        <v>99</v>
      </c>
      <c r="F1516" s="12" t="str">
        <f>IFERROR(__xludf.DUMMYFUNCTION("GOOGLETRANSLATE(B1516,""zh_cn"",""vi"")"),"nghiêm trọng")</f>
        <v>nghiêm trọng</v>
      </c>
      <c r="G1516" s="12"/>
      <c r="H1516" s="6"/>
      <c r="I1516" s="11" t="b">
        <f t="shared" si="2"/>
        <v>0</v>
      </c>
      <c r="J1516" s="24"/>
      <c r="K1516" s="11" t="b">
        <f t="shared" si="3"/>
        <v>0</v>
      </c>
    </row>
    <row r="1517" ht="22.5" customHeight="1">
      <c r="A1517" s="12">
        <f t="shared" si="4"/>
        <v>5115</v>
      </c>
      <c r="B1517" s="6" t="s">
        <v>14210</v>
      </c>
      <c r="C1517" s="7" t="str">
        <f t="shared" si="7"/>
        <v>🔊</v>
      </c>
      <c r="D1517" s="8" t="s">
        <v>14211</v>
      </c>
      <c r="E1517" s="6" t="s">
        <v>13</v>
      </c>
      <c r="F1517" s="12" t="str">
        <f>IFERROR(__xludf.DUMMYFUNCTION("GOOGLETRANSLATE(B1517,""zh_cn"",""vi"")"),"Đắm chìm")</f>
        <v>Đắm chìm</v>
      </c>
      <c r="G1517" s="12"/>
      <c r="H1517" s="6"/>
      <c r="I1517" s="11" t="b">
        <f t="shared" si="2"/>
        <v>0</v>
      </c>
      <c r="J1517" s="24"/>
      <c r="K1517" s="11" t="b">
        <f t="shared" si="3"/>
        <v>0</v>
      </c>
    </row>
    <row r="1518" ht="22.5" customHeight="1">
      <c r="A1518" s="12">
        <f t="shared" si="4"/>
        <v>5116</v>
      </c>
      <c r="B1518" s="6" t="s">
        <v>14212</v>
      </c>
      <c r="C1518" s="7" t="str">
        <f t="shared" si="7"/>
        <v>🔊</v>
      </c>
      <c r="D1518" s="8" t="s">
        <v>14213</v>
      </c>
      <c r="E1518" s="6" t="s">
        <v>13</v>
      </c>
      <c r="F1518" s="12" t="str">
        <f>IFERROR(__xludf.DUMMYFUNCTION("GOOGLETRANSLATE(B1518,""zh_cn"",""vi"")"),"hoãn")</f>
        <v>hoãn</v>
      </c>
      <c r="G1518" s="12"/>
      <c r="H1518" s="6"/>
      <c r="I1518" s="11" t="b">
        <f t="shared" si="2"/>
        <v>0</v>
      </c>
      <c r="J1518" s="24"/>
      <c r="K1518" s="11" t="b">
        <f t="shared" si="3"/>
        <v>0</v>
      </c>
    </row>
    <row r="1519" ht="22.5" customHeight="1">
      <c r="A1519" s="12">
        <f t="shared" si="4"/>
        <v>5117</v>
      </c>
      <c r="B1519" s="6" t="s">
        <v>14214</v>
      </c>
      <c r="C1519" s="7" t="str">
        <f t="shared" si="7"/>
        <v>🔊</v>
      </c>
      <c r="D1519" s="8" t="s">
        <v>14215</v>
      </c>
      <c r="E1519" s="6" t="s">
        <v>99</v>
      </c>
      <c r="F1519" s="12" t="str">
        <f>IFERROR(__xludf.DUMMYFUNCTION("GOOGLETRANSLATE(B1519,""zh_cn"",""vi"")"),"nóng")</f>
        <v>nóng</v>
      </c>
      <c r="G1519" s="12"/>
      <c r="H1519" s="6"/>
      <c r="I1519" s="11" t="b">
        <f t="shared" si="2"/>
        <v>0</v>
      </c>
      <c r="J1519" s="24"/>
      <c r="K1519" s="11" t="b">
        <f t="shared" si="3"/>
        <v>0</v>
      </c>
    </row>
    <row r="1520" ht="22.5" customHeight="1">
      <c r="A1520" s="12">
        <f t="shared" si="4"/>
        <v>5118</v>
      </c>
      <c r="B1520" s="6" t="s">
        <v>14216</v>
      </c>
      <c r="C1520" s="7" t="str">
        <f t="shared" si="7"/>
        <v>🔊</v>
      </c>
      <c r="D1520" s="8" t="s">
        <v>14217</v>
      </c>
      <c r="E1520" s="6" t="s">
        <v>13</v>
      </c>
      <c r="F1520" s="12" t="str">
        <f>IFERROR(__xludf.DUMMYFUNCTION("GOOGLETRANSLATE(B1520,""zh_cn"",""vi"")"),"mở rộng")</f>
        <v>mở rộng</v>
      </c>
      <c r="G1520" s="12"/>
      <c r="H1520" s="6"/>
      <c r="I1520" s="11" t="b">
        <f t="shared" si="2"/>
        <v>0</v>
      </c>
      <c r="J1520" s="24"/>
      <c r="K1520" s="11" t="b">
        <f t="shared" si="3"/>
        <v>0</v>
      </c>
    </row>
    <row r="1521" ht="22.5" customHeight="1">
      <c r="A1521" s="12">
        <f t="shared" si="4"/>
        <v>5119</v>
      </c>
      <c r="B1521" s="6" t="s">
        <v>14218</v>
      </c>
      <c r="C1521" s="7" t="str">
        <f t="shared" si="7"/>
        <v>🔊</v>
      </c>
      <c r="D1521" s="8" t="s">
        <v>14219</v>
      </c>
      <c r="E1521" s="6" t="s">
        <v>13</v>
      </c>
      <c r="F1521" s="12" t="str">
        <f>IFERROR(__xludf.DUMMYFUNCTION("GOOGLETRANSLATE(B1521,""zh_cn"",""vi"")"),"hội thảo")</f>
        <v>hội thảo</v>
      </c>
      <c r="G1521" s="12"/>
      <c r="H1521" s="6"/>
      <c r="I1521" s="11" t="b">
        <f t="shared" si="2"/>
        <v>0</v>
      </c>
      <c r="J1521" s="24"/>
      <c r="K1521" s="11" t="b">
        <f t="shared" si="3"/>
        <v>0</v>
      </c>
    </row>
    <row r="1522" ht="22.5" customHeight="1">
      <c r="A1522" s="12">
        <f t="shared" si="4"/>
        <v>5120</v>
      </c>
      <c r="B1522" s="6" t="s">
        <v>14220</v>
      </c>
      <c r="C1522" s="7" t="str">
        <f t="shared" si="7"/>
        <v>🔊</v>
      </c>
      <c r="D1522" s="8" t="s">
        <v>14221</v>
      </c>
      <c r="E1522" s="6" t="s">
        <v>13</v>
      </c>
      <c r="F1522" s="12" t="str">
        <f>IFERROR(__xludf.DUMMYFUNCTION("GOOGLETRANSLATE(B1522,""zh_cn"",""vi"")"),"Tiếp tục")</f>
        <v>Tiếp tục</v>
      </c>
      <c r="G1522" s="12"/>
      <c r="H1522" s="6"/>
      <c r="I1522" s="11" t="b">
        <f t="shared" si="2"/>
        <v>0</v>
      </c>
      <c r="J1522" s="24"/>
      <c r="K1522" s="11" t="b">
        <f t="shared" si="3"/>
        <v>0</v>
      </c>
    </row>
    <row r="1523" ht="22.5" customHeight="1">
      <c r="A1523" s="12">
        <f t="shared" si="4"/>
        <v>5121</v>
      </c>
      <c r="B1523" s="6" t="s">
        <v>14222</v>
      </c>
      <c r="C1523" s="7" t="str">
        <f t="shared" si="7"/>
        <v>🔊</v>
      </c>
      <c r="D1523" s="8" t="s">
        <v>14223</v>
      </c>
      <c r="E1523" s="6" t="s">
        <v>27</v>
      </c>
      <c r="F1523" s="12" t="str">
        <f>IFERROR(__xludf.DUMMYFUNCTION("GOOGLETRANSLATE(B1523,""zh_cn"",""vi"")"),"lời nói")</f>
        <v>lời nói</v>
      </c>
      <c r="G1523" s="12"/>
      <c r="H1523" s="6"/>
      <c r="I1523" s="11" t="b">
        <f t="shared" si="2"/>
        <v>0</v>
      </c>
      <c r="J1523" s="24"/>
      <c r="K1523" s="11" t="b">
        <f t="shared" si="3"/>
        <v>0</v>
      </c>
    </row>
    <row r="1524" ht="22.5" customHeight="1">
      <c r="A1524" s="12">
        <f t="shared" si="4"/>
        <v>5122</v>
      </c>
      <c r="B1524" s="6" t="s">
        <v>14224</v>
      </c>
      <c r="C1524" s="7" t="str">
        <f t="shared" si="7"/>
        <v>🔊</v>
      </c>
      <c r="D1524" s="8" t="s">
        <v>14225</v>
      </c>
      <c r="E1524" s="6" t="s">
        <v>27</v>
      </c>
      <c r="F1524" s="12" t="str">
        <f>IFERROR(__xludf.DUMMYFUNCTION("GOOGLETRANSLATE(B1524,""zh_cn"",""vi"")"),"viêm")</f>
        <v>viêm</v>
      </c>
      <c r="G1524" s="12"/>
      <c r="H1524" s="6"/>
      <c r="I1524" s="11" t="b">
        <f t="shared" si="2"/>
        <v>0</v>
      </c>
      <c r="J1524" s="24"/>
      <c r="K1524" s="11" t="b">
        <f t="shared" si="3"/>
        <v>0</v>
      </c>
    </row>
    <row r="1525" ht="22.5" customHeight="1">
      <c r="A1525" s="12">
        <f t="shared" si="4"/>
        <v>5123</v>
      </c>
      <c r="B1525" s="6" t="s">
        <v>14226</v>
      </c>
      <c r="C1525" s="7" t="str">
        <f t="shared" si="7"/>
        <v>🔊</v>
      </c>
      <c r="D1525" s="8" t="s">
        <v>14227</v>
      </c>
      <c r="E1525" s="6" t="s">
        <v>13</v>
      </c>
      <c r="F1525" s="12" t="str">
        <f>IFERROR(__xludf.DUMMYFUNCTION("GOOGLETRANSLATE(B1525,""zh_cn"",""vi"")"),"xác minh")</f>
        <v>xác minh</v>
      </c>
      <c r="G1525" s="12"/>
      <c r="H1525" s="6"/>
      <c r="I1525" s="11" t="b">
        <f t="shared" si="2"/>
        <v>0</v>
      </c>
      <c r="J1525" s="24"/>
      <c r="K1525" s="11" t="b">
        <f t="shared" si="3"/>
        <v>0</v>
      </c>
    </row>
    <row r="1526" ht="22.5" customHeight="1">
      <c r="A1526" s="12">
        <f t="shared" si="4"/>
        <v>5124</v>
      </c>
      <c r="B1526" s="6" t="s">
        <v>14228</v>
      </c>
      <c r="C1526" s="7" t="str">
        <f t="shared" si="7"/>
        <v>🔊</v>
      </c>
      <c r="D1526" s="8" t="s">
        <v>14229</v>
      </c>
      <c r="E1526" s="6" t="s">
        <v>13</v>
      </c>
      <c r="F1526" s="12" t="str">
        <f>IFERROR(__xludf.DUMMYFUNCTION("GOOGLETRANSLATE(B1526,""zh_cn"",""vi"")"),"chơi")</f>
        <v>chơi</v>
      </c>
      <c r="G1526" s="12"/>
      <c r="H1526" s="6"/>
      <c r="I1526" s="11" t="b">
        <f t="shared" si="2"/>
        <v>0</v>
      </c>
      <c r="J1526" s="24"/>
      <c r="K1526" s="11" t="b">
        <f t="shared" si="3"/>
        <v>0</v>
      </c>
    </row>
    <row r="1527" ht="22.5" customHeight="1">
      <c r="A1527" s="12">
        <f t="shared" si="4"/>
        <v>5125</v>
      </c>
      <c r="B1527" s="6" t="s">
        <v>14230</v>
      </c>
      <c r="C1527" s="7" t="str">
        <f t="shared" si="7"/>
        <v>🔊</v>
      </c>
      <c r="D1527" s="8" t="s">
        <v>14231</v>
      </c>
      <c r="E1527" s="6" t="s">
        <v>27</v>
      </c>
      <c r="F1527" s="12" t="str">
        <f>IFERROR(__xludf.DUMMYFUNCTION("GOOGLETRANSLATE(B1527,""zh_cn"",""vi"")"),"Điểm chính")</f>
        <v>Điểm chính</v>
      </c>
      <c r="G1527" s="12"/>
      <c r="H1527" s="6"/>
      <c r="I1527" s="11" t="b">
        <f t="shared" si="2"/>
        <v>0</v>
      </c>
      <c r="J1527" s="24"/>
      <c r="K1527" s="11" t="b">
        <f t="shared" si="3"/>
        <v>0</v>
      </c>
    </row>
    <row r="1528" ht="22.5" customHeight="1">
      <c r="A1528" s="12">
        <f t="shared" si="4"/>
        <v>5126</v>
      </c>
      <c r="B1528" s="6" t="s">
        <v>14232</v>
      </c>
      <c r="C1528" s="7" t="str">
        <f t="shared" si="7"/>
        <v>🔊</v>
      </c>
      <c r="D1528" s="8" t="s">
        <v>14233</v>
      </c>
      <c r="E1528" s="6" t="s">
        <v>1132</v>
      </c>
      <c r="F1528" s="12" t="str">
        <f>IFERROR(__xludf.DUMMYFUNCTION("GOOGLETRANSLATE(B1528,""zh_cn"",""vi"")"),"Hoặc")</f>
        <v>Hoặc</v>
      </c>
      <c r="G1528" s="12"/>
      <c r="H1528" s="6"/>
      <c r="I1528" s="11" t="b">
        <f t="shared" si="2"/>
        <v>0</v>
      </c>
      <c r="J1528" s="24"/>
      <c r="K1528" s="11" t="b">
        <f t="shared" si="3"/>
        <v>0</v>
      </c>
    </row>
    <row r="1529" ht="22.5" customHeight="1">
      <c r="A1529" s="12">
        <f t="shared" si="4"/>
        <v>5127</v>
      </c>
      <c r="B1529" s="6" t="s">
        <v>14234</v>
      </c>
      <c r="C1529" s="7" t="str">
        <f t="shared" si="7"/>
        <v>🔊</v>
      </c>
      <c r="D1529" s="8" t="s">
        <v>14235</v>
      </c>
      <c r="E1529" s="6" t="s">
        <v>27</v>
      </c>
      <c r="F1529" s="12" t="str">
        <f>IFERROR(__xludf.DUMMYFUNCTION("GOOGLETRANSLATE(B1529,""zh_cn"",""vi"")"),"các yếu tố")</f>
        <v>các yếu tố</v>
      </c>
      <c r="G1529" s="12"/>
      <c r="H1529" s="6"/>
      <c r="I1529" s="11" t="b">
        <f t="shared" si="2"/>
        <v>0</v>
      </c>
      <c r="J1529" s="24"/>
      <c r="K1529" s="11" t="b">
        <f t="shared" si="3"/>
        <v>0</v>
      </c>
    </row>
    <row r="1530" ht="22.5" customHeight="1">
      <c r="A1530" s="12">
        <f t="shared" si="4"/>
        <v>5128</v>
      </c>
      <c r="B1530" s="6" t="s">
        <v>14236</v>
      </c>
      <c r="C1530" s="7" t="str">
        <f t="shared" si="7"/>
        <v>🔊</v>
      </c>
      <c r="D1530" s="8" t="s">
        <v>14237</v>
      </c>
      <c r="E1530" s="6" t="s">
        <v>99</v>
      </c>
      <c r="F1530" s="12" t="str">
        <f>IFERROR(__xludf.DUMMYFUNCTION("GOOGLETRANSLATE(B1530,""zh_cn"",""vi"")"),"xa xôi")</f>
        <v>xa xôi</v>
      </c>
      <c r="G1530" s="12"/>
      <c r="H1530" s="6"/>
      <c r="I1530" s="11" t="b">
        <f t="shared" si="2"/>
        <v>0</v>
      </c>
      <c r="J1530" s="24"/>
      <c r="K1530" s="11" t="b">
        <f t="shared" si="3"/>
        <v>0</v>
      </c>
    </row>
    <row r="1531" ht="22.5" customHeight="1">
      <c r="A1531" s="12">
        <f t="shared" si="4"/>
        <v>5129</v>
      </c>
      <c r="B1531" s="6" t="s">
        <v>14238</v>
      </c>
      <c r="C1531" s="7" t="str">
        <f t="shared" si="7"/>
        <v>🔊</v>
      </c>
      <c r="D1531" s="8" t="s">
        <v>14239</v>
      </c>
      <c r="E1531" s="6" t="s">
        <v>13</v>
      </c>
      <c r="F1531" s="12" t="str">
        <f>IFERROR(__xludf.DUMMYFUNCTION("GOOGLETRANSLATE(B1531,""zh_cn"",""vi"")"),"nén")</f>
        <v>nén</v>
      </c>
      <c r="G1531" s="12"/>
      <c r="H1531" s="6"/>
      <c r="I1531" s="11" t="b">
        <f t="shared" si="2"/>
        <v>0</v>
      </c>
      <c r="J1531" s="24"/>
      <c r="K1531" s="11" t="b">
        <f t="shared" si="3"/>
        <v>0</v>
      </c>
    </row>
    <row r="1532" ht="22.5" customHeight="1">
      <c r="A1532" s="12">
        <f t="shared" si="4"/>
        <v>5130</v>
      </c>
      <c r="B1532" s="6" t="s">
        <v>14240</v>
      </c>
      <c r="C1532" s="7" t="str">
        <f t="shared" si="7"/>
        <v>🔊</v>
      </c>
      <c r="D1532" s="8" t="s">
        <v>3067</v>
      </c>
      <c r="E1532" s="6" t="s">
        <v>437</v>
      </c>
      <c r="F1532" s="12" t="str">
        <f>IFERROR(__xludf.DUMMYFUNCTION("GOOGLETRANSLATE(B1532,""zh_cn"",""vi"")"),"Ngành công nghiệp")</f>
        <v>Ngành công nghiệp</v>
      </c>
      <c r="G1532" s="12"/>
      <c r="H1532" s="6"/>
      <c r="I1532" s="11" t="b">
        <f t="shared" si="2"/>
        <v>0</v>
      </c>
      <c r="J1532" s="24"/>
      <c r="K1532" s="11" t="b">
        <f t="shared" si="3"/>
        <v>0</v>
      </c>
    </row>
    <row r="1533" ht="22.5" customHeight="1">
      <c r="A1533" s="12">
        <f t="shared" si="4"/>
        <v>5131</v>
      </c>
      <c r="B1533" s="6" t="s">
        <v>14241</v>
      </c>
      <c r="C1533" s="7" t="str">
        <f t="shared" si="7"/>
        <v>🔊</v>
      </c>
      <c r="D1533" s="8" t="s">
        <v>863</v>
      </c>
      <c r="E1533" s="6" t="s">
        <v>99</v>
      </c>
      <c r="F1533" s="12" t="str">
        <f>IFERROR(__xludf.DUMMYFUNCTION("GOOGLETRANSLATE(B1533,""zh_cn"",""vi"")"),"hoang dã")</f>
        <v>hoang dã</v>
      </c>
      <c r="G1533" s="12"/>
      <c r="H1533" s="6"/>
      <c r="I1533" s="11" t="b">
        <f t="shared" si="2"/>
        <v>0</v>
      </c>
      <c r="J1533" s="24"/>
      <c r="K1533" s="11" t="b">
        <f t="shared" si="3"/>
        <v>0</v>
      </c>
    </row>
    <row r="1534" ht="22.5" customHeight="1">
      <c r="A1534" s="12">
        <f t="shared" si="4"/>
        <v>5132</v>
      </c>
      <c r="B1534" s="6" t="s">
        <v>14242</v>
      </c>
      <c r="C1534" s="7" t="str">
        <f t="shared" si="7"/>
        <v>🔊</v>
      </c>
      <c r="D1534" s="8" t="s">
        <v>14243</v>
      </c>
      <c r="E1534" s="6" t="s">
        <v>18</v>
      </c>
      <c r="F1534" s="12" t="str">
        <f>IFERROR(__xludf.DUMMYFUNCTION("GOOGLETRANSLATE(B1534,""zh_cn"",""vi"")"),"Không sao cả.")</f>
        <v>Không sao cả.</v>
      </c>
      <c r="G1534" s="12"/>
      <c r="H1534" s="6"/>
      <c r="I1534" s="11" t="b">
        <f t="shared" si="2"/>
        <v>0</v>
      </c>
      <c r="J1534" s="24"/>
      <c r="K1534" s="11" t="b">
        <f t="shared" si="3"/>
        <v>0</v>
      </c>
    </row>
    <row r="1535" ht="22.5" customHeight="1">
      <c r="A1535" s="12">
        <f t="shared" si="4"/>
        <v>5133</v>
      </c>
      <c r="B1535" s="6" t="s">
        <v>14244</v>
      </c>
      <c r="C1535" s="7" t="str">
        <f t="shared" si="7"/>
        <v>🔊</v>
      </c>
      <c r="D1535" s="8" t="s">
        <v>14245</v>
      </c>
      <c r="E1535" s="6" t="s">
        <v>99</v>
      </c>
      <c r="F1535" s="12" t="str">
        <f>IFERROR(__xludf.DUMMYFUNCTION("GOOGLETRANSLATE(B1535,""zh_cn"",""vi"")"),"hoang dã")</f>
        <v>hoang dã</v>
      </c>
      <c r="G1535" s="12"/>
      <c r="H1535" s="6"/>
      <c r="I1535" s="11" t="b">
        <f t="shared" si="2"/>
        <v>0</v>
      </c>
      <c r="J1535" s="24"/>
      <c r="K1535" s="11" t="b">
        <f t="shared" si="3"/>
        <v>0</v>
      </c>
    </row>
    <row r="1536" ht="22.5" customHeight="1">
      <c r="A1536" s="12">
        <f t="shared" si="4"/>
        <v>5134</v>
      </c>
      <c r="B1536" s="6" t="s">
        <v>14246</v>
      </c>
      <c r="C1536" s="7" t="str">
        <f t="shared" si="7"/>
        <v>🔊</v>
      </c>
      <c r="D1536" s="8" t="s">
        <v>14247</v>
      </c>
      <c r="E1536" s="6" t="s">
        <v>27</v>
      </c>
      <c r="F1536" s="12" t="str">
        <f>IFERROR(__xludf.DUMMYFUNCTION("GOOGLETRANSLATE(B1536,""zh_cn"",""vi"")"),"chất lỏng")</f>
        <v>chất lỏng</v>
      </c>
      <c r="G1536" s="12"/>
      <c r="H1536" s="6"/>
      <c r="I1536" s="11" t="b">
        <f t="shared" si="2"/>
        <v>0</v>
      </c>
      <c r="J1536" s="24"/>
      <c r="K1536" s="11" t="b">
        <f t="shared" si="3"/>
        <v>0</v>
      </c>
    </row>
    <row r="1537" ht="22.5" customHeight="1">
      <c r="A1537" s="12">
        <f t="shared" si="4"/>
        <v>5135</v>
      </c>
      <c r="B1537" s="6" t="s">
        <v>14248</v>
      </c>
      <c r="C1537" s="7" t="str">
        <f t="shared" si="7"/>
        <v>🔊</v>
      </c>
      <c r="D1537" s="8" t="s">
        <v>14249</v>
      </c>
      <c r="E1537" s="6" t="s">
        <v>27</v>
      </c>
      <c r="F1537" s="12" t="str">
        <f>IFERROR(__xludf.DUMMYFUNCTION("GOOGLETRANSLATE(B1537,""zh_cn"",""vi"")"),"cánh đồng")</f>
        <v>cánh đồng</v>
      </c>
      <c r="G1537" s="12"/>
      <c r="H1537" s="6"/>
      <c r="I1537" s="11" t="b">
        <f t="shared" si="2"/>
        <v>0</v>
      </c>
      <c r="J1537" s="24"/>
      <c r="K1537" s="11" t="b">
        <f t="shared" si="3"/>
        <v>0</v>
      </c>
    </row>
    <row r="1538" ht="22.5" customHeight="1">
      <c r="A1538" s="12">
        <f t="shared" si="4"/>
        <v>5136</v>
      </c>
      <c r="B1538" s="6" t="s">
        <v>14250</v>
      </c>
      <c r="C1538" s="7" t="str">
        <f t="shared" si="7"/>
        <v>🔊</v>
      </c>
      <c r="D1538" s="8" t="s">
        <v>10563</v>
      </c>
      <c r="E1538" s="6" t="s">
        <v>27</v>
      </c>
      <c r="F1538" s="12" t="str">
        <f>IFERROR(__xludf.DUMMYFUNCTION("GOOGLETRANSLATE(B1538,""zh_cn"",""vi"")"),"Dì")</f>
        <v>Dì</v>
      </c>
      <c r="G1538" s="12"/>
      <c r="H1538" s="6"/>
      <c r="I1538" s="11" t="b">
        <f t="shared" si="2"/>
        <v>0</v>
      </c>
      <c r="J1538" s="24"/>
      <c r="K1538" s="11" t="b">
        <f t="shared" si="3"/>
        <v>0</v>
      </c>
    </row>
    <row r="1539" ht="22.5" customHeight="1">
      <c r="A1539" s="12">
        <f t="shared" si="4"/>
        <v>5137</v>
      </c>
      <c r="B1539" s="6" t="s">
        <v>14251</v>
      </c>
      <c r="C1539" s="7" t="str">
        <f t="shared" si="7"/>
        <v>🔊</v>
      </c>
      <c r="D1539" s="8" t="s">
        <v>14252</v>
      </c>
      <c r="E1539" s="6" t="s">
        <v>27</v>
      </c>
      <c r="F1539" s="12" t="str">
        <f>IFERROR(__xludf.DUMMYFUNCTION("GOOGLETRANSLATE(B1539,""zh_cn"",""vi"")"),"suốt đời")</f>
        <v>suốt đời</v>
      </c>
      <c r="G1539" s="12"/>
      <c r="H1539" s="6"/>
      <c r="I1539" s="11" t="b">
        <f t="shared" si="2"/>
        <v>0</v>
      </c>
      <c r="J1539" s="24"/>
      <c r="K1539" s="11" t="b">
        <f t="shared" si="3"/>
        <v>0</v>
      </c>
    </row>
    <row r="1540" ht="22.5" customHeight="1">
      <c r="A1540" s="12">
        <f t="shared" si="4"/>
        <v>5138</v>
      </c>
      <c r="B1540" s="6" t="s">
        <v>14253</v>
      </c>
      <c r="C1540" s="7" t="str">
        <f t="shared" si="7"/>
        <v>🔊</v>
      </c>
      <c r="D1540" s="8" t="s">
        <v>14254</v>
      </c>
      <c r="E1540" s="6" t="s">
        <v>1132</v>
      </c>
      <c r="F1540" s="12" t="str">
        <f>IFERROR(__xludf.DUMMYFUNCTION("GOOGLETRANSLATE(B1540,""zh_cn"",""vi"")"),"để có thể")</f>
        <v>để có thể</v>
      </c>
      <c r="G1540" s="12"/>
      <c r="H1540" s="6"/>
      <c r="I1540" s="11" t="b">
        <f t="shared" si="2"/>
        <v>0</v>
      </c>
      <c r="J1540" s="24"/>
      <c r="K1540" s="11" t="b">
        <f t="shared" si="3"/>
        <v>0</v>
      </c>
    </row>
    <row r="1541" ht="22.5" customHeight="1">
      <c r="A1541" s="12">
        <f t="shared" si="4"/>
        <v>5139</v>
      </c>
      <c r="B1541" s="6" t="s">
        <v>14255</v>
      </c>
      <c r="C1541" s="7" t="str">
        <f t="shared" si="7"/>
        <v>🔊</v>
      </c>
      <c r="D1541" s="8" t="s">
        <v>14256</v>
      </c>
      <c r="E1541" s="6" t="s">
        <v>27</v>
      </c>
      <c r="F1541" s="12" t="str">
        <f>IFERROR(__xludf.DUMMYFUNCTION("GOOGLETRANSLATE(B1541,""zh_cn"",""vi"")"),"di sản")</f>
        <v>di sản</v>
      </c>
      <c r="G1541" s="12"/>
      <c r="H1541" s="6"/>
      <c r="I1541" s="11" t="b">
        <f t="shared" si="2"/>
        <v>0</v>
      </c>
      <c r="J1541" s="24"/>
      <c r="K1541" s="11" t="b">
        <f t="shared" si="3"/>
        <v>0</v>
      </c>
    </row>
    <row r="1542" ht="22.5" customHeight="1">
      <c r="A1542" s="12">
        <f t="shared" si="4"/>
        <v>5140</v>
      </c>
      <c r="B1542" s="6" t="s">
        <v>14257</v>
      </c>
      <c r="C1542" s="7" t="str">
        <f t="shared" si="7"/>
        <v>🔊</v>
      </c>
      <c r="D1542" s="8" t="s">
        <v>14258</v>
      </c>
      <c r="E1542" s="6" t="s">
        <v>1308</v>
      </c>
      <c r="F1542" s="12" t="str">
        <f>IFERROR(__xludf.DUMMYFUNCTION("GOOGLETRANSLATE(B1542,""zh_cn"",""vi"")"),"bất thường")</f>
        <v>bất thường</v>
      </c>
      <c r="G1542" s="12"/>
      <c r="H1542" s="6"/>
      <c r="I1542" s="11" t="b">
        <f t="shared" si="2"/>
        <v>0</v>
      </c>
      <c r="J1542" s="24"/>
      <c r="K1542" s="11" t="b">
        <f t="shared" si="3"/>
        <v>0</v>
      </c>
    </row>
    <row r="1543" ht="22.5" customHeight="1">
      <c r="A1543" s="12">
        <f t="shared" si="4"/>
        <v>5141</v>
      </c>
      <c r="B1543" s="6" t="s">
        <v>14259</v>
      </c>
      <c r="C1543" s="7" t="str">
        <f t="shared" si="7"/>
        <v>🔊</v>
      </c>
      <c r="D1543" s="8" t="s">
        <v>14260</v>
      </c>
      <c r="E1543" s="6" t="s">
        <v>27</v>
      </c>
      <c r="F1543" s="12" t="str">
        <f>IFERROR(__xludf.DUMMYFUNCTION("GOOGLETRANSLATE(B1543,""zh_cn"",""vi"")"),"lợi ích")</f>
        <v>lợi ích</v>
      </c>
      <c r="G1543" s="12"/>
      <c r="H1543" s="6"/>
      <c r="I1543" s="11" t="b">
        <f t="shared" si="2"/>
        <v>0</v>
      </c>
      <c r="J1543" s="24"/>
      <c r="K1543" s="11" t="b">
        <f t="shared" si="3"/>
        <v>0</v>
      </c>
    </row>
    <row r="1544" ht="22.5" customHeight="1">
      <c r="A1544" s="12">
        <f t="shared" si="4"/>
        <v>5142</v>
      </c>
      <c r="B1544" s="6" t="s">
        <v>14261</v>
      </c>
      <c r="C1544" s="7" t="str">
        <f t="shared" si="7"/>
        <v>🔊</v>
      </c>
      <c r="D1544" s="8" t="s">
        <v>14262</v>
      </c>
      <c r="E1544" s="6" t="s">
        <v>13</v>
      </c>
      <c r="F1544" s="12" t="str">
        <f>IFERROR(__xludf.DUMMYFUNCTION("GOOGLETRANSLATE(B1544,""zh_cn"",""vi"")"),"Di truyền")</f>
        <v>Di truyền</v>
      </c>
      <c r="G1544" s="12"/>
      <c r="H1544" s="6"/>
      <c r="I1544" s="11" t="b">
        <f t="shared" si="2"/>
        <v>0</v>
      </c>
      <c r="J1544" s="24"/>
      <c r="K1544" s="11" t="b">
        <f t="shared" si="3"/>
        <v>0</v>
      </c>
    </row>
    <row r="1545" ht="22.5" customHeight="1">
      <c r="A1545" s="12">
        <f t="shared" si="4"/>
        <v>5143</v>
      </c>
      <c r="B1545" s="6" t="s">
        <v>14263</v>
      </c>
      <c r="C1545" s="7" t="str">
        <f t="shared" si="7"/>
        <v>🔊</v>
      </c>
      <c r="D1545" s="8" t="s">
        <v>10577</v>
      </c>
      <c r="E1545" s="6" t="s">
        <v>27</v>
      </c>
      <c r="F1545" s="12" t="str">
        <f>IFERROR(__xludf.DUMMYFUNCTION("GOOGLETRANSLATE(B1545,""zh_cn"",""vi"")"),"Sáng kiến ​​Vành đai và Con đường")</f>
        <v>Sáng kiến ​​Vành đai và Con đường</v>
      </c>
      <c r="G1545" s="12"/>
      <c r="H1545" s="6"/>
      <c r="I1545" s="11" t="b">
        <f t="shared" si="2"/>
        <v>0</v>
      </c>
      <c r="J1545" s="24"/>
      <c r="K1545" s="11" t="b">
        <f t="shared" si="3"/>
        <v>0</v>
      </c>
    </row>
    <row r="1546" ht="22.5" customHeight="1">
      <c r="A1546" s="12">
        <f t="shared" si="4"/>
        <v>5144</v>
      </c>
      <c r="B1546" s="6" t="s">
        <v>14264</v>
      </c>
      <c r="C1546" s="7" t="str">
        <f t="shared" si="7"/>
        <v>🔊</v>
      </c>
      <c r="D1546" s="8" t="s">
        <v>14265</v>
      </c>
      <c r="E1546" s="6" t="s">
        <v>61</v>
      </c>
      <c r="F1546" s="12" t="str">
        <f>IFERROR(__xludf.DUMMYFUNCTION("GOOGLETRANSLATE(B1546,""zh_cn"",""vi"")"),"Một")</f>
        <v>Một</v>
      </c>
      <c r="G1546" s="12"/>
      <c r="H1546" s="6"/>
      <c r="I1546" s="11" t="b">
        <f t="shared" si="2"/>
        <v>0</v>
      </c>
      <c r="J1546" s="24"/>
      <c r="K1546" s="11" t="b">
        <f t="shared" si="3"/>
        <v>0</v>
      </c>
    </row>
    <row r="1547" ht="22.5" customHeight="1">
      <c r="A1547" s="12">
        <f t="shared" si="4"/>
        <v>5145</v>
      </c>
      <c r="B1547" s="6" t="s">
        <v>14266</v>
      </c>
      <c r="C1547" s="7" t="str">
        <f t="shared" si="7"/>
        <v>🔊</v>
      </c>
      <c r="D1547" s="8" t="s">
        <v>14267</v>
      </c>
      <c r="E1547" s="14"/>
      <c r="F1547" s="12" t="str">
        <f>IFERROR(__xludf.DUMMYFUNCTION("GOOGLETRANSLATE(B1547,""zh_cn"",""vi"")"),"Thuận buồm xuôi gió")</f>
        <v>Thuận buồm xuôi gió</v>
      </c>
      <c r="G1547" s="12"/>
      <c r="H1547" s="6"/>
      <c r="I1547" s="11" t="b">
        <f t="shared" si="2"/>
        <v>0</v>
      </c>
      <c r="J1547" s="24"/>
      <c r="K1547" s="11" t="b">
        <f t="shared" si="3"/>
        <v>0</v>
      </c>
    </row>
    <row r="1548" ht="22.5" customHeight="1">
      <c r="A1548" s="12">
        <f t="shared" si="4"/>
        <v>5146</v>
      </c>
      <c r="B1548" s="6" t="s">
        <v>14268</v>
      </c>
      <c r="C1548" s="7" t="str">
        <f t="shared" si="7"/>
        <v>🔊</v>
      </c>
      <c r="D1548" s="8" t="s">
        <v>14269</v>
      </c>
      <c r="E1548" s="6" t="s">
        <v>99</v>
      </c>
      <c r="F1548" s="12" t="str">
        <f>IFERROR(__xludf.DUMMYFUNCTION("GOOGLETRANSLATE(B1548,""zh_cn"",""vi"")"),"nhất quán")</f>
        <v>nhất quán</v>
      </c>
      <c r="G1548" s="12"/>
      <c r="H1548" s="6"/>
      <c r="I1548" s="11" t="b">
        <f t="shared" si="2"/>
        <v>0</v>
      </c>
      <c r="J1548" s="24"/>
      <c r="K1548" s="11" t="b">
        <f t="shared" si="3"/>
        <v>0</v>
      </c>
    </row>
    <row r="1549" ht="22.5" customHeight="1">
      <c r="A1549" s="12">
        <f t="shared" si="4"/>
        <v>5147</v>
      </c>
      <c r="B1549" s="6" t="s">
        <v>14270</v>
      </c>
      <c r="C1549" s="7" t="str">
        <f t="shared" si="7"/>
        <v>🔊</v>
      </c>
      <c r="D1549" s="8" t="s">
        <v>14271</v>
      </c>
      <c r="E1549" s="6" t="s">
        <v>232</v>
      </c>
      <c r="F1549" s="12" t="str">
        <f>IFERROR(__xludf.DUMMYFUNCTION("GOOGLETRANSLATE(B1549,""zh_cn"",""vi"")"),"Bối rối")</f>
        <v>Bối rối</v>
      </c>
      <c r="G1549" s="12"/>
      <c r="H1549" s="6"/>
      <c r="I1549" s="11" t="b">
        <f t="shared" si="2"/>
        <v>0</v>
      </c>
      <c r="J1549" s="24"/>
      <c r="K1549" s="11" t="b">
        <f t="shared" si="3"/>
        <v>0</v>
      </c>
    </row>
    <row r="1550" ht="22.5" customHeight="1">
      <c r="A1550" s="12">
        <f t="shared" si="4"/>
        <v>5148</v>
      </c>
      <c r="B1550" s="6" t="s">
        <v>14272</v>
      </c>
      <c r="C1550" s="7" t="str">
        <f t="shared" si="7"/>
        <v>🔊</v>
      </c>
      <c r="D1550" s="8" t="s">
        <v>14273</v>
      </c>
      <c r="E1550" s="6" t="s">
        <v>433</v>
      </c>
      <c r="F1550" s="12" t="str">
        <f>IFERROR(__xludf.DUMMYFUNCTION("GOOGLETRANSLATE(B1550,""zh_cn"",""vi"")"),"vẫn")</f>
        <v>vẫn</v>
      </c>
      <c r="G1550" s="12"/>
      <c r="H1550" s="6"/>
      <c r="I1550" s="11" t="b">
        <f t="shared" si="2"/>
        <v>0</v>
      </c>
      <c r="J1550" s="24"/>
      <c r="K1550" s="11" t="b">
        <f t="shared" si="3"/>
        <v>0</v>
      </c>
    </row>
    <row r="1551" ht="22.5" customHeight="1">
      <c r="A1551" s="12">
        <f t="shared" si="4"/>
        <v>5149</v>
      </c>
      <c r="B1551" s="6" t="s">
        <v>14274</v>
      </c>
      <c r="C1551" s="7" t="str">
        <f t="shared" si="7"/>
        <v>🔊</v>
      </c>
      <c r="D1551" s="8" t="s">
        <v>14275</v>
      </c>
      <c r="E1551" s="6" t="s">
        <v>61</v>
      </c>
      <c r="F1551" s="12" t="str">
        <f>IFERROR(__xludf.DUMMYFUNCTION("GOOGLETRANSLATE(B1551,""zh_cn"",""vi"")"),"Trong một hơi thở")</f>
        <v>Trong một hơi thở</v>
      </c>
      <c r="G1551" s="12"/>
      <c r="H1551" s="6"/>
      <c r="I1551" s="11" t="b">
        <f t="shared" si="2"/>
        <v>0</v>
      </c>
      <c r="J1551" s="24"/>
      <c r="K1551" s="11" t="b">
        <f t="shared" si="3"/>
        <v>0</v>
      </c>
    </row>
    <row r="1552" ht="22.5" customHeight="1">
      <c r="A1552" s="12">
        <f t="shared" si="4"/>
        <v>5150</v>
      </c>
      <c r="B1552" s="6" t="s">
        <v>14276</v>
      </c>
      <c r="C1552" s="7" t="str">
        <f t="shared" si="7"/>
        <v>🔊</v>
      </c>
      <c r="D1552" s="8" t="s">
        <v>14277</v>
      </c>
      <c r="E1552" s="6" t="s">
        <v>13</v>
      </c>
      <c r="F1552" s="12" t="str">
        <f>IFERROR(__xludf.DUMMYFUNCTION("GOOGLETRANSLATE(B1552,""zh_cn"",""vi"")"),"phụ thuộc")</f>
        <v>phụ thuộc</v>
      </c>
      <c r="G1552" s="12"/>
      <c r="H1552" s="6"/>
      <c r="I1552" s="11" t="b">
        <f t="shared" si="2"/>
        <v>0</v>
      </c>
      <c r="J1552" s="24"/>
      <c r="K1552" s="11" t="b">
        <f t="shared" si="3"/>
        <v>0</v>
      </c>
    </row>
    <row r="1553" ht="22.5" customHeight="1">
      <c r="A1553" s="12">
        <f t="shared" si="4"/>
        <v>5151</v>
      </c>
      <c r="B1553" s="6" t="s">
        <v>14278</v>
      </c>
      <c r="C1553" s="7" t="str">
        <f t="shared" si="7"/>
        <v>🔊</v>
      </c>
      <c r="D1553" s="8" t="s">
        <v>14279</v>
      </c>
      <c r="E1553" s="6" t="s">
        <v>99</v>
      </c>
      <c r="F1553" s="12" t="str">
        <f>IFERROR(__xludf.DUMMYFUNCTION("GOOGLETRANSLATE(B1553,""zh_cn"",""vi"")"),"Hạng nhất")</f>
        <v>Hạng nhất</v>
      </c>
      <c r="G1553" s="12"/>
      <c r="H1553" s="6"/>
      <c r="I1553" s="11" t="b">
        <f t="shared" si="2"/>
        <v>0</v>
      </c>
      <c r="J1553" s="24"/>
      <c r="K1553" s="11" t="b">
        <f t="shared" si="3"/>
        <v>0</v>
      </c>
    </row>
    <row r="1554" ht="22.5" customHeight="1">
      <c r="A1554" s="12">
        <f t="shared" si="4"/>
        <v>5152</v>
      </c>
      <c r="B1554" s="6" t="s">
        <v>14280</v>
      </c>
      <c r="C1554" s="7" t="str">
        <f t="shared" si="7"/>
        <v>🔊</v>
      </c>
      <c r="D1554" s="8" t="s">
        <v>14281</v>
      </c>
      <c r="E1554" s="6" t="s">
        <v>61</v>
      </c>
      <c r="F1554" s="12" t="str">
        <f>IFERROR(__xludf.DUMMYFUNCTION("GOOGLETRANSLATE(B1554,""zh_cn"",""vi"")"),"Tất cả")</f>
        <v>Tất cả</v>
      </c>
      <c r="G1554" s="12"/>
      <c r="H1554" s="6"/>
      <c r="I1554" s="11" t="b">
        <f t="shared" si="2"/>
        <v>0</v>
      </c>
      <c r="J1554" s="24"/>
      <c r="K1554" s="11" t="b">
        <f t="shared" si="3"/>
        <v>0</v>
      </c>
    </row>
    <row r="1555" ht="22.5" customHeight="1">
      <c r="A1555" s="12">
        <f t="shared" si="4"/>
        <v>5153</v>
      </c>
      <c r="B1555" s="6" t="s">
        <v>14282</v>
      </c>
      <c r="C1555" s="7" t="str">
        <f t="shared" si="7"/>
        <v>🔊</v>
      </c>
      <c r="D1555" s="8" t="s">
        <v>14283</v>
      </c>
      <c r="E1555" s="6" t="s">
        <v>232</v>
      </c>
      <c r="F1555" s="12" t="str">
        <f>IFERROR(__xludf.DUMMYFUNCTION("GOOGLETRANSLATE(B1555,""zh_cn"",""vi"")"),"nói chuyện")</f>
        <v>nói chuyện</v>
      </c>
      <c r="G1555" s="12"/>
      <c r="H1555" s="6"/>
      <c r="I1555" s="11" t="b">
        <f t="shared" si="2"/>
        <v>0</v>
      </c>
      <c r="J1555" s="24"/>
      <c r="K1555" s="11" t="b">
        <f t="shared" si="3"/>
        <v>0</v>
      </c>
    </row>
    <row r="1556" ht="22.5" customHeight="1">
      <c r="A1556" s="12">
        <f t="shared" si="4"/>
        <v>5154</v>
      </c>
      <c r="B1556" s="6" t="s">
        <v>14284</v>
      </c>
      <c r="C1556" s="7" t="str">
        <f t="shared" si="7"/>
        <v>🔊</v>
      </c>
      <c r="D1556" s="8" t="s">
        <v>14285</v>
      </c>
      <c r="E1556" s="6" t="s">
        <v>1132</v>
      </c>
      <c r="F1556" s="12" t="str">
        <f>IFERROR(__xludf.DUMMYFUNCTION("GOOGLETRANSLATE(B1556,""zh_cn"",""vi"")"),"để không")</f>
        <v>để không</v>
      </c>
      <c r="G1556" s="12"/>
      <c r="H1556" s="6"/>
      <c r="I1556" s="11" t="b">
        <f t="shared" si="2"/>
        <v>0</v>
      </c>
      <c r="J1556" s="24"/>
      <c r="K1556" s="11" t="b">
        <f t="shared" si="3"/>
        <v>0</v>
      </c>
    </row>
    <row r="1557" ht="22.5" customHeight="1">
      <c r="A1557" s="12">
        <f t="shared" si="4"/>
        <v>5155</v>
      </c>
      <c r="B1557" s="6" t="s">
        <v>14286</v>
      </c>
      <c r="C1557" s="7" t="str">
        <f t="shared" si="7"/>
        <v>🔊</v>
      </c>
      <c r="D1557" s="8" t="s">
        <v>14287</v>
      </c>
      <c r="E1557" s="6" t="s">
        <v>232</v>
      </c>
      <c r="F1557" s="12" t="str">
        <f>IFERROR(__xludf.DUMMYFUNCTION("GOOGLETRANSLATE(B1557,""zh_cn"",""vi"")"),"người di cư")</f>
        <v>người di cư</v>
      </c>
      <c r="G1557" s="12"/>
      <c r="H1557" s="6"/>
      <c r="I1557" s="11" t="b">
        <f t="shared" si="2"/>
        <v>0</v>
      </c>
      <c r="J1557" s="24"/>
      <c r="K1557" s="11" t="b">
        <f t="shared" si="3"/>
        <v>0</v>
      </c>
    </row>
    <row r="1558" ht="22.5" customHeight="1">
      <c r="A1558" s="12">
        <f t="shared" si="4"/>
        <v>5156</v>
      </c>
      <c r="B1558" s="6" t="s">
        <v>14288</v>
      </c>
      <c r="C1558" s="7" t="str">
        <f t="shared" si="7"/>
        <v>🔊</v>
      </c>
      <c r="D1558" s="8" t="s">
        <v>14289</v>
      </c>
      <c r="E1558" s="14"/>
      <c r="F1558" s="12" t="str">
        <f>IFERROR(__xludf.DUMMYFUNCTION("GOOGLETRANSLATE(B1558,""zh_cn"",""vi"")"),"Hoàn toàn giống nhau")</f>
        <v>Hoàn toàn giống nhau</v>
      </c>
      <c r="G1558" s="12"/>
      <c r="H1558" s="6"/>
      <c r="I1558" s="11" t="b">
        <f t="shared" si="2"/>
        <v>0</v>
      </c>
      <c r="J1558" s="24"/>
      <c r="K1558" s="11" t="b">
        <f t="shared" si="3"/>
        <v>0</v>
      </c>
    </row>
    <row r="1559" ht="22.5" customHeight="1">
      <c r="A1559" s="12">
        <f t="shared" si="4"/>
        <v>5157</v>
      </c>
      <c r="B1559" s="6" t="s">
        <v>14290</v>
      </c>
      <c r="C1559" s="7" t="str">
        <f t="shared" si="7"/>
        <v>🔊</v>
      </c>
      <c r="D1559" s="8" t="s">
        <v>14291</v>
      </c>
      <c r="E1559" s="6" t="s">
        <v>27</v>
      </c>
      <c r="F1559" s="12" t="str">
        <f>IFERROR(__xludf.DUMMYFUNCTION("GOOGLETRANSLATE(B1559,""zh_cn"",""vi"")"),"bạc")</f>
        <v>bạc</v>
      </c>
      <c r="G1559" s="12"/>
      <c r="H1559" s="6"/>
      <c r="I1559" s="11" t="b">
        <f t="shared" si="2"/>
        <v>0</v>
      </c>
      <c r="J1559" s="24"/>
      <c r="K1559" s="11" t="b">
        <f t="shared" si="3"/>
        <v>0</v>
      </c>
    </row>
    <row r="1560" ht="22.5" customHeight="1">
      <c r="A1560" s="12">
        <f t="shared" si="4"/>
        <v>5158</v>
      </c>
      <c r="B1560" s="6" t="s">
        <v>14292</v>
      </c>
      <c r="C1560" s="7" t="str">
        <f t="shared" si="7"/>
        <v>🔊</v>
      </c>
      <c r="D1560" s="8" t="s">
        <v>14293</v>
      </c>
      <c r="E1560" s="6" t="s">
        <v>57</v>
      </c>
      <c r="F1560" s="12" t="str">
        <f>IFERROR(__xludf.DUMMYFUNCTION("GOOGLETRANSLATE(B1560,""zh_cn"",""vi"")"),"in")</f>
        <v>in</v>
      </c>
      <c r="G1560" s="12"/>
      <c r="H1560" s="6"/>
      <c r="I1560" s="11" t="b">
        <f t="shared" si="2"/>
        <v>0</v>
      </c>
      <c r="J1560" s="24"/>
      <c r="K1560" s="11" t="b">
        <f t="shared" si="3"/>
        <v>0</v>
      </c>
    </row>
    <row r="1561" ht="22.5" customHeight="1">
      <c r="A1561" s="12">
        <f t="shared" si="4"/>
        <v>5159</v>
      </c>
      <c r="B1561" s="6" t="s">
        <v>14294</v>
      </c>
      <c r="C1561" s="7" t="str">
        <f t="shared" si="7"/>
        <v>🔊</v>
      </c>
      <c r="D1561" s="8" t="s">
        <v>14295</v>
      </c>
      <c r="E1561" s="6" t="s">
        <v>13</v>
      </c>
      <c r="F1561" s="12" t="str">
        <f>IFERROR(__xludf.DUMMYFUNCTION("GOOGLETRANSLATE(B1561,""zh_cn"",""vi"")"),"chỉ huy")</f>
        <v>chỉ huy</v>
      </c>
      <c r="G1561" s="12"/>
      <c r="H1561" s="6"/>
      <c r="I1561" s="11" t="b">
        <f t="shared" si="2"/>
        <v>0</v>
      </c>
      <c r="J1561" s="24"/>
      <c r="K1561" s="11" t="b">
        <f t="shared" si="3"/>
        <v>0</v>
      </c>
    </row>
    <row r="1562" ht="22.5" customHeight="1">
      <c r="A1562" s="12">
        <f t="shared" si="4"/>
        <v>5160</v>
      </c>
      <c r="B1562" s="6" t="s">
        <v>14296</v>
      </c>
      <c r="C1562" s="7" t="str">
        <f t="shared" si="7"/>
        <v>🔊</v>
      </c>
      <c r="D1562" s="8" t="s">
        <v>1611</v>
      </c>
      <c r="E1562" s="6" t="s">
        <v>281</v>
      </c>
      <c r="F1562" s="12" t="str">
        <f>IFERROR(__xludf.DUMMYFUNCTION("GOOGLETRANSLATE(B1562,""zh_cn"",""vi"")"),"bởi vì")</f>
        <v>bởi vì</v>
      </c>
      <c r="G1562" s="12"/>
      <c r="H1562" s="6"/>
      <c r="I1562" s="11" t="b">
        <f t="shared" si="2"/>
        <v>0</v>
      </c>
      <c r="J1562" s="24"/>
      <c r="K1562" s="11" t="b">
        <f t="shared" si="3"/>
        <v>0</v>
      </c>
    </row>
    <row r="1563" ht="22.5" customHeight="1">
      <c r="A1563" s="12">
        <f t="shared" si="4"/>
        <v>5161</v>
      </c>
      <c r="B1563" s="6" t="s">
        <v>14297</v>
      </c>
      <c r="C1563" s="7" t="str">
        <f t="shared" si="7"/>
        <v>🔊</v>
      </c>
      <c r="D1563" s="8" t="s">
        <v>14298</v>
      </c>
      <c r="E1563" s="6" t="s">
        <v>13</v>
      </c>
      <c r="F1563" s="12" t="str">
        <f>IFERROR(__xludf.DUMMYFUNCTION("GOOGLETRANSLATE(B1563,""zh_cn"",""vi"")"),"trốn")</f>
        <v>trốn</v>
      </c>
      <c r="G1563" s="12"/>
      <c r="H1563" s="6"/>
      <c r="I1563" s="11" t="b">
        <f t="shared" si="2"/>
        <v>0</v>
      </c>
      <c r="J1563" s="24"/>
      <c r="K1563" s="11" t="b">
        <f t="shared" si="3"/>
        <v>0</v>
      </c>
    </row>
    <row r="1564" ht="22.5" customHeight="1">
      <c r="A1564" s="12">
        <f t="shared" si="4"/>
        <v>5162</v>
      </c>
      <c r="B1564" s="6" t="s">
        <v>14299</v>
      </c>
      <c r="C1564" s="7" t="str">
        <f t="shared" si="7"/>
        <v>🔊</v>
      </c>
      <c r="D1564" s="8" t="s">
        <v>14300</v>
      </c>
      <c r="E1564" s="6" t="s">
        <v>13</v>
      </c>
      <c r="F1564" s="12" t="str">
        <f>IFERROR(__xludf.DUMMYFUNCTION("GOOGLETRANSLATE(B1564,""zh_cn"",""vi"")"),"hướng dẫn")</f>
        <v>hướng dẫn</v>
      </c>
      <c r="G1564" s="12"/>
      <c r="H1564" s="6"/>
      <c r="I1564" s="11" t="b">
        <f t="shared" si="2"/>
        <v>0</v>
      </c>
      <c r="J1564" s="24"/>
      <c r="K1564" s="11" t="b">
        <f t="shared" si="3"/>
        <v>0</v>
      </c>
    </row>
    <row r="1565" ht="22.5" customHeight="1">
      <c r="A1565" s="12">
        <f t="shared" si="4"/>
        <v>5163</v>
      </c>
      <c r="B1565" s="6" t="s">
        <v>14301</v>
      </c>
      <c r="C1565" s="7" t="str">
        <f t="shared" si="7"/>
        <v>🔊</v>
      </c>
      <c r="D1565" s="8" t="s">
        <v>14302</v>
      </c>
      <c r="E1565" s="6" t="s">
        <v>13</v>
      </c>
      <c r="F1565" s="12" t="str">
        <f>IFERROR(__xludf.DUMMYFUNCTION("GOOGLETRANSLATE(B1565,""zh_cn"",""vi"")"),"Cò súng")</f>
        <v>Cò súng</v>
      </c>
      <c r="G1565" s="12"/>
      <c r="H1565" s="6"/>
      <c r="I1565" s="11" t="b">
        <f t="shared" si="2"/>
        <v>0</v>
      </c>
      <c r="J1565" s="24"/>
      <c r="K1565" s="11" t="b">
        <f t="shared" si="3"/>
        <v>0</v>
      </c>
    </row>
    <row r="1566" ht="22.5" customHeight="1">
      <c r="A1566" s="12">
        <f t="shared" si="4"/>
        <v>5164</v>
      </c>
      <c r="B1566" s="6" t="s">
        <v>14303</v>
      </c>
      <c r="C1566" s="7" t="str">
        <f t="shared" si="7"/>
        <v>🔊</v>
      </c>
      <c r="D1566" s="8" t="s">
        <v>14304</v>
      </c>
      <c r="E1566" s="6" t="s">
        <v>27</v>
      </c>
      <c r="F1566" s="12" t="str">
        <f>IFERROR(__xludf.DUMMYFUNCTION("GOOGLETRANSLATE(B1566,""zh_cn"",""vi"")"),"Đứa bé")</f>
        <v>Đứa bé</v>
      </c>
      <c r="G1566" s="12"/>
      <c r="H1566" s="6"/>
      <c r="I1566" s="11" t="b">
        <f t="shared" si="2"/>
        <v>0</v>
      </c>
      <c r="J1566" s="24"/>
      <c r="K1566" s="11" t="b">
        <f t="shared" si="3"/>
        <v>0</v>
      </c>
    </row>
    <row r="1567" ht="22.5" customHeight="1">
      <c r="A1567" s="12">
        <f t="shared" si="4"/>
        <v>5165</v>
      </c>
      <c r="B1567" s="6" t="s">
        <v>14305</v>
      </c>
      <c r="C1567" s="7" t="str">
        <f t="shared" si="7"/>
        <v>🔊</v>
      </c>
      <c r="D1567" s="8" t="s">
        <v>14306</v>
      </c>
      <c r="E1567" s="6" t="s">
        <v>27</v>
      </c>
      <c r="F1567" s="12" t="str">
        <f>IFERROR(__xludf.DUMMYFUNCTION("GOOGLETRANSLATE(B1567,""zh_cn"",""vi"")"),"anh hùng")</f>
        <v>anh hùng</v>
      </c>
      <c r="G1567" s="12"/>
      <c r="H1567" s="6"/>
      <c r="I1567" s="11" t="b">
        <f t="shared" si="2"/>
        <v>0</v>
      </c>
      <c r="J1567" s="24"/>
      <c r="K1567" s="11" t="b">
        <f t="shared" si="3"/>
        <v>0</v>
      </c>
    </row>
    <row r="1568" ht="22.5" customHeight="1">
      <c r="A1568" s="12">
        <f t="shared" si="4"/>
        <v>5166</v>
      </c>
      <c r="B1568" s="6" t="s">
        <v>14307</v>
      </c>
      <c r="C1568" s="7" t="str">
        <f t="shared" si="7"/>
        <v>🔊</v>
      </c>
      <c r="D1568" s="8" t="s">
        <v>14308</v>
      </c>
      <c r="E1568" s="6" t="s">
        <v>27</v>
      </c>
      <c r="F1568" s="12" t="str">
        <f>IFERROR(__xludf.DUMMYFUNCTION("GOOGLETRANSLATE(B1568,""zh_cn"",""vi"")"),"bóng tối")</f>
        <v>bóng tối</v>
      </c>
      <c r="G1568" s="12"/>
      <c r="H1568" s="6"/>
      <c r="I1568" s="11" t="b">
        <f t="shared" si="2"/>
        <v>0</v>
      </c>
      <c r="J1568" s="24"/>
      <c r="K1568" s="11" t="b">
        <f t="shared" si="3"/>
        <v>0</v>
      </c>
    </row>
    <row r="1569" ht="22.5" customHeight="1">
      <c r="A1569" s="12">
        <f t="shared" si="4"/>
        <v>5167</v>
      </c>
      <c r="B1569" s="6" t="s">
        <v>14309</v>
      </c>
      <c r="C1569" s="7" t="str">
        <f t="shared" si="7"/>
        <v>🔊</v>
      </c>
      <c r="D1569" s="8" t="s">
        <v>14310</v>
      </c>
      <c r="E1569" s="6" t="s">
        <v>27</v>
      </c>
      <c r="F1569" s="12" t="str">
        <f>IFERROR(__xludf.DUMMYFUNCTION("GOOGLETRANSLATE(B1569,""zh_cn"",""vi"")"),"âm tiết")</f>
        <v>âm tiết</v>
      </c>
      <c r="G1569" s="12"/>
      <c r="H1569" s="6"/>
      <c r="I1569" s="11" t="b">
        <f t="shared" si="2"/>
        <v>0</v>
      </c>
      <c r="J1569" s="24"/>
      <c r="K1569" s="11" t="b">
        <f t="shared" si="3"/>
        <v>0</v>
      </c>
    </row>
    <row r="1570" ht="22.5" customHeight="1">
      <c r="A1570" s="12">
        <f t="shared" si="4"/>
        <v>5168</v>
      </c>
      <c r="B1570" s="6" t="s">
        <v>14311</v>
      </c>
      <c r="C1570" s="7" t="str">
        <f t="shared" si="7"/>
        <v>🔊</v>
      </c>
      <c r="D1570" s="8" t="s">
        <v>14312</v>
      </c>
      <c r="E1570" s="6" t="s">
        <v>27</v>
      </c>
      <c r="F1570" s="12" t="str">
        <f>IFERROR(__xludf.DUMMYFUNCTION("GOOGLETRANSLATE(B1570,""zh_cn"",""vi"")"),"huy chương bạc")</f>
        <v>huy chương bạc</v>
      </c>
      <c r="G1570" s="12"/>
      <c r="H1570" s="6"/>
      <c r="I1570" s="11" t="b">
        <f t="shared" si="2"/>
        <v>0</v>
      </c>
      <c r="J1570" s="24"/>
      <c r="K1570" s="11" t="b">
        <f t="shared" si="3"/>
        <v>0</v>
      </c>
    </row>
    <row r="1571" ht="22.5" customHeight="1">
      <c r="A1571" s="12">
        <f t="shared" si="4"/>
        <v>5169</v>
      </c>
      <c r="B1571" s="6" t="s">
        <v>14313</v>
      </c>
      <c r="C1571" s="7" t="str">
        <f t="shared" si="7"/>
        <v>🔊</v>
      </c>
      <c r="D1571" s="8" t="s">
        <v>14314</v>
      </c>
      <c r="E1571" s="6" t="s">
        <v>13</v>
      </c>
      <c r="F1571" s="12" t="str">
        <f>IFERROR(__xludf.DUMMYFUNCTION("GOOGLETRANSLATE(B1571,""zh_cn"",""vi"")"),"Giới thiệu")</f>
        <v>Giới thiệu</v>
      </c>
      <c r="G1571" s="12"/>
      <c r="H1571" s="6"/>
      <c r="I1571" s="11" t="b">
        <f t="shared" si="2"/>
        <v>0</v>
      </c>
      <c r="J1571" s="24"/>
      <c r="K1571" s="11" t="b">
        <f t="shared" si="3"/>
        <v>0</v>
      </c>
    </row>
    <row r="1572" ht="22.5" customHeight="1">
      <c r="A1572" s="12">
        <f t="shared" si="4"/>
        <v>5170</v>
      </c>
      <c r="B1572" s="6" t="s">
        <v>14315</v>
      </c>
      <c r="C1572" s="7" t="str">
        <f t="shared" si="7"/>
        <v>🔊</v>
      </c>
      <c r="D1572" s="8" t="s">
        <v>14316</v>
      </c>
      <c r="E1572" s="6" t="s">
        <v>27</v>
      </c>
      <c r="F1572" s="12" t="str">
        <f>IFERROR(__xludf.DUMMYFUNCTION("GOOGLETRANSLATE(B1572,""zh_cn"",""vi"")"),"sự riêng tư")</f>
        <v>sự riêng tư</v>
      </c>
      <c r="G1572" s="12"/>
      <c r="H1572" s="6"/>
      <c r="I1572" s="11" t="b">
        <f t="shared" si="2"/>
        <v>0</v>
      </c>
      <c r="J1572" s="24"/>
      <c r="K1572" s="11" t="b">
        <f t="shared" si="3"/>
        <v>0</v>
      </c>
    </row>
    <row r="1573" ht="22.5" customHeight="1">
      <c r="A1573" s="12">
        <f t="shared" si="4"/>
        <v>5171</v>
      </c>
      <c r="B1573" s="6" t="s">
        <v>14317</v>
      </c>
      <c r="C1573" s="7" t="str">
        <f t="shared" si="7"/>
        <v>🔊</v>
      </c>
      <c r="D1573" s="8" t="s">
        <v>14318</v>
      </c>
      <c r="E1573" s="6" t="s">
        <v>27</v>
      </c>
      <c r="F1573" s="12" t="str">
        <f>IFERROR(__xludf.DUMMYFUNCTION("GOOGLETRANSLATE(B1573,""zh_cn"",""vi"")"),"nước uống")</f>
        <v>nước uống</v>
      </c>
      <c r="G1573" s="12"/>
      <c r="H1573" s="6"/>
      <c r="I1573" s="11" t="b">
        <f t="shared" si="2"/>
        <v>0</v>
      </c>
      <c r="J1573" s="24"/>
      <c r="K1573" s="11" t="b">
        <f t="shared" si="3"/>
        <v>0</v>
      </c>
    </row>
    <row r="1574" ht="22.5" customHeight="1">
      <c r="A1574" s="12">
        <f t="shared" si="4"/>
        <v>5172</v>
      </c>
      <c r="B1574" s="6" t="s">
        <v>14319</v>
      </c>
      <c r="C1574" s="7" t="str">
        <f t="shared" si="7"/>
        <v>🔊</v>
      </c>
      <c r="D1574" s="8" t="s">
        <v>14320</v>
      </c>
      <c r="E1574" s="6" t="s">
        <v>27</v>
      </c>
      <c r="F1574" s="12" t="str">
        <f>IFERROR(__xludf.DUMMYFUNCTION("GOOGLETRANSLATE(B1574,""zh_cn"",""vi"")"),"dụng cụ")</f>
        <v>dụng cụ</v>
      </c>
      <c r="G1574" s="12"/>
      <c r="H1574" s="6"/>
      <c r="I1574" s="11" t="b">
        <f t="shared" si="2"/>
        <v>0</v>
      </c>
      <c r="J1574" s="24"/>
      <c r="K1574" s="11" t="b">
        <f t="shared" si="3"/>
        <v>0</v>
      </c>
    </row>
    <row r="1575" ht="22.5" customHeight="1">
      <c r="A1575" s="12">
        <f t="shared" si="4"/>
        <v>5173</v>
      </c>
      <c r="B1575" s="6" t="s">
        <v>14321</v>
      </c>
      <c r="C1575" s="7" t="str">
        <f t="shared" si="7"/>
        <v>🔊</v>
      </c>
      <c r="D1575" s="8" t="s">
        <v>14322</v>
      </c>
      <c r="E1575" s="6" t="s">
        <v>27</v>
      </c>
      <c r="F1575" s="12" t="str">
        <f>IFERROR(__xludf.DUMMYFUNCTION("GOOGLETRANSLATE(B1575,""zh_cn"",""vi"")"),"nghệ sĩ")</f>
        <v>nghệ sĩ</v>
      </c>
      <c r="G1575" s="12"/>
      <c r="H1575" s="6"/>
      <c r="I1575" s="11" t="b">
        <f t="shared" si="2"/>
        <v>0</v>
      </c>
      <c r="J1575" s="24"/>
      <c r="K1575" s="11" t="b">
        <f t="shared" si="3"/>
        <v>0</v>
      </c>
    </row>
    <row r="1576" ht="22.5" customHeight="1">
      <c r="A1576" s="12">
        <f t="shared" si="4"/>
        <v>5174</v>
      </c>
      <c r="B1576" s="6" t="s">
        <v>14323</v>
      </c>
      <c r="C1576" s="7" t="str">
        <f t="shared" si="7"/>
        <v>🔊</v>
      </c>
      <c r="D1576" s="8" t="s">
        <v>14324</v>
      </c>
      <c r="E1576" s="6" t="s">
        <v>27</v>
      </c>
      <c r="F1576" s="12" t="str">
        <f>IFERROR(__xludf.DUMMYFUNCTION("GOOGLETRANSLATE(B1576,""zh_cn"",""vi"")"),"Một cơ thể")</f>
        <v>Một cơ thể</v>
      </c>
      <c r="G1576" s="12"/>
      <c r="H1576" s="6"/>
      <c r="I1576" s="11" t="b">
        <f t="shared" si="2"/>
        <v>0</v>
      </c>
      <c r="J1576" s="24"/>
      <c r="K1576" s="11" t="b">
        <f t="shared" si="3"/>
        <v>0</v>
      </c>
    </row>
    <row r="1577" ht="22.5" customHeight="1">
      <c r="A1577" s="12">
        <f t="shared" si="4"/>
        <v>5175</v>
      </c>
      <c r="B1577" s="6" t="s">
        <v>14325</v>
      </c>
      <c r="C1577" s="7" t="str">
        <f t="shared" si="7"/>
        <v>🔊</v>
      </c>
      <c r="D1577" s="8" t="s">
        <v>14326</v>
      </c>
      <c r="E1577" s="6" t="s">
        <v>27</v>
      </c>
      <c r="F1577" s="12" t="str">
        <f>IFERROR(__xludf.DUMMYFUNCTION("GOOGLETRANSLATE(B1577,""zh_cn"",""vi"")"),"lễ")</f>
        <v>lễ</v>
      </c>
      <c r="G1577" s="12"/>
      <c r="H1577" s="6"/>
      <c r="I1577" s="11" t="b">
        <f t="shared" si="2"/>
        <v>0</v>
      </c>
      <c r="J1577" s="24"/>
      <c r="K1577" s="11" t="b">
        <f t="shared" si="3"/>
        <v>0</v>
      </c>
    </row>
    <row r="1578" ht="22.5" customHeight="1">
      <c r="A1578" s="12">
        <f t="shared" si="4"/>
        <v>5176</v>
      </c>
      <c r="B1578" s="6" t="s">
        <v>14327</v>
      </c>
      <c r="C1578" s="7" t="str">
        <f t="shared" si="7"/>
        <v>🔊</v>
      </c>
      <c r="D1578" s="8" t="s">
        <v>10664</v>
      </c>
      <c r="E1578" s="6" t="s">
        <v>3089</v>
      </c>
      <c r="F1578" s="12" t="str">
        <f>IFERROR(__xludf.DUMMYFUNCTION("GOOGLETRANSLATE(B1578,""zh_cn"",""vi"")"),"Trong một thời gian")</f>
        <v>Trong một thời gian</v>
      </c>
      <c r="G1578" s="12"/>
      <c r="H1578" s="6"/>
      <c r="I1578" s="11" t="b">
        <f t="shared" si="2"/>
        <v>0</v>
      </c>
      <c r="J1578" s="24"/>
      <c r="K1578" s="11" t="b">
        <f t="shared" si="3"/>
        <v>0</v>
      </c>
    </row>
    <row r="1579" ht="22.5" customHeight="1">
      <c r="A1579" s="12">
        <f t="shared" si="4"/>
        <v>5177</v>
      </c>
      <c r="B1579" s="6" t="s">
        <v>14328</v>
      </c>
      <c r="C1579" s="7" t="str">
        <f t="shared" si="7"/>
        <v>🔊</v>
      </c>
      <c r="D1579" s="8" t="s">
        <v>14329</v>
      </c>
      <c r="E1579" s="14"/>
      <c r="F1579" s="12" t="str">
        <f>IFERROR(__xludf.DUMMYFUNCTION("GOOGLETRANSLATE(B1579,""zh_cn"",""vi"")"),"Quần áo, thực phẩm, nhà ở và phương tiện đi lại")</f>
        <v>Quần áo, thực phẩm, nhà ở và phương tiện đi lại</v>
      </c>
      <c r="G1579" s="12"/>
      <c r="H1579" s="6"/>
      <c r="I1579" s="11" t="b">
        <f t="shared" si="2"/>
        <v>0</v>
      </c>
      <c r="J1579" s="24"/>
      <c r="K1579" s="11" t="b">
        <f t="shared" si="3"/>
        <v>0</v>
      </c>
    </row>
    <row r="1580" ht="22.5" customHeight="1">
      <c r="A1580" s="12">
        <f t="shared" si="4"/>
        <v>5178</v>
      </c>
      <c r="B1580" s="6" t="s">
        <v>14330</v>
      </c>
      <c r="C1580" s="7" t="str">
        <f t="shared" si="7"/>
        <v>🔊</v>
      </c>
      <c r="D1580" s="8" t="s">
        <v>14331</v>
      </c>
      <c r="E1580" s="6" t="s">
        <v>61</v>
      </c>
      <c r="F1580" s="12" t="str">
        <f>IFERROR(__xludf.DUMMYFUNCTION("GOOGLETRANSLATE(B1580,""zh_cn"",""vi"")"),"cùng nhau")</f>
        <v>cùng nhau</v>
      </c>
      <c r="G1580" s="12"/>
      <c r="H1580" s="6"/>
      <c r="I1580" s="11" t="b">
        <f t="shared" si="2"/>
        <v>0</v>
      </c>
      <c r="J1580" s="24"/>
      <c r="K1580" s="11" t="b">
        <f t="shared" si="3"/>
        <v>0</v>
      </c>
    </row>
    <row r="1581" ht="22.5" customHeight="1">
      <c r="A1581" s="12">
        <f t="shared" si="4"/>
        <v>5179</v>
      </c>
      <c r="B1581" s="6" t="s">
        <v>14332</v>
      </c>
      <c r="C1581" s="7" t="str">
        <f t="shared" si="7"/>
        <v>🔊</v>
      </c>
      <c r="D1581" s="8" t="s">
        <v>14333</v>
      </c>
      <c r="E1581" s="6" t="s">
        <v>27</v>
      </c>
      <c r="F1581" s="12" t="str">
        <f>IFERROR(__xludf.DUMMYFUNCTION("GOOGLETRANSLATE(B1581,""zh_cn"",""vi"")"),"trong quá khứ")</f>
        <v>trong quá khứ</v>
      </c>
      <c r="G1581" s="12"/>
      <c r="H1581" s="6"/>
      <c r="I1581" s="11" t="b">
        <f t="shared" si="2"/>
        <v>0</v>
      </c>
      <c r="J1581" s="24"/>
      <c r="K1581" s="11" t="b">
        <f t="shared" si="3"/>
        <v>0</v>
      </c>
    </row>
    <row r="1582" ht="22.5" customHeight="1">
      <c r="A1582" s="12">
        <f t="shared" si="4"/>
        <v>5180</v>
      </c>
      <c r="B1582" s="6" t="s">
        <v>14334</v>
      </c>
      <c r="C1582" s="7" t="str">
        <f t="shared" si="7"/>
        <v>🔊</v>
      </c>
      <c r="D1582" s="8" t="s">
        <v>14335</v>
      </c>
      <c r="E1582" s="6" t="s">
        <v>61</v>
      </c>
      <c r="F1582" s="12" t="str">
        <f>IFERROR(__xludf.DUMMYFUNCTION("GOOGLETRANSLATE(B1582,""zh_cn"",""vi"")"),"Luôn luôn")</f>
        <v>Luôn luôn</v>
      </c>
      <c r="G1582" s="12"/>
      <c r="H1582" s="6"/>
      <c r="I1582" s="11" t="b">
        <f t="shared" si="2"/>
        <v>0</v>
      </c>
      <c r="J1582" s="24"/>
      <c r="K1582" s="11" t="b">
        <f t="shared" si="3"/>
        <v>0</v>
      </c>
    </row>
    <row r="1583" ht="22.5" customHeight="1">
      <c r="A1583" s="12">
        <f t="shared" si="4"/>
        <v>5181</v>
      </c>
      <c r="B1583" s="6" t="s">
        <v>14336</v>
      </c>
      <c r="C1583" s="7" t="str">
        <f t="shared" si="7"/>
        <v>🔊</v>
      </c>
      <c r="D1583" s="8" t="s">
        <v>14337</v>
      </c>
      <c r="E1583" s="6" t="s">
        <v>99</v>
      </c>
      <c r="F1583" s="12" t="str">
        <f>IFERROR(__xludf.DUMMYFUNCTION("GOOGLETRANSLATE(B1583,""zh_cn"",""vi"")"),"Một loạt")</f>
        <v>Một loạt</v>
      </c>
      <c r="G1583" s="12"/>
      <c r="H1583" s="6"/>
      <c r="I1583" s="11" t="b">
        <f t="shared" si="2"/>
        <v>0</v>
      </c>
      <c r="J1583" s="24"/>
      <c r="K1583" s="11" t="b">
        <f t="shared" si="3"/>
        <v>0</v>
      </c>
    </row>
    <row r="1584" ht="22.5" customHeight="1">
      <c r="A1584" s="12">
        <f t="shared" si="4"/>
        <v>5182</v>
      </c>
      <c r="B1584" s="6" t="s">
        <v>14338</v>
      </c>
      <c r="C1584" s="7" t="str">
        <f t="shared" si="7"/>
        <v>🔊</v>
      </c>
      <c r="D1584" s="8" t="s">
        <v>14339</v>
      </c>
      <c r="E1584" s="6" t="s">
        <v>27</v>
      </c>
      <c r="F1584" s="12" t="str">
        <f>IFERROR(__xludf.DUMMYFUNCTION("GOOGLETRANSLATE(B1584,""zh_cn"",""vi"")"),"thuốc")</f>
        <v>thuốc</v>
      </c>
      <c r="G1584" s="12"/>
      <c r="H1584" s="6"/>
      <c r="I1584" s="11" t="b">
        <f t="shared" si="2"/>
        <v>0</v>
      </c>
      <c r="J1584" s="24"/>
      <c r="K1584" s="11" t="b">
        <f t="shared" si="3"/>
        <v>0</v>
      </c>
    </row>
    <row r="1585" ht="22.5" customHeight="1">
      <c r="A1585" s="12">
        <f t="shared" si="4"/>
        <v>5183</v>
      </c>
      <c r="B1585" s="6" t="s">
        <v>14340</v>
      </c>
      <c r="C1585" s="7" t="str">
        <f t="shared" si="7"/>
        <v>🔊</v>
      </c>
      <c r="D1585" s="8" t="s">
        <v>14341</v>
      </c>
      <c r="E1585" s="6" t="s">
        <v>61</v>
      </c>
      <c r="F1585" s="12" t="str">
        <f>IFERROR(__xludf.DUMMYFUNCTION("GOOGLETRANSLATE(B1585,""zh_cn"",""vi"")"),"tất cả")</f>
        <v>tất cả</v>
      </c>
      <c r="G1585" s="12"/>
      <c r="H1585" s="6"/>
      <c r="I1585" s="11" t="b">
        <f t="shared" si="2"/>
        <v>0</v>
      </c>
      <c r="J1585" s="24"/>
      <c r="K1585" s="11" t="b">
        <f t="shared" si="3"/>
        <v>0</v>
      </c>
    </row>
    <row r="1586" ht="22.5" customHeight="1">
      <c r="A1586" s="12">
        <f t="shared" si="4"/>
        <v>5184</v>
      </c>
      <c r="B1586" s="6" t="s">
        <v>14342</v>
      </c>
      <c r="C1586" s="7" t="str">
        <f t="shared" si="7"/>
        <v>🔊</v>
      </c>
      <c r="D1586" s="8" t="s">
        <v>14343</v>
      </c>
      <c r="E1586" s="6" t="s">
        <v>13</v>
      </c>
      <c r="F1586" s="12" t="str">
        <f>IFERROR(__xludf.DUMMYFUNCTION("GOOGLETRANSLATE(B1586,""zh_cn"",""vi"")"),"Dễ")</f>
        <v>Dễ</v>
      </c>
      <c r="G1586" s="12"/>
      <c r="H1586" s="6"/>
      <c r="I1586" s="11" t="b">
        <f t="shared" si="2"/>
        <v>0</v>
      </c>
      <c r="J1586" s="24"/>
      <c r="K1586" s="11" t="b">
        <f t="shared" si="3"/>
        <v>0</v>
      </c>
    </row>
    <row r="1587" ht="22.5" customHeight="1">
      <c r="A1587" s="12">
        <f t="shared" si="4"/>
        <v>5185</v>
      </c>
      <c r="B1587" s="6" t="s">
        <v>14344</v>
      </c>
      <c r="C1587" s="7" t="str">
        <f t="shared" si="7"/>
        <v>🔊</v>
      </c>
      <c r="D1587" s="8" t="s">
        <v>14345</v>
      </c>
      <c r="E1587" s="6" t="s">
        <v>61</v>
      </c>
      <c r="F1587" s="12" t="str">
        <f>IFERROR(__xludf.DUMMYFUNCTION("GOOGLETRANSLATE(B1587,""zh_cn"",""vi"")"),"lặp đi lặp lại")</f>
        <v>lặp đi lặp lại</v>
      </c>
      <c r="G1587" s="12"/>
      <c r="H1587" s="6"/>
      <c r="I1587" s="11" t="b">
        <f t="shared" si="2"/>
        <v>0</v>
      </c>
      <c r="J1587" s="24"/>
      <c r="K1587" s="11" t="b">
        <f t="shared" si="3"/>
        <v>0</v>
      </c>
    </row>
    <row r="1588" ht="22.5" customHeight="1">
      <c r="A1588" s="12">
        <f t="shared" si="4"/>
        <v>5186</v>
      </c>
      <c r="B1588" s="6" t="s">
        <v>14346</v>
      </c>
      <c r="C1588" s="7" t="str">
        <f t="shared" si="7"/>
        <v>🔊</v>
      </c>
      <c r="D1588" s="8" t="s">
        <v>14347</v>
      </c>
      <c r="E1588" s="6" t="s">
        <v>874</v>
      </c>
      <c r="F1588" s="12" t="str">
        <f>IFERROR(__xludf.DUMMYFUNCTION("GOOGLETRANSLATE(B1588,""zh_cn"",""vi"")"),"Một vụ nổ")</f>
        <v>Một vụ nổ</v>
      </c>
      <c r="G1588" s="12"/>
      <c r="H1588" s="6"/>
      <c r="I1588" s="11" t="b">
        <f t="shared" si="2"/>
        <v>0</v>
      </c>
      <c r="J1588" s="24"/>
      <c r="K1588" s="11" t="b">
        <f t="shared" si="3"/>
        <v>0</v>
      </c>
    </row>
    <row r="1589" ht="22.5" customHeight="1">
      <c r="A1589" s="12">
        <f t="shared" si="4"/>
        <v>5187</v>
      </c>
      <c r="B1589" s="6" t="s">
        <v>14348</v>
      </c>
      <c r="C1589" s="7" t="str">
        <f t="shared" si="7"/>
        <v>🔊</v>
      </c>
      <c r="D1589" s="8" t="s">
        <v>14349</v>
      </c>
      <c r="E1589" s="6" t="s">
        <v>27</v>
      </c>
      <c r="F1589" s="12" t="str">
        <f>IFERROR(__xludf.DUMMYFUNCTION("GOOGLETRANSLATE(B1589,""zh_cn"",""vi"")"),"Di tích")</f>
        <v>Di tích</v>
      </c>
      <c r="G1589" s="12"/>
      <c r="H1589" s="6"/>
      <c r="I1589" s="11" t="b">
        <f t="shared" si="2"/>
        <v>0</v>
      </c>
      <c r="J1589" s="24"/>
      <c r="K1589" s="11" t="b">
        <f t="shared" si="3"/>
        <v>0</v>
      </c>
    </row>
    <row r="1590" ht="22.5" customHeight="1">
      <c r="A1590" s="12">
        <f t="shared" si="4"/>
        <v>5188</v>
      </c>
      <c r="B1590" s="6" t="s">
        <v>14350</v>
      </c>
      <c r="C1590" s="7" t="str">
        <f t="shared" si="7"/>
        <v>🔊</v>
      </c>
      <c r="D1590" s="8" t="s">
        <v>14351</v>
      </c>
      <c r="E1590" s="6" t="s">
        <v>13</v>
      </c>
      <c r="F1590" s="12" t="str">
        <f>IFERROR(__xludf.DUMMYFUNCTION("GOOGLETRANSLATE(B1590,""zh_cn"",""vi"")"),"ức chế")</f>
        <v>ức chế</v>
      </c>
      <c r="G1590" s="12"/>
      <c r="H1590" s="6"/>
      <c r="I1590" s="11" t="b">
        <f t="shared" si="2"/>
        <v>0</v>
      </c>
      <c r="J1590" s="24"/>
      <c r="K1590" s="11" t="b">
        <f t="shared" si="3"/>
        <v>0</v>
      </c>
    </row>
    <row r="1591" ht="22.5" customHeight="1">
      <c r="A1591" s="12">
        <f t="shared" si="4"/>
        <v>5189</v>
      </c>
      <c r="B1591" s="6" t="s">
        <v>14352</v>
      </c>
      <c r="C1591" s="7" t="str">
        <f t="shared" si="7"/>
        <v>🔊</v>
      </c>
      <c r="D1591" s="8" t="s">
        <v>14353</v>
      </c>
      <c r="E1591" s="6" t="s">
        <v>13</v>
      </c>
      <c r="F1591" s="12" t="str">
        <f>IFERROR(__xludf.DUMMYFUNCTION("GOOGLETRANSLATE(B1591,""zh_cn"",""vi"")"),"Ăn uống")</f>
        <v>Ăn uống</v>
      </c>
      <c r="G1591" s="12"/>
      <c r="H1591" s="6"/>
      <c r="I1591" s="11" t="b">
        <f t="shared" si="2"/>
        <v>0</v>
      </c>
      <c r="J1591" s="24"/>
      <c r="K1591" s="11" t="b">
        <f t="shared" si="3"/>
        <v>0</v>
      </c>
    </row>
    <row r="1592" ht="22.5" customHeight="1">
      <c r="A1592" s="12">
        <f t="shared" si="4"/>
        <v>5190</v>
      </c>
      <c r="B1592" s="6" t="s">
        <v>14354</v>
      </c>
      <c r="C1592" s="7" t="str">
        <f t="shared" si="7"/>
        <v>🔊</v>
      </c>
      <c r="D1592" s="8" t="s">
        <v>14355</v>
      </c>
      <c r="E1592" s="6" t="s">
        <v>27</v>
      </c>
      <c r="F1592" s="12" t="str">
        <f>IFERROR(__xludf.DUMMYFUNCTION("GOOGLETRANSLATE(B1592,""zh_cn"",""vi"")"),"tính hữu ích")</f>
        <v>tính hữu ích</v>
      </c>
      <c r="G1592" s="12"/>
      <c r="H1592" s="6"/>
      <c r="I1592" s="11" t="b">
        <f t="shared" si="2"/>
        <v>0</v>
      </c>
      <c r="J1592" s="24"/>
      <c r="K1592" s="11" t="b">
        <f t="shared" si="3"/>
        <v>0</v>
      </c>
    </row>
    <row r="1593" ht="22.5" customHeight="1">
      <c r="A1593" s="12">
        <f t="shared" si="4"/>
        <v>5191</v>
      </c>
      <c r="B1593" s="6" t="s">
        <v>14356</v>
      </c>
      <c r="C1593" s="7" t="str">
        <f t="shared" si="7"/>
        <v>🔊</v>
      </c>
      <c r="D1593" s="8" t="s">
        <v>14357</v>
      </c>
      <c r="E1593" s="6" t="s">
        <v>368</v>
      </c>
      <c r="F1593" s="12" t="str">
        <f>IFERROR(__xludf.DUMMYFUNCTION("GOOGLETRANSLATE(B1593,""zh_cn"",""vi"")"),"Siêng năng")</f>
        <v>Siêng năng</v>
      </c>
      <c r="G1593" s="12"/>
      <c r="H1593" s="6"/>
      <c r="I1593" s="11" t="b">
        <f t="shared" si="2"/>
        <v>0</v>
      </c>
      <c r="J1593" s="24"/>
      <c r="K1593" s="11" t="b">
        <f t="shared" si="3"/>
        <v>0</v>
      </c>
    </row>
    <row r="1594" ht="22.5" customHeight="1">
      <c r="A1594" s="12">
        <f t="shared" si="4"/>
        <v>5192</v>
      </c>
      <c r="B1594" s="6" t="s">
        <v>14358</v>
      </c>
      <c r="C1594" s="7" t="str">
        <f t="shared" si="7"/>
        <v>🔊</v>
      </c>
      <c r="D1594" s="8" t="s">
        <v>14359</v>
      </c>
      <c r="E1594" s="6" t="s">
        <v>368</v>
      </c>
      <c r="F1594" s="12" t="str">
        <f>IFERROR(__xludf.DUMMYFUNCTION("GOOGLETRANSLATE(B1594,""zh_cn"",""vi"")"),"Đông đúc")</f>
        <v>Đông đúc</v>
      </c>
      <c r="G1594" s="12"/>
      <c r="H1594" s="6"/>
      <c r="I1594" s="11" t="b">
        <f t="shared" si="2"/>
        <v>0</v>
      </c>
      <c r="J1594" s="24"/>
      <c r="K1594" s="11" t="b">
        <f t="shared" si="3"/>
        <v>0</v>
      </c>
    </row>
    <row r="1595" ht="22.5" customHeight="1">
      <c r="A1595" s="12">
        <f t="shared" si="4"/>
        <v>5193</v>
      </c>
      <c r="B1595" s="6" t="s">
        <v>14360</v>
      </c>
      <c r="C1595" s="7" t="str">
        <f t="shared" si="7"/>
        <v>🔊</v>
      </c>
      <c r="D1595" s="8" t="s">
        <v>14361</v>
      </c>
      <c r="E1595" s="6" t="s">
        <v>13</v>
      </c>
      <c r="F1595" s="12" t="str">
        <f>IFERROR(__xludf.DUMMYFUNCTION("GOOGLETRANSLATE(B1595,""zh_cn"",""vi"")"),"nhân viên")</f>
        <v>nhân viên</v>
      </c>
      <c r="G1595" s="12"/>
      <c r="H1595" s="6"/>
      <c r="I1595" s="11" t="b">
        <f t="shared" si="2"/>
        <v>0</v>
      </c>
      <c r="J1595" s="24"/>
      <c r="K1595" s="11" t="b">
        <f t="shared" si="3"/>
        <v>0</v>
      </c>
    </row>
    <row r="1596" ht="22.5" customHeight="1">
      <c r="A1596" s="12">
        <f t="shared" si="4"/>
        <v>5194</v>
      </c>
      <c r="B1596" s="6" t="s">
        <v>14362</v>
      </c>
      <c r="C1596" s="7" t="str">
        <f t="shared" si="7"/>
        <v>🔊</v>
      </c>
      <c r="D1596" s="8" t="s">
        <v>14363</v>
      </c>
      <c r="E1596" s="6" t="s">
        <v>13</v>
      </c>
      <c r="F1596" s="12" t="str">
        <f>IFERROR(__xludf.DUMMYFUNCTION("GOOGLETRANSLATE(B1596,""zh_cn"",""vi"")"),"Sự xuất hiện")</f>
        <v>Sự xuất hiện</v>
      </c>
      <c r="G1596" s="12"/>
      <c r="H1596" s="6"/>
      <c r="I1596" s="11" t="b">
        <f t="shared" si="2"/>
        <v>0</v>
      </c>
      <c r="J1596" s="24"/>
      <c r="K1596" s="11" t="b">
        <f t="shared" si="3"/>
        <v>0</v>
      </c>
    </row>
    <row r="1597" ht="22.5" customHeight="1">
      <c r="A1597" s="12">
        <f t="shared" si="4"/>
        <v>5195</v>
      </c>
      <c r="B1597" s="6" t="s">
        <v>14364</v>
      </c>
      <c r="C1597" s="7" t="str">
        <f t="shared" si="7"/>
        <v>🔊</v>
      </c>
      <c r="D1597" s="8" t="s">
        <v>14365</v>
      </c>
      <c r="E1597" s="6" t="s">
        <v>99</v>
      </c>
      <c r="F1597" s="12" t="str">
        <f>IFERROR(__xludf.DUMMYFUNCTION("GOOGLETRANSLATE(B1597,""zh_cn"",""vi"")"),"Từ tận đáy lòng")</f>
        <v>Từ tận đáy lòng</v>
      </c>
      <c r="G1597" s="12"/>
      <c r="H1597" s="6"/>
      <c r="I1597" s="11" t="b">
        <f t="shared" si="2"/>
        <v>0</v>
      </c>
      <c r="J1597" s="24"/>
      <c r="K1597" s="11" t="b">
        <f t="shared" si="3"/>
        <v>0</v>
      </c>
    </row>
    <row r="1598" ht="22.5" customHeight="1">
      <c r="A1598" s="12">
        <f t="shared" si="4"/>
        <v>5196</v>
      </c>
      <c r="B1598" s="6" t="s">
        <v>14366</v>
      </c>
      <c r="C1598" s="7" t="str">
        <f t="shared" si="7"/>
        <v>🔊</v>
      </c>
      <c r="D1598" s="8" t="s">
        <v>14367</v>
      </c>
      <c r="E1598" s="6" t="s">
        <v>13</v>
      </c>
      <c r="F1598" s="12" t="str">
        <f>IFERROR(__xludf.DUMMYFUNCTION("GOOGLETRANSLATE(B1598,""zh_cn"",""vi"")"),"Lòng can đảm")</f>
        <v>Lòng can đảm</v>
      </c>
      <c r="G1598" s="12"/>
      <c r="H1598" s="6"/>
      <c r="I1598" s="11" t="b">
        <f t="shared" si="2"/>
        <v>0</v>
      </c>
      <c r="J1598" s="24"/>
      <c r="K1598" s="11" t="b">
        <f t="shared" si="3"/>
        <v>0</v>
      </c>
    </row>
    <row r="1599" ht="22.5" customHeight="1">
      <c r="A1599" s="12">
        <f t="shared" si="4"/>
        <v>5197</v>
      </c>
      <c r="B1599" s="6" t="s">
        <v>14368</v>
      </c>
      <c r="C1599" s="7" t="str">
        <f t="shared" si="7"/>
        <v>🔊</v>
      </c>
      <c r="D1599" s="8" t="s">
        <v>14369</v>
      </c>
      <c r="E1599" s="6" t="s">
        <v>13</v>
      </c>
      <c r="F1599" s="12" t="str">
        <f>IFERROR(__xludf.DUMMYFUNCTION("GOOGLETRANSLATE(B1599,""zh_cn"",""vi"")"),"tối ưu hóa")</f>
        <v>tối ưu hóa</v>
      </c>
      <c r="G1599" s="12"/>
      <c r="H1599" s="6"/>
      <c r="I1599" s="11" t="b">
        <f t="shared" si="2"/>
        <v>0</v>
      </c>
      <c r="J1599" s="24"/>
      <c r="K1599" s="11" t="b">
        <f t="shared" si="3"/>
        <v>0</v>
      </c>
    </row>
    <row r="1600" ht="22.5" customHeight="1">
      <c r="A1600" s="12">
        <f t="shared" si="4"/>
        <v>5198</v>
      </c>
      <c r="B1600" s="6" t="s">
        <v>14370</v>
      </c>
      <c r="C1600" s="7" t="str">
        <f t="shared" si="7"/>
        <v>🔊</v>
      </c>
      <c r="D1600" s="8" t="s">
        <v>14371</v>
      </c>
      <c r="E1600" s="6" t="s">
        <v>99</v>
      </c>
      <c r="F1600" s="12" t="str">
        <f>IFERROR(__xludf.DUMMYFUNCTION("GOOGLETRANSLATE(B1600,""zh_cn"",""vi"")"),"hữu cơ")</f>
        <v>hữu cơ</v>
      </c>
      <c r="G1600" s="12"/>
      <c r="H1600" s="6"/>
      <c r="I1600" s="11" t="b">
        <f t="shared" si="2"/>
        <v>0</v>
      </c>
      <c r="J1600" s="24"/>
      <c r="K1600" s="11" t="b">
        <f t="shared" si="3"/>
        <v>0</v>
      </c>
    </row>
    <row r="1601" ht="22.5" customHeight="1">
      <c r="A1601" s="12">
        <f t="shared" si="4"/>
        <v>5199</v>
      </c>
      <c r="B1601" s="6" t="s">
        <v>14372</v>
      </c>
      <c r="C1601" s="7" t="str">
        <f t="shared" si="7"/>
        <v>🔊</v>
      </c>
      <c r="D1601" s="8" t="s">
        <v>14373</v>
      </c>
      <c r="E1601" s="6" t="s">
        <v>368</v>
      </c>
      <c r="F1601" s="12" t="str">
        <f>IFERROR(__xludf.DUMMYFUNCTION("GOOGLETRANSLATE(B1601,""zh_cn"",""vi"")"),"mãnh liệt")</f>
        <v>mãnh liệt</v>
      </c>
      <c r="G1601" s="12"/>
      <c r="H1601" s="6"/>
      <c r="I1601" s="11" t="b">
        <f t="shared" si="2"/>
        <v>0</v>
      </c>
      <c r="J1601" s="24"/>
      <c r="K1601" s="11" t="b">
        <f t="shared" si="3"/>
        <v>0</v>
      </c>
    </row>
    <row r="1602" ht="22.5" customHeight="1">
      <c r="A1602" s="12">
        <f t="shared" si="4"/>
        <v>5200</v>
      </c>
      <c r="B1602" s="6" t="s">
        <v>14374</v>
      </c>
      <c r="C1602" s="7" t="str">
        <f t="shared" si="7"/>
        <v>🔊</v>
      </c>
      <c r="D1602" s="8" t="s">
        <v>14375</v>
      </c>
      <c r="E1602" s="6" t="s">
        <v>27</v>
      </c>
      <c r="F1602" s="12" t="str">
        <f>IFERROR(__xludf.DUMMYFUNCTION("GOOGLETRANSLATE(B1602,""zh_cn"",""vi"")"),"nguồn gốc")</f>
        <v>nguồn gốc</v>
      </c>
      <c r="G1602" s="12"/>
      <c r="H1602" s="6"/>
      <c r="I1602" s="11" t="b">
        <f t="shared" si="2"/>
        <v>0</v>
      </c>
      <c r="J1602" s="24"/>
      <c r="K1602" s="11" t="b">
        <f t="shared" si="3"/>
        <v>0</v>
      </c>
    </row>
    <row r="1603" ht="22.5" customHeight="1">
      <c r="A1603" s="12">
        <f t="shared" si="4"/>
        <v>5201</v>
      </c>
      <c r="B1603" s="6" t="s">
        <v>14376</v>
      </c>
      <c r="C1603" s="7" t="str">
        <f t="shared" si="7"/>
        <v>🔊</v>
      </c>
      <c r="D1603" s="8" t="s">
        <v>14377</v>
      </c>
      <c r="E1603" s="6" t="s">
        <v>27</v>
      </c>
      <c r="F1603" s="12" t="str">
        <f>IFERROR(__xludf.DUMMYFUNCTION("GOOGLETRANSLATE(B1603,""zh_cn"",""vi"")"),"khách du lịch")</f>
        <v>khách du lịch</v>
      </c>
      <c r="G1603" s="12"/>
      <c r="H1603" s="6"/>
      <c r="I1603" s="11" t="b">
        <f t="shared" si="2"/>
        <v>0</v>
      </c>
      <c r="J1603" s="24"/>
      <c r="K1603" s="11" t="b">
        <f t="shared" si="3"/>
        <v>0</v>
      </c>
    </row>
    <row r="1604" ht="22.5" customHeight="1">
      <c r="A1604" s="12">
        <f t="shared" si="4"/>
        <v>5202</v>
      </c>
      <c r="B1604" s="6" t="s">
        <v>14378</v>
      </c>
      <c r="C1604" s="7" t="str">
        <f t="shared" si="7"/>
        <v>🔊</v>
      </c>
      <c r="D1604" s="8" t="s">
        <v>14379</v>
      </c>
      <c r="E1604" s="6" t="s">
        <v>13</v>
      </c>
      <c r="F1604" s="12" t="str">
        <f>IFERROR(__xludf.DUMMYFUNCTION("GOOGLETRANSLATE(B1604,""zh_cn"",""vi"")"),"Giống")</f>
        <v>Giống</v>
      </c>
      <c r="G1604" s="12"/>
      <c r="H1604" s="6"/>
      <c r="I1604" s="11" t="b">
        <f t="shared" si="2"/>
        <v>0</v>
      </c>
      <c r="J1604" s="24"/>
      <c r="K1604" s="11" t="b">
        <f t="shared" si="3"/>
        <v>0</v>
      </c>
    </row>
    <row r="1605" ht="22.5" customHeight="1">
      <c r="A1605" s="12">
        <f t="shared" si="4"/>
        <v>5203</v>
      </c>
      <c r="B1605" s="6" t="s">
        <v>14380</v>
      </c>
      <c r="C1605" s="7" t="str">
        <f t="shared" si="7"/>
        <v>🔊</v>
      </c>
      <c r="D1605" s="8" t="s">
        <v>14381</v>
      </c>
      <c r="E1605" s="6" t="s">
        <v>13</v>
      </c>
      <c r="F1605" s="12" t="str">
        <f>IFERROR(__xludf.DUMMYFUNCTION("GOOGLETRANSLATE(B1605,""zh_cn"",""vi"")"),"sự ưu tiên")</f>
        <v>sự ưu tiên</v>
      </c>
      <c r="G1605" s="12"/>
      <c r="H1605" s="6"/>
      <c r="I1605" s="11" t="b">
        <f t="shared" si="2"/>
        <v>0</v>
      </c>
      <c r="J1605" s="24"/>
      <c r="K1605" s="11" t="b">
        <f t="shared" si="3"/>
        <v>0</v>
      </c>
    </row>
    <row r="1606" ht="22.5" customHeight="1">
      <c r="A1606" s="12">
        <f t="shared" si="4"/>
        <v>5204</v>
      </c>
      <c r="B1606" s="6" t="s">
        <v>14382</v>
      </c>
      <c r="C1606" s="7" t="str">
        <f t="shared" si="7"/>
        <v>🔊</v>
      </c>
      <c r="D1606" s="8" t="s">
        <v>14383</v>
      </c>
      <c r="E1606" s="6" t="s">
        <v>99</v>
      </c>
      <c r="F1606" s="12" t="str">
        <f>IFERROR(__xludf.DUMMYFUNCTION("GOOGLETRANSLATE(B1606,""zh_cn"",""vi"")"),"có trật tự")</f>
        <v>có trật tự</v>
      </c>
      <c r="G1606" s="12"/>
      <c r="H1606" s="6"/>
      <c r="I1606" s="11" t="b">
        <f t="shared" si="2"/>
        <v>0</v>
      </c>
      <c r="J1606" s="24"/>
      <c r="K1606" s="11" t="b">
        <f t="shared" si="3"/>
        <v>0</v>
      </c>
    </row>
    <row r="1607" ht="22.5" customHeight="1">
      <c r="A1607" s="12">
        <f t="shared" si="4"/>
        <v>5205</v>
      </c>
      <c r="B1607" s="6" t="s">
        <v>14384</v>
      </c>
      <c r="C1607" s="7" t="str">
        <f t="shared" si="7"/>
        <v>🔊</v>
      </c>
      <c r="D1607" s="8" t="s">
        <v>14385</v>
      </c>
      <c r="E1607" s="6" t="s">
        <v>99</v>
      </c>
      <c r="F1607" s="12" t="str">
        <f>IFERROR(__xludf.DUMMYFUNCTION("GOOGLETRANSLATE(B1607,""zh_cn"",""vi"")"),"Xuất sắc")</f>
        <v>Xuất sắc</v>
      </c>
      <c r="G1607" s="12"/>
      <c r="H1607" s="6"/>
      <c r="I1607" s="11" t="b">
        <f t="shared" si="2"/>
        <v>0</v>
      </c>
      <c r="J1607" s="24"/>
      <c r="K1607" s="11" t="b">
        <f t="shared" si="3"/>
        <v>0</v>
      </c>
    </row>
    <row r="1608" ht="22.5" customHeight="1">
      <c r="A1608" s="12">
        <f t="shared" si="4"/>
        <v>5206</v>
      </c>
      <c r="B1608" s="6" t="s">
        <v>14386</v>
      </c>
      <c r="C1608" s="7" t="str">
        <f t="shared" si="7"/>
        <v>🔊</v>
      </c>
      <c r="D1608" s="8" t="s">
        <v>1647</v>
      </c>
      <c r="E1608" s="6" t="s">
        <v>1766</v>
      </c>
      <c r="F1608" s="12" t="str">
        <f>IFERROR(__xludf.DUMMYFUNCTION("GOOGLETRANSLATE(B1608,""zh_cn"",""vi"")"),"Tại")</f>
        <v>Tại</v>
      </c>
      <c r="G1608" s="12"/>
      <c r="H1608" s="6"/>
      <c r="I1608" s="11" t="b">
        <f t="shared" si="2"/>
        <v>0</v>
      </c>
      <c r="J1608" s="24"/>
      <c r="K1608" s="11" t="b">
        <f t="shared" si="3"/>
        <v>0</v>
      </c>
    </row>
    <row r="1609" ht="22.5" customHeight="1">
      <c r="A1609" s="12">
        <f t="shared" si="4"/>
        <v>5207</v>
      </c>
      <c r="B1609" s="6" t="s">
        <v>14387</v>
      </c>
      <c r="C1609" s="7" t="str">
        <f t="shared" si="7"/>
        <v>🔊</v>
      </c>
      <c r="D1609" s="8" t="s">
        <v>14388</v>
      </c>
      <c r="E1609" s="6" t="s">
        <v>27</v>
      </c>
      <c r="F1609" s="12" t="str">
        <f>IFERROR(__xludf.DUMMYFUNCTION("GOOGLETRANSLATE(B1609,""zh_cn"",""vi"")"),"Sự cân bằng")</f>
        <v>Sự cân bằng</v>
      </c>
      <c r="G1609" s="12"/>
      <c r="H1609" s="6"/>
      <c r="I1609" s="11" t="b">
        <f t="shared" si="2"/>
        <v>0</v>
      </c>
      <c r="J1609" s="24"/>
      <c r="K1609" s="11" t="b">
        <f t="shared" si="3"/>
        <v>0</v>
      </c>
    </row>
    <row r="1610" ht="22.5" customHeight="1">
      <c r="A1610" s="12">
        <f t="shared" si="4"/>
        <v>5208</v>
      </c>
      <c r="B1610" s="6" t="s">
        <v>14389</v>
      </c>
      <c r="C1610" s="7" t="str">
        <f t="shared" si="7"/>
        <v>🔊</v>
      </c>
      <c r="D1610" s="8" t="s">
        <v>14390</v>
      </c>
      <c r="E1610" s="6" t="s">
        <v>61</v>
      </c>
      <c r="F1610" s="12" t="str">
        <f>IFERROR(__xludf.DUMMYFUNCTION("GOOGLETRANSLATE(B1610,""zh_cn"",""vi"")"),"nguyên bản")</f>
        <v>nguyên bản</v>
      </c>
      <c r="G1610" s="12"/>
      <c r="H1610" s="6"/>
      <c r="I1610" s="11" t="b">
        <f t="shared" si="2"/>
        <v>0</v>
      </c>
      <c r="J1610" s="24"/>
      <c r="K1610" s="11" t="b">
        <f t="shared" si="3"/>
        <v>0</v>
      </c>
    </row>
    <row r="1611" ht="22.5" customHeight="1">
      <c r="A1611" s="12">
        <f t="shared" si="4"/>
        <v>5209</v>
      </c>
      <c r="B1611" s="6" t="s">
        <v>14391</v>
      </c>
      <c r="C1611" s="7" t="str">
        <f t="shared" si="7"/>
        <v>🔊</v>
      </c>
      <c r="D1611" s="8" t="s">
        <v>14392</v>
      </c>
      <c r="E1611" s="6" t="s">
        <v>27</v>
      </c>
      <c r="F1611" s="12" t="str">
        <f>IFERROR(__xludf.DUMMYFUNCTION("GOOGLETRANSLATE(B1611,""zh_cn"",""vi"")"),"nguyên liệu thô")</f>
        <v>nguyên liệu thô</v>
      </c>
      <c r="G1611" s="12"/>
      <c r="H1611" s="6"/>
      <c r="I1611" s="11" t="b">
        <f t="shared" si="2"/>
        <v>0</v>
      </c>
      <c r="J1611" s="24"/>
      <c r="K1611" s="11" t="b">
        <f t="shared" si="3"/>
        <v>0</v>
      </c>
    </row>
    <row r="1612" ht="22.5" customHeight="1">
      <c r="A1612" s="12">
        <f t="shared" si="4"/>
        <v>5210</v>
      </c>
      <c r="B1612" s="6" t="s">
        <v>14393</v>
      </c>
      <c r="C1612" s="7" t="str">
        <f t="shared" si="7"/>
        <v>🔊</v>
      </c>
      <c r="D1612" s="8" t="s">
        <v>14394</v>
      </c>
      <c r="E1612" s="6" t="s">
        <v>99</v>
      </c>
      <c r="F1612" s="12" t="str">
        <f>IFERROR(__xludf.DUMMYFUNCTION("GOOGLETRANSLATE(B1612,""zh_cn"",""vi"")"),"xa")</f>
        <v>xa</v>
      </c>
      <c r="G1612" s="12"/>
      <c r="H1612" s="6"/>
      <c r="I1612" s="11" t="b">
        <f t="shared" si="2"/>
        <v>0</v>
      </c>
      <c r="J1612" s="24"/>
      <c r="K1612" s="11" t="b">
        <f t="shared" si="3"/>
        <v>0</v>
      </c>
    </row>
    <row r="1613" ht="22.5" customHeight="1">
      <c r="A1613" s="12">
        <f t="shared" si="4"/>
        <v>5211</v>
      </c>
      <c r="B1613" s="6" t="s">
        <v>14395</v>
      </c>
      <c r="C1613" s="7" t="str">
        <f t="shared" si="7"/>
        <v>🔊</v>
      </c>
      <c r="D1613" s="8" t="s">
        <v>14396</v>
      </c>
      <c r="E1613" s="6" t="s">
        <v>27</v>
      </c>
      <c r="F1613" s="12" t="str">
        <f>IFERROR(__xludf.DUMMYFUNCTION("GOOGLETRANSLATE(B1613,""zh_cn"",""vi"")"),"khoảng cách")</f>
        <v>khoảng cách</v>
      </c>
      <c r="G1613" s="12"/>
      <c r="H1613" s="6"/>
      <c r="I1613" s="11" t="b">
        <f t="shared" si="2"/>
        <v>0</v>
      </c>
      <c r="J1613" s="24"/>
      <c r="K1613" s="11" t="b">
        <f t="shared" si="3"/>
        <v>0</v>
      </c>
    </row>
    <row r="1614" ht="22.5" customHeight="1">
      <c r="A1614" s="12">
        <f t="shared" si="4"/>
        <v>5212</v>
      </c>
      <c r="B1614" s="6" t="s">
        <v>14397</v>
      </c>
      <c r="C1614" s="7" t="str">
        <f t="shared" si="7"/>
        <v>🔊</v>
      </c>
      <c r="D1614" s="8" t="s">
        <v>14398</v>
      </c>
      <c r="E1614" s="6" t="s">
        <v>27</v>
      </c>
      <c r="F1614" s="12" t="str">
        <f>IFERROR(__xludf.DUMMYFUNCTION("GOOGLETRANSLATE(B1614,""zh_cn"",""vi"")"),"nguyên tắc")</f>
        <v>nguyên tắc</v>
      </c>
      <c r="G1614" s="12"/>
      <c r="H1614" s="6"/>
      <c r="I1614" s="11" t="b">
        <f t="shared" si="2"/>
        <v>0</v>
      </c>
      <c r="J1614" s="24"/>
      <c r="K1614" s="11" t="b">
        <f t="shared" si="3"/>
        <v>0</v>
      </c>
    </row>
    <row r="1615" ht="22.5" customHeight="1">
      <c r="A1615" s="12">
        <f t="shared" si="4"/>
        <v>5213</v>
      </c>
      <c r="B1615" s="6" t="s">
        <v>14399</v>
      </c>
      <c r="C1615" s="7" t="str">
        <f t="shared" si="7"/>
        <v>🔊</v>
      </c>
      <c r="D1615" s="8" t="s">
        <v>14400</v>
      </c>
      <c r="E1615" s="6" t="s">
        <v>27</v>
      </c>
      <c r="F1615" s="12" t="str">
        <f>IFERROR(__xludf.DUMMYFUNCTION("GOOGLETRANSLATE(B1615,""zh_cn"",""vi"")"),"nguyên liệu thô")</f>
        <v>nguyên liệu thô</v>
      </c>
      <c r="G1615" s="12"/>
      <c r="H1615" s="6"/>
      <c r="I1615" s="11" t="b">
        <f t="shared" si="2"/>
        <v>0</v>
      </c>
      <c r="J1615" s="24"/>
      <c r="K1615" s="11" t="b">
        <f t="shared" si="3"/>
        <v>0</v>
      </c>
    </row>
    <row r="1616" ht="22.5" customHeight="1">
      <c r="A1616" s="12">
        <f t="shared" si="4"/>
        <v>5214</v>
      </c>
      <c r="B1616" s="6" t="s">
        <v>14401</v>
      </c>
      <c r="C1616" s="7" t="str">
        <f t="shared" si="7"/>
        <v>🔊</v>
      </c>
      <c r="D1616" s="8" t="s">
        <v>14402</v>
      </c>
      <c r="E1616" s="6" t="s">
        <v>27</v>
      </c>
      <c r="F1616" s="12" t="str">
        <f>IFERROR(__xludf.DUMMYFUNCTION("GOOGLETRANSLATE(B1616,""zh_cn"",""vi"")"),"vườn")</f>
        <v>vườn</v>
      </c>
      <c r="G1616" s="12"/>
      <c r="H1616" s="6"/>
      <c r="I1616" s="11" t="b">
        <f t="shared" si="2"/>
        <v>0</v>
      </c>
      <c r="J1616" s="24"/>
      <c r="K1616" s="11" t="b">
        <f t="shared" si="3"/>
        <v>0</v>
      </c>
    </row>
    <row r="1617" ht="22.5" customHeight="1">
      <c r="A1617" s="12">
        <f t="shared" si="4"/>
        <v>5215</v>
      </c>
      <c r="B1617" s="6" t="s">
        <v>14403</v>
      </c>
      <c r="C1617" s="7" t="str">
        <f t="shared" si="7"/>
        <v>🔊</v>
      </c>
      <c r="D1617" s="8" t="s">
        <v>14404</v>
      </c>
      <c r="E1617" s="6" t="s">
        <v>99</v>
      </c>
      <c r="F1617" s="12" t="str">
        <f>IFERROR(__xludf.DUMMYFUNCTION("GOOGLETRANSLATE(B1617,""zh_cn"",""vi"")"),"Hoàn hảo")</f>
        <v>Hoàn hảo</v>
      </c>
      <c r="G1617" s="12"/>
      <c r="H1617" s="6"/>
      <c r="I1617" s="11" t="b">
        <f t="shared" si="2"/>
        <v>0</v>
      </c>
      <c r="J1617" s="24"/>
      <c r="K1617" s="11" t="b">
        <f t="shared" si="3"/>
        <v>0</v>
      </c>
    </row>
    <row r="1618" ht="22.5" customHeight="1">
      <c r="A1618" s="12">
        <f t="shared" si="4"/>
        <v>5216</v>
      </c>
      <c r="B1618" s="6" t="s">
        <v>14405</v>
      </c>
      <c r="C1618" s="7" t="str">
        <f t="shared" si="7"/>
        <v>🔊</v>
      </c>
      <c r="D1618" s="8" t="s">
        <v>14406</v>
      </c>
      <c r="E1618" s="6" t="s">
        <v>99</v>
      </c>
      <c r="F1618" s="12" t="str">
        <f>IFERROR(__xludf.DUMMYFUNCTION("GOOGLETRANSLATE(B1618,""zh_cn"",""vi"")"),"nguyên bản")</f>
        <v>nguyên bản</v>
      </c>
      <c r="G1618" s="12"/>
      <c r="H1618" s="6"/>
      <c r="I1618" s="11" t="b">
        <f t="shared" si="2"/>
        <v>0</v>
      </c>
      <c r="J1618" s="24"/>
      <c r="K1618" s="11" t="b">
        <f t="shared" si="3"/>
        <v>0</v>
      </c>
    </row>
    <row r="1619" ht="22.5" customHeight="1">
      <c r="A1619" s="12">
        <f t="shared" si="4"/>
        <v>5217</v>
      </c>
      <c r="B1619" s="6" t="s">
        <v>14407</v>
      </c>
      <c r="C1619" s="7" t="str">
        <f t="shared" si="7"/>
        <v>🔊</v>
      </c>
      <c r="D1619" s="8" t="s">
        <v>14408</v>
      </c>
      <c r="E1619" s="6" t="s">
        <v>27</v>
      </c>
      <c r="F1619" s="12" t="str">
        <f>IFERROR(__xludf.DUMMYFUNCTION("GOOGLETRANSLATE(B1619,""zh_cn"",""vi"")"),"yếu tố")</f>
        <v>yếu tố</v>
      </c>
      <c r="G1619" s="12"/>
      <c r="H1619" s="6"/>
      <c r="I1619" s="11" t="b">
        <f t="shared" si="2"/>
        <v>0</v>
      </c>
      <c r="J1619" s="24"/>
      <c r="K1619" s="11" t="b">
        <f t="shared" si="3"/>
        <v>0</v>
      </c>
    </row>
    <row r="1620" ht="22.5" customHeight="1">
      <c r="A1620" s="12">
        <f t="shared" si="4"/>
        <v>5218</v>
      </c>
      <c r="B1620" s="6" t="s">
        <v>14409</v>
      </c>
      <c r="C1620" s="7" t="str">
        <f t="shared" si="7"/>
        <v>🔊</v>
      </c>
      <c r="D1620" s="8" t="s">
        <v>14410</v>
      </c>
      <c r="E1620" s="6" t="s">
        <v>27</v>
      </c>
      <c r="F1620" s="12" t="str">
        <f>IFERROR(__xludf.DUMMYFUNCTION("GOOGLETRANSLATE(B1620,""zh_cn"",""vi"")"),"nguyên bản")</f>
        <v>nguyên bản</v>
      </c>
      <c r="G1620" s="12"/>
      <c r="H1620" s="6"/>
      <c r="I1620" s="11" t="b">
        <f t="shared" si="2"/>
        <v>0</v>
      </c>
      <c r="J1620" s="24"/>
      <c r="K1620" s="11" t="b">
        <f t="shared" si="3"/>
        <v>0</v>
      </c>
    </row>
    <row r="1621" ht="22.5" customHeight="1">
      <c r="A1621" s="12">
        <f t="shared" si="4"/>
        <v>5219</v>
      </c>
      <c r="B1621" s="6" t="s">
        <v>14411</v>
      </c>
      <c r="C1621" s="7" t="str">
        <f t="shared" si="7"/>
        <v>🔊</v>
      </c>
      <c r="D1621" s="8" t="s">
        <v>14412</v>
      </c>
      <c r="E1621" s="6" t="s">
        <v>27</v>
      </c>
      <c r="F1621" s="12" t="str">
        <f>IFERROR(__xludf.DUMMYFUNCTION("GOOGLETRANSLATE(B1621,""zh_cn"",""vi"")"),"Lễ hội đèn lồng")</f>
        <v>Lễ hội đèn lồng</v>
      </c>
      <c r="G1621" s="12"/>
      <c r="H1621" s="6"/>
      <c r="I1621" s="11" t="b">
        <f t="shared" si="2"/>
        <v>0</v>
      </c>
      <c r="J1621" s="24"/>
      <c r="K1621" s="11" t="b">
        <f t="shared" si="3"/>
        <v>0</v>
      </c>
    </row>
    <row r="1622" ht="22.5" customHeight="1">
      <c r="A1622" s="12">
        <f t="shared" si="4"/>
        <v>5220</v>
      </c>
      <c r="B1622" s="6" t="s">
        <v>14413</v>
      </c>
      <c r="C1622" s="7" t="str">
        <f t="shared" si="7"/>
        <v>🔊</v>
      </c>
      <c r="D1622" s="8" t="s">
        <v>14414</v>
      </c>
      <c r="E1622" s="6" t="s">
        <v>13</v>
      </c>
      <c r="F1622" s="12" t="str">
        <f>IFERROR(__xludf.DUMMYFUNCTION("GOOGLETRANSLATE(B1622,""zh_cn"",""vi"")"),"Nguồn gốc")</f>
        <v>Nguồn gốc</v>
      </c>
      <c r="G1622" s="12"/>
      <c r="H1622" s="6"/>
      <c r="I1622" s="11" t="b">
        <f t="shared" si="2"/>
        <v>0</v>
      </c>
      <c r="J1622" s="24"/>
      <c r="K1622" s="11" t="b">
        <f t="shared" si="3"/>
        <v>0</v>
      </c>
    </row>
    <row r="1623" ht="22.5" customHeight="1">
      <c r="A1623" s="12">
        <f t="shared" si="4"/>
        <v>5221</v>
      </c>
      <c r="B1623" s="6" t="s">
        <v>14415</v>
      </c>
      <c r="C1623" s="7" t="str">
        <f t="shared" si="7"/>
        <v>🔊</v>
      </c>
      <c r="D1623" s="8" t="s">
        <v>10798</v>
      </c>
      <c r="E1623" s="6" t="s">
        <v>13</v>
      </c>
      <c r="F1623" s="12" t="str">
        <f>IFERROR(__xludf.DUMMYFUNCTION("GOOGLETRANSLATE(B1623,""zh_cn"",""vi"")"),"Dự trữ")</f>
        <v>Dự trữ</v>
      </c>
      <c r="G1623" s="12"/>
      <c r="H1623" s="6"/>
      <c r="I1623" s="11" t="b">
        <f t="shared" si="2"/>
        <v>0</v>
      </c>
      <c r="J1623" s="24"/>
      <c r="K1623" s="11" t="b">
        <f t="shared" si="3"/>
        <v>0</v>
      </c>
    </row>
    <row r="1624" ht="22.5" customHeight="1">
      <c r="A1624" s="12">
        <f t="shared" si="4"/>
        <v>5222</v>
      </c>
      <c r="B1624" s="6" t="s">
        <v>14416</v>
      </c>
      <c r="C1624" s="7" t="str">
        <f t="shared" si="7"/>
        <v>🔊</v>
      </c>
      <c r="D1624" s="8" t="s">
        <v>14417</v>
      </c>
      <c r="E1624" s="6" t="s">
        <v>27</v>
      </c>
      <c r="F1624" s="12" t="str">
        <f>IFERROR(__xludf.DUMMYFUNCTION("GOOGLETRANSLATE(B1624,""zh_cn"",""vi"")"),"ánh trăng")</f>
        <v>ánh trăng</v>
      </c>
      <c r="G1624" s="12"/>
      <c r="H1624" s="6"/>
      <c r="I1624" s="11" t="b">
        <f t="shared" si="2"/>
        <v>0</v>
      </c>
      <c r="J1624" s="24"/>
      <c r="K1624" s="11" t="b">
        <f t="shared" si="3"/>
        <v>0</v>
      </c>
    </row>
    <row r="1625" ht="22.5" customHeight="1">
      <c r="A1625" s="12">
        <f t="shared" si="4"/>
        <v>5223</v>
      </c>
      <c r="B1625" s="6" t="s">
        <v>14418</v>
      </c>
      <c r="C1625" s="7" t="str">
        <f t="shared" si="7"/>
        <v>🔊</v>
      </c>
      <c r="D1625" s="8" t="s">
        <v>14419</v>
      </c>
      <c r="E1625" s="6" t="s">
        <v>27</v>
      </c>
      <c r="F1625" s="12" t="str">
        <f>IFERROR(__xludf.DUMMYFUNCTION("GOOGLETRANSLATE(B1625,""zh_cn"",""vi"")"),"nhạc cụ")</f>
        <v>nhạc cụ</v>
      </c>
      <c r="G1625" s="12"/>
      <c r="H1625" s="6"/>
      <c r="I1625" s="11" t="b">
        <f t="shared" si="2"/>
        <v>0</v>
      </c>
      <c r="J1625" s="24"/>
      <c r="K1625" s="11" t="b">
        <f t="shared" si="3"/>
        <v>0</v>
      </c>
    </row>
    <row r="1626" ht="22.5" customHeight="1">
      <c r="A1626" s="12">
        <f t="shared" si="4"/>
        <v>5224</v>
      </c>
      <c r="B1626" s="6" t="s">
        <v>14420</v>
      </c>
      <c r="C1626" s="7" t="str">
        <f t="shared" si="7"/>
        <v>🔊</v>
      </c>
      <c r="D1626" s="8" t="s">
        <v>14421</v>
      </c>
      <c r="E1626" s="6" t="s">
        <v>27</v>
      </c>
      <c r="F1626" s="12" t="str">
        <f>IFERROR(__xludf.DUMMYFUNCTION("GOOGLETRANSLATE(B1626,""zh_cn"",""vi"")"),"Mặt trăng")</f>
        <v>Mặt trăng</v>
      </c>
      <c r="G1626" s="12"/>
      <c r="H1626" s="6"/>
      <c r="I1626" s="11" t="b">
        <f t="shared" si="2"/>
        <v>0</v>
      </c>
      <c r="J1626" s="24"/>
      <c r="K1626" s="11" t="b">
        <f t="shared" si="3"/>
        <v>0</v>
      </c>
    </row>
    <row r="1627" ht="22.5" customHeight="1">
      <c r="A1627" s="12">
        <f t="shared" si="4"/>
        <v>5225</v>
      </c>
      <c r="B1627" s="6" t="s">
        <v>14422</v>
      </c>
      <c r="C1627" s="7" t="str">
        <f t="shared" si="7"/>
        <v>🔊</v>
      </c>
      <c r="D1627" s="8" t="s">
        <v>14423</v>
      </c>
      <c r="E1627" s="6" t="s">
        <v>27</v>
      </c>
      <c r="F1627" s="12" t="str">
        <f>IFERROR(__xludf.DUMMYFUNCTION("GOOGLETRANSLATE(B1627,""zh_cn"",""vi"")"),"Âm nhạc")</f>
        <v>Âm nhạc</v>
      </c>
      <c r="G1627" s="12"/>
      <c r="H1627" s="6"/>
      <c r="I1627" s="11" t="b">
        <f t="shared" si="2"/>
        <v>0</v>
      </c>
      <c r="J1627" s="24"/>
      <c r="K1627" s="11" t="b">
        <f t="shared" si="3"/>
        <v>0</v>
      </c>
    </row>
    <row r="1628" ht="22.5" customHeight="1">
      <c r="A1628" s="12">
        <f t="shared" si="4"/>
        <v>5226</v>
      </c>
      <c r="B1628" s="6" t="s">
        <v>14424</v>
      </c>
      <c r="C1628" s="7" t="str">
        <f t="shared" si="7"/>
        <v>🔊</v>
      </c>
      <c r="D1628" s="8" t="s">
        <v>14425</v>
      </c>
      <c r="E1628" s="6" t="s">
        <v>13</v>
      </c>
      <c r="F1628" s="12" t="str">
        <f>IFERROR(__xludf.DUMMYFUNCTION("GOOGLETRANSLATE(B1628,""zh_cn"",""vi"")"),"ràng buộc")</f>
        <v>ràng buộc</v>
      </c>
      <c r="G1628" s="12"/>
      <c r="H1628" s="6"/>
      <c r="I1628" s="11" t="b">
        <f t="shared" si="2"/>
        <v>0</v>
      </c>
      <c r="J1628" s="24"/>
      <c r="K1628" s="11" t="b">
        <f t="shared" si="3"/>
        <v>0</v>
      </c>
    </row>
    <row r="1629" ht="22.5" customHeight="1">
      <c r="A1629" s="12">
        <f t="shared" si="4"/>
        <v>5227</v>
      </c>
      <c r="B1629" s="6" t="s">
        <v>14426</v>
      </c>
      <c r="C1629" s="7" t="str">
        <f t="shared" si="7"/>
        <v>🔊</v>
      </c>
      <c r="D1629" s="8" t="s">
        <v>14427</v>
      </c>
      <c r="E1629" s="6" t="s">
        <v>232</v>
      </c>
      <c r="F1629" s="12" t="str">
        <f>IFERROR(__xludf.DUMMYFUNCTION("GOOGLETRANSLATE(B1629,""zh_cn"",""vi"")"),"Hy vọng")</f>
        <v>Hy vọng</v>
      </c>
      <c r="G1629" s="12"/>
      <c r="H1629" s="6"/>
      <c r="I1629" s="11" t="b">
        <f t="shared" si="2"/>
        <v>0</v>
      </c>
      <c r="J1629" s="24"/>
      <c r="K1629" s="11" t="b">
        <f t="shared" si="3"/>
        <v>0</v>
      </c>
    </row>
    <row r="1630" ht="22.5" customHeight="1">
      <c r="A1630" s="12">
        <f t="shared" si="4"/>
        <v>5228</v>
      </c>
      <c r="B1630" s="6" t="s">
        <v>14428</v>
      </c>
      <c r="C1630" s="7" t="str">
        <f t="shared" si="7"/>
        <v>🔊</v>
      </c>
      <c r="D1630" s="8" t="s">
        <v>14429</v>
      </c>
      <c r="E1630" s="6" t="s">
        <v>416</v>
      </c>
      <c r="F1630" s="12" t="str">
        <f>IFERROR(__xludf.DUMMYFUNCTION("GOOGLETRANSLATE(B1630,""zh_cn"",""vi"")"),"mờ nhạt")</f>
        <v>mờ nhạt</v>
      </c>
      <c r="G1630" s="12"/>
      <c r="H1630" s="6"/>
      <c r="I1630" s="11" t="b">
        <f t="shared" si="2"/>
        <v>0</v>
      </c>
      <c r="J1630" s="24"/>
      <c r="K1630" s="11" t="b">
        <f t="shared" si="3"/>
        <v>0</v>
      </c>
    </row>
    <row r="1631" ht="22.5" customHeight="1">
      <c r="A1631" s="12">
        <f t="shared" si="4"/>
        <v>5229</v>
      </c>
      <c r="B1631" s="6" t="s">
        <v>14430</v>
      </c>
      <c r="C1631" s="7" t="str">
        <f t="shared" si="7"/>
        <v>🔊</v>
      </c>
      <c r="D1631" s="8" t="s">
        <v>14431</v>
      </c>
      <c r="E1631" s="6" t="s">
        <v>13</v>
      </c>
      <c r="F1631" s="12" t="str">
        <f>IFERROR(__xludf.DUMMYFUNCTION("GOOGLETRANSLATE(B1631,""zh_cn"",""vi"")"),"say tàu xe")</f>
        <v>say tàu xe</v>
      </c>
      <c r="G1631" s="12"/>
      <c r="H1631" s="6"/>
      <c r="I1631" s="11" t="b">
        <f t="shared" si="2"/>
        <v>0</v>
      </c>
      <c r="J1631" s="24"/>
      <c r="K1631" s="11" t="b">
        <f t="shared" si="3"/>
        <v>0</v>
      </c>
    </row>
    <row r="1632" ht="22.5" customHeight="1">
      <c r="A1632" s="12">
        <f t="shared" si="4"/>
        <v>5230</v>
      </c>
      <c r="B1632" s="6" t="s">
        <v>14432</v>
      </c>
      <c r="C1632" s="7" t="str">
        <f t="shared" si="7"/>
        <v>🔊</v>
      </c>
      <c r="D1632" s="8" t="s">
        <v>14433</v>
      </c>
      <c r="E1632" s="6" t="s">
        <v>13</v>
      </c>
      <c r="F1632" s="12" t="str">
        <f>IFERROR(__xludf.DUMMYFUNCTION("GOOGLETRANSLATE(B1632,""zh_cn"",""vi"")"),"chuyên chở")</f>
        <v>chuyên chở</v>
      </c>
      <c r="G1632" s="12"/>
      <c r="H1632" s="6"/>
      <c r="I1632" s="11" t="b">
        <f t="shared" si="2"/>
        <v>0</v>
      </c>
      <c r="J1632" s="24"/>
      <c r="K1632" s="11" t="b">
        <f t="shared" si="3"/>
        <v>0</v>
      </c>
    </row>
    <row r="1633" ht="22.5" customHeight="1">
      <c r="A1633" s="12">
        <f t="shared" si="4"/>
        <v>5231</v>
      </c>
      <c r="B1633" s="6" t="s">
        <v>14434</v>
      </c>
      <c r="C1633" s="7" t="str">
        <f t="shared" si="7"/>
        <v>🔊</v>
      </c>
      <c r="D1633" s="8" t="s">
        <v>14435</v>
      </c>
      <c r="E1633" s="6" t="s">
        <v>13</v>
      </c>
      <c r="F1633" s="12" t="str">
        <f>IFERROR(__xludf.DUMMYFUNCTION("GOOGLETRANSLATE(B1633,""zh_cn"",""vi"")"),"chạy")</f>
        <v>chạy</v>
      </c>
      <c r="G1633" s="12"/>
      <c r="H1633" s="6"/>
      <c r="I1633" s="11" t="b">
        <f t="shared" si="2"/>
        <v>0</v>
      </c>
      <c r="J1633" s="24"/>
      <c r="K1633" s="11" t="b">
        <f t="shared" si="3"/>
        <v>0</v>
      </c>
    </row>
    <row r="1634" ht="22.5" customHeight="1">
      <c r="A1634" s="12">
        <f t="shared" si="4"/>
        <v>5232</v>
      </c>
      <c r="B1634" s="6" t="s">
        <v>14436</v>
      </c>
      <c r="C1634" s="7" t="str">
        <f t="shared" si="7"/>
        <v>🔊</v>
      </c>
      <c r="D1634" s="8" t="s">
        <v>14437</v>
      </c>
      <c r="E1634" s="6" t="s">
        <v>13</v>
      </c>
      <c r="F1634" s="12" t="str">
        <f>IFERROR(__xludf.DUMMYFUNCTION("GOOGLETRANSLATE(B1634,""zh_cn"",""vi"")"),"hoạt động")</f>
        <v>hoạt động</v>
      </c>
      <c r="G1634" s="12"/>
      <c r="H1634" s="6"/>
      <c r="I1634" s="11" t="b">
        <f t="shared" si="2"/>
        <v>0</v>
      </c>
      <c r="J1634" s="24"/>
      <c r="K1634" s="11" t="b">
        <f t="shared" si="3"/>
        <v>0</v>
      </c>
    </row>
    <row r="1635" ht="22.5" customHeight="1">
      <c r="A1635" s="12">
        <f t="shared" si="4"/>
        <v>5233</v>
      </c>
      <c r="B1635" s="6" t="s">
        <v>14438</v>
      </c>
      <c r="C1635" s="7" t="str">
        <f t="shared" si="7"/>
        <v>🔊</v>
      </c>
      <c r="D1635" s="8" t="s">
        <v>14439</v>
      </c>
      <c r="E1635" s="6" t="s">
        <v>13</v>
      </c>
      <c r="F1635" s="12" t="str">
        <f>IFERROR(__xludf.DUMMYFUNCTION("GOOGLETRANSLATE(B1635,""zh_cn"",""vi"")"),"hy vọng")</f>
        <v>hy vọng</v>
      </c>
      <c r="G1635" s="12"/>
      <c r="H1635" s="6"/>
      <c r="I1635" s="11" t="b">
        <f t="shared" si="2"/>
        <v>0</v>
      </c>
      <c r="J1635" s="24"/>
      <c r="K1635" s="11" t="b">
        <f t="shared" si="3"/>
        <v>0</v>
      </c>
    </row>
    <row r="1636" ht="22.5" customHeight="1">
      <c r="A1636" s="12">
        <f t="shared" si="4"/>
        <v>5234</v>
      </c>
      <c r="B1636" s="6" t="s">
        <v>14440</v>
      </c>
      <c r="C1636" s="7" t="str">
        <f t="shared" si="7"/>
        <v>🔊</v>
      </c>
      <c r="D1636" s="8" t="s">
        <v>14441</v>
      </c>
      <c r="E1636" s="6" t="s">
        <v>1132</v>
      </c>
      <c r="F1636" s="12" t="str">
        <f>IFERROR(__xludf.DUMMYFUNCTION("GOOGLETRANSLATE(B1636,""zh_cn"",""vi"")"),"Với")</f>
        <v>Với</v>
      </c>
      <c r="G1636" s="12"/>
      <c r="H1636" s="6"/>
      <c r="I1636" s="11" t="b">
        <f t="shared" si="2"/>
        <v>0</v>
      </c>
      <c r="J1636" s="24"/>
      <c r="K1636" s="11" t="b">
        <f t="shared" si="3"/>
        <v>0</v>
      </c>
    </row>
    <row r="1637" ht="22.5" customHeight="1">
      <c r="A1637" s="12">
        <f t="shared" si="4"/>
        <v>5235</v>
      </c>
      <c r="B1637" s="6" t="s">
        <v>14442</v>
      </c>
      <c r="C1637" s="7" t="str">
        <f t="shared" si="7"/>
        <v>🔊</v>
      </c>
      <c r="D1637" s="8" t="s">
        <v>14443</v>
      </c>
      <c r="E1637" s="6" t="s">
        <v>27</v>
      </c>
      <c r="F1637" s="12" t="str">
        <f>IFERROR(__xludf.DUMMYFUNCTION("GOOGLETRANSLATE(B1637,""zh_cn"",""vi"")"),"áo khoác lông vũ")</f>
        <v>áo khoác lông vũ</v>
      </c>
      <c r="G1637" s="12"/>
      <c r="H1637" s="6"/>
      <c r="I1637" s="11" t="b">
        <f t="shared" si="2"/>
        <v>0</v>
      </c>
      <c r="J1637" s="24"/>
      <c r="K1637" s="11" t="b">
        <f t="shared" si="3"/>
        <v>0</v>
      </c>
    </row>
    <row r="1638" ht="22.5" customHeight="1">
      <c r="A1638" s="12">
        <f t="shared" si="4"/>
        <v>5236</v>
      </c>
      <c r="B1638" s="6" t="s">
        <v>14444</v>
      </c>
      <c r="C1638" s="7" t="str">
        <f t="shared" si="7"/>
        <v>🔊</v>
      </c>
      <c r="D1638" s="8" t="s">
        <v>14445</v>
      </c>
      <c r="E1638" s="6" t="s">
        <v>27</v>
      </c>
      <c r="F1638" s="12" t="str">
        <f>IFERROR(__xludf.DUMMYFUNCTION("GOOGLETRANSLATE(B1638,""zh_cn"",""vi"")"),"phòng tắm")</f>
        <v>phòng tắm</v>
      </c>
      <c r="G1638" s="12"/>
      <c r="H1638" s="6"/>
      <c r="I1638" s="11" t="b">
        <f t="shared" si="2"/>
        <v>0</v>
      </c>
      <c r="J1638" s="24"/>
      <c r="K1638" s="11" t="b">
        <f t="shared" si="3"/>
        <v>0</v>
      </c>
    </row>
    <row r="1639" ht="22.5" customHeight="1">
      <c r="A1639" s="12">
        <f t="shared" si="4"/>
        <v>5237</v>
      </c>
      <c r="B1639" s="6" t="s">
        <v>14446</v>
      </c>
      <c r="C1639" s="7" t="str">
        <f t="shared" si="7"/>
        <v>🔊</v>
      </c>
      <c r="D1639" s="8" t="s">
        <v>14447</v>
      </c>
      <c r="E1639" s="6" t="s">
        <v>27</v>
      </c>
      <c r="F1639" s="12" t="str">
        <f>IFERROR(__xludf.DUMMYFUNCTION("GOOGLETRANSLATE(B1639,""zh_cn"",""vi"")"),"sự mong muốn")</f>
        <v>sự mong muốn</v>
      </c>
      <c r="G1639" s="12"/>
      <c r="H1639" s="6"/>
      <c r="I1639" s="11" t="b">
        <f t="shared" si="2"/>
        <v>0</v>
      </c>
      <c r="J1639" s="24"/>
      <c r="K1639" s="11" t="b">
        <f t="shared" si="3"/>
        <v>0</v>
      </c>
    </row>
    <row r="1640" ht="22.5" customHeight="1">
      <c r="A1640" s="12">
        <f t="shared" si="4"/>
        <v>5238</v>
      </c>
      <c r="B1640" s="6" t="s">
        <v>14448</v>
      </c>
      <c r="C1640" s="7" t="str">
        <f t="shared" si="7"/>
        <v>🔊</v>
      </c>
      <c r="D1640" s="8" t="s">
        <v>14449</v>
      </c>
      <c r="E1640" s="6" t="s">
        <v>99</v>
      </c>
      <c r="F1640" s="12" t="str">
        <f>IFERROR(__xludf.DUMMYFUNCTION("GOOGLETRANSLATE(B1640,""zh_cn"",""vi"")"),"linh tinh")</f>
        <v>linh tinh</v>
      </c>
      <c r="G1640" s="12"/>
      <c r="H1640" s="6"/>
      <c r="I1640" s="11" t="b">
        <f t="shared" si="2"/>
        <v>0</v>
      </c>
      <c r="J1640" s="24"/>
      <c r="K1640" s="11" t="b">
        <f t="shared" si="3"/>
        <v>0</v>
      </c>
    </row>
    <row r="1641" ht="22.5" customHeight="1">
      <c r="A1641" s="12">
        <f t="shared" si="4"/>
        <v>5239</v>
      </c>
      <c r="B1641" s="6" t="s">
        <v>14450</v>
      </c>
      <c r="C1641" s="7" t="str">
        <f t="shared" si="7"/>
        <v>🔊</v>
      </c>
      <c r="D1641" s="8" t="s">
        <v>14451</v>
      </c>
      <c r="E1641" s="6" t="s">
        <v>27</v>
      </c>
      <c r="F1641" s="12" t="str">
        <f>IFERROR(__xludf.DUMMYFUNCTION("GOOGLETRANSLATE(B1641,""zh_cn"",""vi"")"),"thảm họa")</f>
        <v>thảm họa</v>
      </c>
      <c r="G1641" s="12"/>
      <c r="H1641" s="6"/>
      <c r="I1641" s="11" t="b">
        <f t="shared" si="2"/>
        <v>0</v>
      </c>
      <c r="J1641" s="24"/>
      <c r="K1641" s="11" t="b">
        <f t="shared" si="3"/>
        <v>0</v>
      </c>
    </row>
    <row r="1642" ht="22.5" customHeight="1">
      <c r="A1642" s="12">
        <f t="shared" si="4"/>
        <v>5240</v>
      </c>
      <c r="B1642" s="6" t="s">
        <v>14452</v>
      </c>
      <c r="C1642" s="7" t="str">
        <f t="shared" si="7"/>
        <v>🔊</v>
      </c>
      <c r="D1642" s="8" t="s">
        <v>14453</v>
      </c>
      <c r="E1642" s="6" t="s">
        <v>27</v>
      </c>
      <c r="F1642" s="12" t="str">
        <f>IFERROR(__xludf.DUMMYFUNCTION("GOOGLETRANSLATE(B1642,""zh_cn"",""vi"")"),"thảm họa")</f>
        <v>thảm họa</v>
      </c>
      <c r="G1642" s="12"/>
      <c r="H1642" s="6"/>
      <c r="I1642" s="11" t="b">
        <f t="shared" si="2"/>
        <v>0</v>
      </c>
      <c r="J1642" s="24"/>
      <c r="K1642" s="11" t="b">
        <f t="shared" si="3"/>
        <v>0</v>
      </c>
    </row>
    <row r="1643" ht="22.5" customHeight="1">
      <c r="A1643" s="12">
        <f t="shared" si="4"/>
        <v>5241</v>
      </c>
      <c r="B1643" s="6" t="s">
        <v>14454</v>
      </c>
      <c r="C1643" s="7" t="str">
        <f t="shared" si="7"/>
        <v>🔊</v>
      </c>
      <c r="D1643" s="8" t="s">
        <v>14455</v>
      </c>
      <c r="E1643" s="6" t="s">
        <v>27</v>
      </c>
      <c r="F1643" s="12" t="str">
        <f>IFERROR(__xludf.DUMMYFUNCTION("GOOGLETRANSLATE(B1643,""zh_cn"",""vi"")"),"thảm họa")</f>
        <v>thảm họa</v>
      </c>
      <c r="G1643" s="12"/>
      <c r="H1643" s="6"/>
      <c r="I1643" s="11" t="b">
        <f t="shared" si="2"/>
        <v>0</v>
      </c>
      <c r="J1643" s="24"/>
      <c r="K1643" s="11" t="b">
        <f t="shared" si="3"/>
        <v>0</v>
      </c>
    </row>
    <row r="1644" ht="22.5" customHeight="1">
      <c r="A1644" s="12">
        <f t="shared" si="4"/>
        <v>5242</v>
      </c>
      <c r="B1644" s="6" t="s">
        <v>14456</v>
      </c>
      <c r="C1644" s="7" t="str">
        <f t="shared" si="7"/>
        <v>🔊</v>
      </c>
      <c r="D1644" s="8" t="s">
        <v>14457</v>
      </c>
      <c r="E1644" s="6" t="s">
        <v>27</v>
      </c>
      <c r="F1644" s="12" t="str">
        <f>IFERROR(__xludf.DUMMYFUNCTION("GOOGLETRANSLATE(B1644,""zh_cn"",""vi"")"),"khu vực thảm họa")</f>
        <v>khu vực thảm họa</v>
      </c>
      <c r="G1644" s="12"/>
      <c r="H1644" s="6"/>
      <c r="I1644" s="11" t="b">
        <f t="shared" si="2"/>
        <v>0</v>
      </c>
      <c r="J1644" s="24"/>
      <c r="K1644" s="11" t="b">
        <f t="shared" si="3"/>
        <v>0</v>
      </c>
    </row>
    <row r="1645" ht="22.5" customHeight="1">
      <c r="A1645" s="12">
        <f t="shared" si="4"/>
        <v>5243</v>
      </c>
      <c r="B1645" s="6" t="s">
        <v>14458</v>
      </c>
      <c r="C1645" s="7" t="str">
        <f t="shared" si="7"/>
        <v>🔊</v>
      </c>
      <c r="D1645" s="8" t="s">
        <v>14459</v>
      </c>
      <c r="E1645" s="6" t="s">
        <v>61</v>
      </c>
      <c r="F1645" s="12" t="str">
        <f>IFERROR(__xludf.DUMMYFUNCTION("GOOGLETRANSLATE(B1645,""zh_cn"",""vi"")"),"lặp đi lặp lại")</f>
        <v>lặp đi lặp lại</v>
      </c>
      <c r="G1645" s="12"/>
      <c r="H1645" s="6"/>
      <c r="I1645" s="11" t="b">
        <f t="shared" si="2"/>
        <v>0</v>
      </c>
      <c r="J1645" s="24"/>
      <c r="K1645" s="11" t="b">
        <f t="shared" si="3"/>
        <v>0</v>
      </c>
    </row>
    <row r="1646" ht="22.5" customHeight="1">
      <c r="A1646" s="12">
        <f t="shared" si="4"/>
        <v>5244</v>
      </c>
      <c r="B1646" s="6" t="s">
        <v>14460</v>
      </c>
      <c r="C1646" s="7" t="str">
        <f t="shared" si="7"/>
        <v>🔊</v>
      </c>
      <c r="D1646" s="8" t="s">
        <v>14461</v>
      </c>
      <c r="E1646" s="6" t="s">
        <v>13</v>
      </c>
      <c r="F1646" s="12" t="str">
        <f>IFERROR(__xludf.DUMMYFUNCTION("GOOGLETRANSLATE(B1646,""zh_cn"",""vi"")"),"tái tạo")</f>
        <v>tái tạo</v>
      </c>
      <c r="G1646" s="12"/>
      <c r="H1646" s="6"/>
      <c r="I1646" s="11" t="b">
        <f t="shared" si="2"/>
        <v>0</v>
      </c>
      <c r="J1646" s="24"/>
      <c r="K1646" s="11" t="b">
        <f t="shared" si="3"/>
        <v>0</v>
      </c>
    </row>
    <row r="1647" ht="22.5" customHeight="1">
      <c r="A1647" s="12">
        <f t="shared" si="4"/>
        <v>5245</v>
      </c>
      <c r="B1647" s="6" t="s">
        <v>14462</v>
      </c>
      <c r="C1647" s="7" t="str">
        <f t="shared" si="7"/>
        <v>🔊</v>
      </c>
      <c r="D1647" s="8" t="s">
        <v>14463</v>
      </c>
      <c r="E1647" s="6" t="s">
        <v>13</v>
      </c>
      <c r="F1647" s="12" t="str">
        <f>IFERROR(__xludf.DUMMYFUNCTION("GOOGLETRANSLATE(B1647,""zh_cn"",""vi"")"),"chăm sóc")</f>
        <v>chăm sóc</v>
      </c>
      <c r="G1647" s="12"/>
      <c r="H1647" s="6"/>
      <c r="I1647" s="11" t="b">
        <f t="shared" si="2"/>
        <v>0</v>
      </c>
      <c r="J1647" s="24"/>
      <c r="K1647" s="11" t="b">
        <f t="shared" si="3"/>
        <v>0</v>
      </c>
    </row>
    <row r="1648" ht="22.5" customHeight="1">
      <c r="A1648" s="12">
        <f t="shared" si="4"/>
        <v>5246</v>
      </c>
      <c r="B1648" s="6" t="s">
        <v>14464</v>
      </c>
      <c r="C1648" s="7" t="str">
        <f t="shared" si="7"/>
        <v>🔊</v>
      </c>
      <c r="D1648" s="8" t="s">
        <v>14465</v>
      </c>
      <c r="E1648" s="6" t="s">
        <v>13</v>
      </c>
      <c r="F1648" s="12" t="str">
        <f>IFERROR(__xludf.DUMMYFUNCTION("GOOGLETRANSLATE(B1648,""zh_cn"",""vi"")"),"Sự trân trọng")</f>
        <v>Sự trân trọng</v>
      </c>
      <c r="G1648" s="12"/>
      <c r="H1648" s="6"/>
      <c r="I1648" s="11" t="b">
        <f t="shared" si="2"/>
        <v>0</v>
      </c>
      <c r="J1648" s="24"/>
      <c r="K1648" s="11" t="b">
        <f t="shared" si="3"/>
        <v>0</v>
      </c>
    </row>
    <row r="1649" ht="22.5" customHeight="1">
      <c r="A1649" s="12">
        <f t="shared" si="4"/>
        <v>5247</v>
      </c>
      <c r="B1649" s="6" t="s">
        <v>14466</v>
      </c>
      <c r="C1649" s="7" t="str">
        <f t="shared" si="7"/>
        <v>🔊</v>
      </c>
      <c r="D1649" s="8" t="s">
        <v>14467</v>
      </c>
      <c r="E1649" s="6" t="s">
        <v>13</v>
      </c>
      <c r="F1649" s="12" t="str">
        <f>IFERROR(__xludf.DUMMYFUNCTION("GOOGLETRANSLATE(B1649,""zh_cn"",""vi"")"),"Đồng ý")</f>
        <v>Đồng ý</v>
      </c>
      <c r="G1649" s="12"/>
      <c r="H1649" s="6"/>
      <c r="I1649" s="11" t="b">
        <f t="shared" si="2"/>
        <v>0</v>
      </c>
      <c r="J1649" s="24"/>
      <c r="K1649" s="11" t="b">
        <f t="shared" si="3"/>
        <v>0</v>
      </c>
    </row>
    <row r="1650" ht="22.5" customHeight="1">
      <c r="A1650" s="12">
        <f t="shared" si="4"/>
        <v>5248</v>
      </c>
      <c r="B1650" s="6" t="s">
        <v>14468</v>
      </c>
      <c r="C1650" s="7" t="str">
        <f t="shared" si="7"/>
        <v>🔊</v>
      </c>
      <c r="D1650" s="8" t="s">
        <v>14469</v>
      </c>
      <c r="E1650" s="6" t="s">
        <v>13</v>
      </c>
      <c r="F1650" s="12" t="str">
        <f>IFERROR(__xludf.DUMMYFUNCTION("GOOGLETRANSLATE(B1650,""zh_cn"",""vi"")"),"Gặp phải")</f>
        <v>Gặp phải</v>
      </c>
      <c r="G1650" s="12"/>
      <c r="H1650" s="6"/>
      <c r="I1650" s="11" t="b">
        <f t="shared" si="2"/>
        <v>0</v>
      </c>
      <c r="J1650" s="24"/>
      <c r="K1650" s="11" t="b">
        <f t="shared" si="3"/>
        <v>0</v>
      </c>
    </row>
    <row r="1651" ht="22.5" customHeight="1">
      <c r="A1651" s="12">
        <f t="shared" si="4"/>
        <v>5249</v>
      </c>
      <c r="B1651" s="6" t="s">
        <v>14470</v>
      </c>
      <c r="C1651" s="7" t="str">
        <f t="shared" si="7"/>
        <v>🔊</v>
      </c>
      <c r="D1651" s="8" t="s">
        <v>14471</v>
      </c>
      <c r="E1651" s="6" t="s">
        <v>27</v>
      </c>
      <c r="F1651" s="12" t="str">
        <f>IFERROR(__xludf.DUMMYFUNCTION("GOOGLETRANSLATE(B1651,""zh_cn"",""vi"")"),"tiếng ồn")</f>
        <v>tiếng ồn</v>
      </c>
      <c r="G1651" s="12"/>
      <c r="H1651" s="6"/>
      <c r="I1651" s="11" t="b">
        <f t="shared" si="2"/>
        <v>0</v>
      </c>
      <c r="J1651" s="24"/>
      <c r="K1651" s="11" t="b">
        <f t="shared" si="3"/>
        <v>0</v>
      </c>
    </row>
    <row r="1652" ht="22.5" customHeight="1">
      <c r="A1652" s="12">
        <f t="shared" si="4"/>
        <v>5250</v>
      </c>
      <c r="B1652" s="6" t="s">
        <v>14472</v>
      </c>
      <c r="C1652" s="7" t="str">
        <f t="shared" si="7"/>
        <v>🔊</v>
      </c>
      <c r="D1652" s="8" t="s">
        <v>14473</v>
      </c>
      <c r="E1652" s="6" t="s">
        <v>13</v>
      </c>
      <c r="F1652" s="12" t="str">
        <f>IFERROR(__xludf.DUMMYFUNCTION("GOOGLETRANSLATE(B1652,""zh_cn"",""vi"")"),"chịu đựng")</f>
        <v>chịu đựng</v>
      </c>
      <c r="G1652" s="12"/>
      <c r="H1652" s="6"/>
      <c r="I1652" s="11" t="b">
        <f t="shared" si="2"/>
        <v>0</v>
      </c>
      <c r="J1652" s="24"/>
      <c r="K1652" s="11" t="b">
        <f t="shared" si="3"/>
        <v>0</v>
      </c>
    </row>
    <row r="1653" ht="22.5" customHeight="1">
      <c r="A1653" s="12">
        <f t="shared" si="4"/>
        <v>5251</v>
      </c>
      <c r="B1653" s="6" t="s">
        <v>14474</v>
      </c>
      <c r="C1653" s="7" t="str">
        <f t="shared" si="7"/>
        <v>🔊</v>
      </c>
      <c r="D1653" s="8" t="s">
        <v>14475</v>
      </c>
      <c r="E1653" s="6" t="s">
        <v>232</v>
      </c>
      <c r="F1653" s="12" t="str">
        <f>IFERROR(__xludf.DUMMYFUNCTION("GOOGLETRANSLATE(B1653,""zh_cn"",""vi"")"),"mô hình hóa")</f>
        <v>mô hình hóa</v>
      </c>
      <c r="G1653" s="12"/>
      <c r="H1653" s="6"/>
      <c r="I1653" s="11" t="b">
        <f t="shared" si="2"/>
        <v>0</v>
      </c>
      <c r="J1653" s="24"/>
      <c r="K1653" s="11" t="b">
        <f t="shared" si="3"/>
        <v>0</v>
      </c>
    </row>
    <row r="1654" ht="22.5" customHeight="1">
      <c r="A1654" s="12">
        <f t="shared" si="4"/>
        <v>5252</v>
      </c>
      <c r="B1654" s="6" t="s">
        <v>14476</v>
      </c>
      <c r="C1654" s="7" t="str">
        <f t="shared" si="7"/>
        <v>🔊</v>
      </c>
      <c r="D1654" s="8" t="s">
        <v>14477</v>
      </c>
      <c r="E1654" s="6" t="s">
        <v>232</v>
      </c>
      <c r="F1654" s="12" t="str">
        <f>IFERROR(__xludf.DUMMYFUNCTION("GOOGLETRANSLATE(B1654,""zh_cn"",""vi"")"),"bắt gặp")</f>
        <v>bắt gặp</v>
      </c>
      <c r="G1654" s="12"/>
      <c r="H1654" s="6"/>
      <c r="I1654" s="11" t="b">
        <f t="shared" si="2"/>
        <v>0</v>
      </c>
      <c r="J1654" s="24"/>
      <c r="K1654" s="11" t="b">
        <f t="shared" si="3"/>
        <v>0</v>
      </c>
    </row>
    <row r="1655" ht="22.5" customHeight="1">
      <c r="A1655" s="12">
        <f t="shared" si="4"/>
        <v>5253</v>
      </c>
      <c r="B1655" s="6" t="s">
        <v>14478</v>
      </c>
      <c r="C1655" s="7" t="str">
        <f t="shared" si="7"/>
        <v>🔊</v>
      </c>
      <c r="D1655" s="8" t="s">
        <v>14479</v>
      </c>
      <c r="E1655" s="6" t="s">
        <v>14480</v>
      </c>
      <c r="F1655" s="12" t="str">
        <f>IFERROR(__xludf.DUMMYFUNCTION("GOOGLETRANSLATE(B1655,""zh_cn"",""vi"")"),"Sau đó 1")</f>
        <v>Sau đó 1</v>
      </c>
      <c r="G1655" s="12"/>
      <c r="H1655" s="6"/>
      <c r="I1655" s="11" t="b">
        <f t="shared" si="2"/>
        <v>0</v>
      </c>
      <c r="J1655" s="24"/>
      <c r="K1655" s="11" t="b">
        <f t="shared" si="3"/>
        <v>0</v>
      </c>
    </row>
    <row r="1656" ht="22.5" customHeight="1">
      <c r="A1656" s="12">
        <f t="shared" si="4"/>
        <v>5254</v>
      </c>
      <c r="B1656" s="6" t="s">
        <v>10899</v>
      </c>
      <c r="C1656" s="7" t="str">
        <f t="shared" si="7"/>
        <v>🔊</v>
      </c>
      <c r="D1656" s="8" t="s">
        <v>14481</v>
      </c>
      <c r="E1656" s="6" t="s">
        <v>13</v>
      </c>
      <c r="F1656" s="12" t="str">
        <f>IFERROR(__xludf.DUMMYFUNCTION("GOOGLETRANSLATE(B1656,""zh_cn"",""vi"")"),"chiên rán")</f>
        <v>chiên rán</v>
      </c>
      <c r="G1656" s="12"/>
      <c r="H1656" s="6"/>
      <c r="I1656" s="11" t="b">
        <f t="shared" si="2"/>
        <v>0</v>
      </c>
      <c r="J1656" s="24"/>
      <c r="K1656" s="11" t="b">
        <f t="shared" si="3"/>
        <v>0</v>
      </c>
    </row>
    <row r="1657" ht="22.5" customHeight="1">
      <c r="A1657" s="12">
        <f t="shared" si="4"/>
        <v>5255</v>
      </c>
      <c r="B1657" s="6" t="s">
        <v>14482</v>
      </c>
      <c r="C1657" s="7" t="str">
        <f t="shared" si="7"/>
        <v>🔊</v>
      </c>
      <c r="D1657" s="8" t="s">
        <v>14483</v>
      </c>
      <c r="E1657" s="6" t="s">
        <v>13</v>
      </c>
      <c r="F1657" s="12" t="str">
        <f>IFERROR(__xludf.DUMMYFUNCTION("GOOGLETRANSLATE(B1657,""zh_cn"",""vi"")"),"cà vạt")</f>
        <v>cà vạt</v>
      </c>
      <c r="G1657" s="12"/>
      <c r="H1657" s="6"/>
      <c r="I1657" s="11" t="b">
        <f t="shared" si="2"/>
        <v>0</v>
      </c>
      <c r="J1657" s="24"/>
      <c r="K1657" s="11" t="b">
        <f t="shared" si="3"/>
        <v>0</v>
      </c>
    </row>
    <row r="1658" ht="22.5" customHeight="1">
      <c r="A1658" s="12">
        <f t="shared" si="4"/>
        <v>5256</v>
      </c>
      <c r="B1658" s="6" t="s">
        <v>14484</v>
      </c>
      <c r="C1658" s="7" t="str">
        <f t="shared" si="7"/>
        <v>🔊</v>
      </c>
      <c r="D1658" s="8" t="s">
        <v>14485</v>
      </c>
      <c r="E1658" s="6" t="s">
        <v>13</v>
      </c>
      <c r="F1658" s="12" t="str">
        <f>IFERROR(__xludf.DUMMYFUNCTION("GOOGLETRANSLATE(B1658,""zh_cn"",""vi"")"),"dán")</f>
        <v>dán</v>
      </c>
      <c r="G1658" s="12"/>
      <c r="H1658" s="6"/>
      <c r="I1658" s="11" t="b">
        <f t="shared" si="2"/>
        <v>0</v>
      </c>
      <c r="J1658" s="24"/>
      <c r="K1658" s="11" t="b">
        <f t="shared" si="3"/>
        <v>0</v>
      </c>
    </row>
    <row r="1659" ht="22.5" customHeight="1">
      <c r="A1659" s="12">
        <f t="shared" si="4"/>
        <v>5257</v>
      </c>
      <c r="B1659" s="6" t="s">
        <v>14486</v>
      </c>
      <c r="C1659" s="7" t="str">
        <f t="shared" si="7"/>
        <v>🔊</v>
      </c>
      <c r="D1659" s="8" t="s">
        <v>14487</v>
      </c>
      <c r="E1659" s="6" t="s">
        <v>27</v>
      </c>
      <c r="F1659" s="12" t="str">
        <f>IFERROR(__xludf.DUMMYFUNCTION("GOOGLETRANSLATE(B1659,""zh_cn"",""vi"")"),"phần trăm")</f>
        <v>phần trăm</v>
      </c>
      <c r="G1659" s="12"/>
      <c r="H1659" s="6"/>
      <c r="I1659" s="11" t="b">
        <f t="shared" si="2"/>
        <v>0</v>
      </c>
      <c r="J1659" s="24"/>
      <c r="K1659" s="11" t="b">
        <f t="shared" si="3"/>
        <v>0</v>
      </c>
    </row>
    <row r="1660" ht="22.5" customHeight="1">
      <c r="A1660" s="12">
        <f t="shared" si="4"/>
        <v>5258</v>
      </c>
      <c r="B1660" s="6" t="s">
        <v>14488</v>
      </c>
      <c r="C1660" s="7" t="str">
        <f t="shared" si="7"/>
        <v>🔊</v>
      </c>
      <c r="D1660" s="8" t="s">
        <v>14489</v>
      </c>
      <c r="E1660" s="6" t="s">
        <v>57</v>
      </c>
      <c r="F1660" s="12" t="str">
        <f>IFERROR(__xludf.DUMMYFUNCTION("GOOGLETRANSLATE(B1660,""zh_cn"",""vi"")"),"Chiến đấu")</f>
        <v>Chiến đấu</v>
      </c>
      <c r="G1660" s="12"/>
      <c r="H1660" s="6"/>
      <c r="I1660" s="11" t="b">
        <f t="shared" si="2"/>
        <v>0</v>
      </c>
      <c r="J1660" s="24"/>
      <c r="K1660" s="11" t="b">
        <f t="shared" si="3"/>
        <v>0</v>
      </c>
    </row>
    <row r="1661" ht="22.5" customHeight="1">
      <c r="A1661" s="12">
        <f t="shared" si="4"/>
        <v>5259</v>
      </c>
      <c r="B1661" s="6" t="s">
        <v>14490</v>
      </c>
      <c r="C1661" s="7" t="str">
        <f t="shared" si="7"/>
        <v>🔊</v>
      </c>
      <c r="D1661" s="8" t="s">
        <v>3214</v>
      </c>
      <c r="E1661" s="6" t="s">
        <v>47</v>
      </c>
      <c r="F1661" s="12" t="str">
        <f>IFERROR(__xludf.DUMMYFUNCTION("GOOGLETRANSLATE(B1661,""zh_cn"",""vi"")"),"chương")</f>
        <v>chương</v>
      </c>
      <c r="G1661" s="12"/>
      <c r="H1661" s="6"/>
      <c r="I1661" s="11" t="b">
        <f t="shared" si="2"/>
        <v>0</v>
      </c>
      <c r="J1661" s="24"/>
      <c r="K1661" s="11" t="b">
        <f t="shared" si="3"/>
        <v>0</v>
      </c>
    </row>
    <row r="1662" ht="22.5" customHeight="1">
      <c r="A1662" s="12">
        <f t="shared" si="4"/>
        <v>5260</v>
      </c>
      <c r="B1662" s="6" t="s">
        <v>14491</v>
      </c>
      <c r="C1662" s="7" t="str">
        <f t="shared" si="7"/>
        <v>🔊</v>
      </c>
      <c r="D1662" s="8" t="s">
        <v>14492</v>
      </c>
      <c r="E1662" s="6" t="s">
        <v>57</v>
      </c>
      <c r="F1662" s="12" t="str">
        <f>IFERROR(__xludf.DUMMYFUNCTION("GOOGLETRANSLATE(B1662,""zh_cn"",""vi"")"),"trở ngại")</f>
        <v>trở ngại</v>
      </c>
      <c r="G1662" s="12"/>
      <c r="H1662" s="6"/>
      <c r="I1662" s="11" t="b">
        <f t="shared" si="2"/>
        <v>0</v>
      </c>
      <c r="J1662" s="24"/>
      <c r="K1662" s="11" t="b">
        <f t="shared" si="3"/>
        <v>0</v>
      </c>
    </row>
    <row r="1663" ht="22.5" customHeight="1">
      <c r="A1663" s="12">
        <f t="shared" si="4"/>
        <v>5261</v>
      </c>
      <c r="B1663" s="6" t="s">
        <v>14493</v>
      </c>
      <c r="C1663" s="7" t="str">
        <f t="shared" si="7"/>
        <v>🔊</v>
      </c>
      <c r="D1663" s="8" t="s">
        <v>14494</v>
      </c>
      <c r="E1663" s="6" t="s">
        <v>27</v>
      </c>
      <c r="F1663" s="12" t="str">
        <f>IFERROR(__xludf.DUMMYFUNCTION("GOOGLETRANSLATE(B1663,""zh_cn"",""vi"")"),"trưởng lão")</f>
        <v>trưởng lão</v>
      </c>
      <c r="G1663" s="12"/>
      <c r="H1663" s="6"/>
      <c r="I1663" s="11" t="b">
        <f t="shared" si="2"/>
        <v>0</v>
      </c>
      <c r="J1663" s="24"/>
      <c r="K1663" s="11" t="b">
        <f t="shared" si="3"/>
        <v>0</v>
      </c>
    </row>
    <row r="1664" ht="22.5" customHeight="1">
      <c r="A1664" s="12">
        <f t="shared" si="4"/>
        <v>5262</v>
      </c>
      <c r="B1664" s="6" t="s">
        <v>14495</v>
      </c>
      <c r="C1664" s="7" t="str">
        <f t="shared" si="7"/>
        <v>🔊</v>
      </c>
      <c r="D1664" s="8" t="s">
        <v>14496</v>
      </c>
      <c r="E1664" s="6" t="s">
        <v>27</v>
      </c>
      <c r="F1664" s="12" t="str">
        <f>IFERROR(__xludf.DUMMYFUNCTION("GOOGLETRANSLATE(B1664,""zh_cn"",""vi"")"),"hóa đơn")</f>
        <v>hóa đơn</v>
      </c>
      <c r="G1664" s="12"/>
      <c r="H1664" s="6"/>
      <c r="I1664" s="11" t="b">
        <f t="shared" si="2"/>
        <v>0</v>
      </c>
      <c r="J1664" s="24"/>
      <c r="K1664" s="11" t="b">
        <f t="shared" si="3"/>
        <v>0</v>
      </c>
    </row>
    <row r="1665" ht="22.5" customHeight="1">
      <c r="A1665" s="12">
        <f t="shared" si="4"/>
        <v>5263</v>
      </c>
      <c r="B1665" s="6" t="s">
        <v>14497</v>
      </c>
      <c r="C1665" s="7" t="str">
        <f t="shared" si="7"/>
        <v>🔊</v>
      </c>
      <c r="D1665" s="8" t="s">
        <v>14498</v>
      </c>
      <c r="E1665" s="6" t="s">
        <v>13</v>
      </c>
      <c r="F1665" s="12" t="str">
        <f>IFERROR(__xludf.DUMMYFUNCTION("GOOGLETRANSLATE(B1665,""zh_cn"",""vi"")"),"chiếm đóng")</f>
        <v>chiếm đóng</v>
      </c>
      <c r="G1665" s="12"/>
      <c r="H1665" s="6"/>
      <c r="I1665" s="11" t="b">
        <f t="shared" si="2"/>
        <v>0</v>
      </c>
      <c r="J1665" s="24"/>
      <c r="K1665" s="11" t="b">
        <f t="shared" si="3"/>
        <v>0</v>
      </c>
    </row>
    <row r="1666" ht="22.5" customHeight="1">
      <c r="A1666" s="12">
        <f t="shared" si="4"/>
        <v>5264</v>
      </c>
      <c r="B1666" s="6" t="s">
        <v>14499</v>
      </c>
      <c r="C1666" s="7" t="str">
        <f t="shared" si="7"/>
        <v>🔊</v>
      </c>
      <c r="D1666" s="8" t="s">
        <v>14500</v>
      </c>
      <c r="E1666" s="6" t="s">
        <v>13</v>
      </c>
      <c r="F1666" s="12" t="str">
        <f>IFERROR(__xludf.DUMMYFUNCTION("GOOGLETRANSLATE(B1666,""zh_cn"",""vi"")"),"Chiến thắng")</f>
        <v>Chiến thắng</v>
      </c>
      <c r="G1666" s="12"/>
      <c r="H1666" s="6"/>
      <c r="I1666" s="11" t="b">
        <f t="shared" si="2"/>
        <v>0</v>
      </c>
      <c r="J1666" s="24"/>
      <c r="K1666" s="11" t="b">
        <f t="shared" si="3"/>
        <v>0</v>
      </c>
    </row>
    <row r="1667" ht="22.5" customHeight="1">
      <c r="A1667" s="12">
        <f t="shared" si="4"/>
        <v>5265</v>
      </c>
      <c r="B1667" s="6" t="s">
        <v>14501</v>
      </c>
      <c r="C1667" s="7" t="str">
        <f t="shared" si="7"/>
        <v>🔊</v>
      </c>
      <c r="D1667" s="8" t="s">
        <v>14502</v>
      </c>
      <c r="E1667" s="6" t="s">
        <v>13</v>
      </c>
      <c r="F1667" s="12" t="str">
        <f>IFERROR(__xludf.DUMMYFUNCTION("GOOGLETRANSLATE(B1667,""zh_cn"",""vi"")"),"Dán")</f>
        <v>Dán</v>
      </c>
      <c r="G1667" s="12"/>
      <c r="H1667" s="6"/>
      <c r="I1667" s="11" t="b">
        <f t="shared" si="2"/>
        <v>0</v>
      </c>
      <c r="J1667" s="24"/>
      <c r="K1667" s="11" t="b">
        <f t="shared" si="3"/>
        <v>0</v>
      </c>
    </row>
    <row r="1668" ht="22.5" customHeight="1">
      <c r="A1668" s="12">
        <f t="shared" si="4"/>
        <v>5266</v>
      </c>
      <c r="B1668" s="6" t="s">
        <v>14503</v>
      </c>
      <c r="C1668" s="7" t="str">
        <f t="shared" si="7"/>
        <v>🔊</v>
      </c>
      <c r="D1668" s="8" t="s">
        <v>14504</v>
      </c>
      <c r="E1668" s="6" t="s">
        <v>99</v>
      </c>
      <c r="F1668" s="12" t="str">
        <f>IFERROR(__xludf.DUMMYFUNCTION("GOOGLETRANSLATE(B1668,""zh_cn"",""vi"")"),"Hoàn toàn mới")</f>
        <v>Hoàn toàn mới</v>
      </c>
      <c r="G1668" s="12"/>
      <c r="H1668" s="6"/>
      <c r="I1668" s="11" t="b">
        <f t="shared" si="2"/>
        <v>0</v>
      </c>
      <c r="J1668" s="24"/>
      <c r="K1668" s="11" t="b">
        <f t="shared" si="3"/>
        <v>0</v>
      </c>
    </row>
    <row r="1669" ht="22.5" customHeight="1">
      <c r="A1669" s="12">
        <f t="shared" si="4"/>
        <v>5267</v>
      </c>
      <c r="B1669" s="6" t="s">
        <v>14505</v>
      </c>
      <c r="C1669" s="7" t="str">
        <f t="shared" si="7"/>
        <v>🔊</v>
      </c>
      <c r="D1669" s="8" t="s">
        <v>14506</v>
      </c>
      <c r="E1669" s="6" t="s">
        <v>13</v>
      </c>
      <c r="F1669" s="12" t="str">
        <f>IFERROR(__xludf.DUMMYFUNCTION("GOOGLETRANSLATE(B1669,""zh_cn"",""vi"")"),"Chiếm hữu")</f>
        <v>Chiếm hữu</v>
      </c>
      <c r="G1669" s="12"/>
      <c r="H1669" s="6"/>
      <c r="I1669" s="11" t="b">
        <f t="shared" si="2"/>
        <v>0</v>
      </c>
      <c r="J1669" s="24"/>
      <c r="K1669" s="11" t="b">
        <f t="shared" si="3"/>
        <v>0</v>
      </c>
    </row>
    <row r="1670" ht="22.5" customHeight="1">
      <c r="A1670" s="12">
        <f t="shared" si="4"/>
        <v>5268</v>
      </c>
      <c r="B1670" s="6" t="s">
        <v>14507</v>
      </c>
      <c r="C1670" s="7" t="str">
        <f t="shared" si="7"/>
        <v>🔊</v>
      </c>
      <c r="D1670" s="8" t="s">
        <v>14508</v>
      </c>
      <c r="E1670" s="6" t="s">
        <v>27</v>
      </c>
      <c r="F1670" s="12" t="str">
        <f>IFERROR(__xludf.DUMMYFUNCTION("GOOGLETRANSLATE(B1670,""zh_cn"",""vi"")"),"chiến tranh")</f>
        <v>chiến tranh</v>
      </c>
      <c r="G1670" s="12"/>
      <c r="H1670" s="6"/>
      <c r="I1670" s="11" t="b">
        <f t="shared" si="2"/>
        <v>0</v>
      </c>
      <c r="J1670" s="24"/>
      <c r="K1670" s="11" t="b">
        <f t="shared" si="3"/>
        <v>0</v>
      </c>
    </row>
    <row r="1671" ht="22.5" customHeight="1">
      <c r="A1671" s="12">
        <f t="shared" si="4"/>
        <v>5269</v>
      </c>
      <c r="B1671" s="6" t="s">
        <v>14509</v>
      </c>
      <c r="C1671" s="7" t="str">
        <f t="shared" si="7"/>
        <v>🔊</v>
      </c>
      <c r="D1671" s="8" t="s">
        <v>14510</v>
      </c>
      <c r="E1671" s="6" t="s">
        <v>13</v>
      </c>
      <c r="F1671" s="12" t="str">
        <f>IFERROR(__xludf.DUMMYFUNCTION("GOOGLETRANSLATE(B1671,""zh_cn"",""vi"")"),"lừa")</f>
        <v>lừa</v>
      </c>
      <c r="G1671" s="12"/>
      <c r="H1671" s="6"/>
      <c r="I1671" s="11" t="b">
        <f t="shared" si="2"/>
        <v>0</v>
      </c>
      <c r="J1671" s="24"/>
      <c r="K1671" s="11" t="b">
        <f t="shared" si="3"/>
        <v>0</v>
      </c>
    </row>
    <row r="1672" ht="22.5" customHeight="1">
      <c r="A1672" s="12">
        <f t="shared" si="4"/>
        <v>5270</v>
      </c>
      <c r="B1672" s="6" t="s">
        <v>14511</v>
      </c>
      <c r="C1672" s="7" t="str">
        <f t="shared" si="7"/>
        <v>🔊</v>
      </c>
      <c r="D1672" s="8" t="s">
        <v>14512</v>
      </c>
      <c r="E1672" s="6" t="s">
        <v>13</v>
      </c>
      <c r="F1672" s="12" t="str">
        <f>IFERROR(__xludf.DUMMYFUNCTION("GOOGLETRANSLATE(B1672,""zh_cn"",""vi"")"),"giải trí")</f>
        <v>giải trí</v>
      </c>
      <c r="G1672" s="12"/>
      <c r="H1672" s="6"/>
      <c r="I1672" s="11" t="b">
        <f t="shared" si="2"/>
        <v>0</v>
      </c>
      <c r="J1672" s="24"/>
      <c r="K1672" s="11" t="b">
        <f t="shared" si="3"/>
        <v>0</v>
      </c>
    </row>
    <row r="1673" ht="22.5" customHeight="1">
      <c r="A1673" s="12">
        <f t="shared" si="4"/>
        <v>5271</v>
      </c>
      <c r="B1673" s="6" t="s">
        <v>14513</v>
      </c>
      <c r="C1673" s="7" t="str">
        <f t="shared" si="7"/>
        <v>🔊</v>
      </c>
      <c r="D1673" s="8" t="s">
        <v>14514</v>
      </c>
      <c r="E1673" s="6" t="s">
        <v>13</v>
      </c>
      <c r="F1673" s="12" t="str">
        <f>IFERROR(__xludf.DUMMYFUNCTION("GOOGLETRANSLATE(B1673,""zh_cn"",""vi"")"),"chiếu sáng")</f>
        <v>chiếu sáng</v>
      </c>
      <c r="G1673" s="12"/>
      <c r="H1673" s="6"/>
      <c r="I1673" s="11" t="b">
        <f t="shared" si="2"/>
        <v>0</v>
      </c>
      <c r="J1673" s="24"/>
      <c r="K1673" s="11" t="b">
        <f t="shared" si="3"/>
        <v>0</v>
      </c>
    </row>
    <row r="1674" ht="22.5" customHeight="1">
      <c r="A1674" s="12">
        <f t="shared" si="4"/>
        <v>5272</v>
      </c>
      <c r="B1674" s="6" t="s">
        <v>14515</v>
      </c>
      <c r="C1674" s="7" t="str">
        <f t="shared" si="7"/>
        <v>🔊</v>
      </c>
      <c r="D1674" s="8" t="s">
        <v>14516</v>
      </c>
      <c r="E1674" s="6" t="s">
        <v>13</v>
      </c>
      <c r="F1674" s="12" t="str">
        <f>IFERROR(__xludf.DUMMYFUNCTION("GOOGLETRANSLATE(B1674,""zh_cn"",""vi"")"),"Tuyển sinh")</f>
        <v>Tuyển sinh</v>
      </c>
      <c r="G1674" s="12"/>
      <c r="H1674" s="6"/>
      <c r="I1674" s="11" t="b">
        <f t="shared" si="2"/>
        <v>0</v>
      </c>
      <c r="J1674" s="24"/>
      <c r="K1674" s="11" t="b">
        <f t="shared" si="3"/>
        <v>0</v>
      </c>
    </row>
    <row r="1675" ht="22.5" customHeight="1">
      <c r="A1675" s="12">
        <f t="shared" si="4"/>
        <v>5273</v>
      </c>
      <c r="B1675" s="6" t="s">
        <v>14517</v>
      </c>
      <c r="C1675" s="7" t="str">
        <f t="shared" si="7"/>
        <v>🔊</v>
      </c>
      <c r="D1675" s="8" t="s">
        <v>14518</v>
      </c>
      <c r="E1675" s="6" t="s">
        <v>13</v>
      </c>
      <c r="F1675" s="12" t="str">
        <f>IFERROR(__xludf.DUMMYFUNCTION("GOOGLETRANSLATE(B1675,""zh_cn"",""vi"")"),"sóng")</f>
        <v>sóng</v>
      </c>
      <c r="G1675" s="12"/>
      <c r="H1675" s="6"/>
      <c r="I1675" s="11" t="b">
        <f t="shared" si="2"/>
        <v>0</v>
      </c>
      <c r="J1675" s="24"/>
      <c r="K1675" s="11" t="b">
        <f t="shared" si="3"/>
        <v>0</v>
      </c>
    </row>
    <row r="1676" ht="22.5" customHeight="1">
      <c r="A1676" s="12">
        <f t="shared" si="4"/>
        <v>5274</v>
      </c>
      <c r="B1676" s="6" t="s">
        <v>14519</v>
      </c>
      <c r="C1676" s="7" t="str">
        <f t="shared" si="7"/>
        <v>🔊</v>
      </c>
      <c r="D1676" s="8" t="s">
        <v>14520</v>
      </c>
      <c r="E1676" s="6" t="s">
        <v>13</v>
      </c>
      <c r="F1676" s="12" t="str">
        <f>IFERROR(__xludf.DUMMYFUNCTION("GOOGLETRANSLATE(B1676,""zh_cn"",""vi"")"),"tuyển dụng")</f>
        <v>tuyển dụng</v>
      </c>
      <c r="G1676" s="12"/>
      <c r="H1676" s="6"/>
      <c r="I1676" s="11" t="b">
        <f t="shared" si="2"/>
        <v>0</v>
      </c>
      <c r="J1676" s="24"/>
      <c r="K1676" s="11" t="b">
        <f t="shared" si="3"/>
        <v>0</v>
      </c>
    </row>
    <row r="1677" ht="22.5" customHeight="1">
      <c r="A1677" s="12">
        <f t="shared" si="4"/>
        <v>5275</v>
      </c>
      <c r="B1677" s="6" t="s">
        <v>14521</v>
      </c>
      <c r="C1677" s="7" t="str">
        <f t="shared" si="7"/>
        <v>🔊</v>
      </c>
      <c r="D1677" s="8" t="s">
        <v>14522</v>
      </c>
      <c r="E1677" s="6" t="s">
        <v>13</v>
      </c>
      <c r="F1677" s="12" t="str">
        <f>IFERROR(__xludf.DUMMYFUNCTION("GOOGLETRANSLATE(B1677,""zh_cn"",""vi"")"),"nếp gấp")</f>
        <v>nếp gấp</v>
      </c>
      <c r="G1677" s="12"/>
      <c r="H1677" s="6"/>
      <c r="I1677" s="11" t="b">
        <f t="shared" si="2"/>
        <v>0</v>
      </c>
      <c r="J1677" s="24"/>
      <c r="K1677" s="11" t="b">
        <f t="shared" si="3"/>
        <v>0</v>
      </c>
    </row>
    <row r="1678" ht="22.5" customHeight="1">
      <c r="A1678" s="12">
        <f t="shared" si="4"/>
        <v>5276</v>
      </c>
      <c r="B1678" s="6" t="s">
        <v>14523</v>
      </c>
      <c r="C1678" s="7" t="str">
        <f t="shared" si="7"/>
        <v>🔊</v>
      </c>
      <c r="D1678" s="8" t="s">
        <v>10958</v>
      </c>
      <c r="E1678" s="6" t="s">
        <v>232</v>
      </c>
      <c r="F1678" s="12" t="str">
        <f>IFERROR(__xludf.DUMMYFUNCTION("GOOGLETRANSLATE(B1678,""zh_cn"",""vi"")"),"thị trấn")</f>
        <v>thị trấn</v>
      </c>
      <c r="G1678" s="12"/>
      <c r="H1678" s="6"/>
      <c r="I1678" s="11" t="b">
        <f t="shared" si="2"/>
        <v>0</v>
      </c>
      <c r="J1678" s="24"/>
      <c r="K1678" s="11" t="b">
        <f t="shared" si="3"/>
        <v>0</v>
      </c>
    </row>
    <row r="1679" ht="22.5" customHeight="1">
      <c r="A1679" s="12">
        <f t="shared" si="4"/>
        <v>5277</v>
      </c>
      <c r="B1679" s="6" t="s">
        <v>14524</v>
      </c>
      <c r="C1679" s="7" t="str">
        <f t="shared" si="7"/>
        <v>🔊</v>
      </c>
      <c r="D1679" s="8" t="s">
        <v>963</v>
      </c>
      <c r="E1679" s="6" t="s">
        <v>27</v>
      </c>
      <c r="F1679" s="12" t="str">
        <f>IFERROR(__xludf.DUMMYFUNCTION("GOOGLETRANSLATE(B1679,""zh_cn"",""vi"")"),"Cây kim")</f>
        <v>Cây kim</v>
      </c>
      <c r="G1679" s="12"/>
      <c r="H1679" s="6"/>
      <c r="I1679" s="11" t="b">
        <f t="shared" si="2"/>
        <v>0</v>
      </c>
      <c r="J1679" s="24"/>
      <c r="K1679" s="11" t="b">
        <f t="shared" si="3"/>
        <v>0</v>
      </c>
    </row>
    <row r="1680" ht="22.5" customHeight="1">
      <c r="A1680" s="12">
        <f t="shared" si="4"/>
        <v>5278</v>
      </c>
      <c r="B1680" s="6" t="s">
        <v>14525</v>
      </c>
      <c r="C1680" s="7" t="str">
        <f t="shared" si="7"/>
        <v>🔊</v>
      </c>
      <c r="D1680" s="8" t="s">
        <v>10972</v>
      </c>
      <c r="E1680" s="6" t="s">
        <v>13</v>
      </c>
      <c r="F1680" s="12" t="str">
        <f>IFERROR(__xludf.DUMMYFUNCTION("GOOGLETRANSLATE(B1680,""zh_cn"",""vi"")"),"mở mắt")</f>
        <v>mở mắt</v>
      </c>
      <c r="G1680" s="12"/>
      <c r="H1680" s="6"/>
      <c r="I1680" s="11" t="b">
        <f t="shared" si="2"/>
        <v>0</v>
      </c>
      <c r="J1680" s="24"/>
      <c r="K1680" s="11" t="b">
        <f t="shared" si="3"/>
        <v>0</v>
      </c>
    </row>
    <row r="1681" ht="22.5" customHeight="1">
      <c r="A1681" s="12">
        <f t="shared" si="4"/>
        <v>5279</v>
      </c>
      <c r="B1681" s="6" t="s">
        <v>14526</v>
      </c>
      <c r="C1681" s="7" t="str">
        <f t="shared" si="7"/>
        <v>🔊</v>
      </c>
      <c r="D1681" s="8" t="s">
        <v>14527</v>
      </c>
      <c r="E1681" s="6" t="s">
        <v>27</v>
      </c>
      <c r="F1681" s="12" t="str">
        <f>IFERROR(__xludf.DUMMYFUNCTION("GOOGLETRANSLATE(B1681,""zh_cn"",""vi"")"),"chính sách")</f>
        <v>chính sách</v>
      </c>
      <c r="G1681" s="12"/>
      <c r="H1681" s="6"/>
      <c r="I1681" s="11" t="b">
        <f t="shared" si="2"/>
        <v>0</v>
      </c>
      <c r="J1681" s="24"/>
      <c r="K1681" s="11" t="b">
        <f t="shared" si="3"/>
        <v>0</v>
      </c>
    </row>
    <row r="1682" ht="22.5" customHeight="1">
      <c r="A1682" s="12">
        <f t="shared" si="4"/>
        <v>5280</v>
      </c>
      <c r="B1682" s="6" t="s">
        <v>14528</v>
      </c>
      <c r="C1682" s="7" t="str">
        <f t="shared" si="7"/>
        <v>🔊</v>
      </c>
      <c r="D1682" s="8" t="s">
        <v>14529</v>
      </c>
      <c r="E1682" s="6" t="s">
        <v>13</v>
      </c>
      <c r="F1682" s="12" t="str">
        <f>IFERROR(__xludf.DUMMYFUNCTION("GOOGLETRANSLATE(B1682,""zh_cn"",""vi"")"),"cãi nhau")</f>
        <v>cãi nhau</v>
      </c>
      <c r="G1682" s="12"/>
      <c r="H1682" s="6"/>
      <c r="I1682" s="11" t="b">
        <f t="shared" si="2"/>
        <v>0</v>
      </c>
      <c r="J1682" s="24"/>
      <c r="K1682" s="11" t="b">
        <f t="shared" si="3"/>
        <v>0</v>
      </c>
    </row>
    <row r="1683" ht="22.5" customHeight="1">
      <c r="A1683" s="12">
        <f t="shared" si="4"/>
        <v>5281</v>
      </c>
      <c r="B1683" s="6" t="s">
        <v>14530</v>
      </c>
      <c r="C1683" s="7" t="str">
        <f t="shared" si="7"/>
        <v>🔊</v>
      </c>
      <c r="D1683" s="8" t="s">
        <v>14531</v>
      </c>
      <c r="E1683" s="6" t="s">
        <v>13</v>
      </c>
      <c r="F1683" s="12" t="str">
        <f>IFERROR(__xludf.DUMMYFUNCTION("GOOGLETRANSLATE(B1683,""zh_cn"",""vi"")"),"đấu tranh ")</f>
        <v>đấu tranh </v>
      </c>
      <c r="G1683" s="12"/>
      <c r="H1683" s="6"/>
      <c r="I1683" s="11" t="b">
        <f t="shared" si="2"/>
        <v>0</v>
      </c>
      <c r="J1683" s="24"/>
      <c r="K1683" s="11" t="b">
        <f t="shared" si="3"/>
        <v>0</v>
      </c>
    </row>
    <row r="1684" ht="22.5" customHeight="1">
      <c r="A1684" s="12">
        <f t="shared" si="4"/>
        <v>5282</v>
      </c>
      <c r="B1684" s="6" t="s">
        <v>14532</v>
      </c>
      <c r="C1684" s="7" t="str">
        <f t="shared" si="7"/>
        <v>🔊</v>
      </c>
      <c r="D1684" s="8" t="s">
        <v>14533</v>
      </c>
      <c r="E1684" s="6" t="s">
        <v>99</v>
      </c>
      <c r="F1684" s="12" t="str">
        <f>IFERROR(__xludf.DUMMYFUNCTION("GOOGLETRANSLATE(B1684,""zh_cn"",""vi"")"),"thường xuyên")</f>
        <v>thường xuyên</v>
      </c>
      <c r="G1684" s="12"/>
      <c r="H1684" s="6"/>
      <c r="I1684" s="11" t="b">
        <f t="shared" si="2"/>
        <v>0</v>
      </c>
      <c r="J1684" s="24"/>
      <c r="K1684" s="11" t="b">
        <f t="shared" si="3"/>
        <v>0</v>
      </c>
    </row>
    <row r="1685" ht="22.5" customHeight="1">
      <c r="A1685" s="12">
        <f t="shared" si="4"/>
        <v>5283</v>
      </c>
      <c r="B1685" s="6" t="s">
        <v>14534</v>
      </c>
      <c r="C1685" s="7" t="str">
        <f t="shared" si="7"/>
        <v>🔊</v>
      </c>
      <c r="D1685" s="8" t="s">
        <v>14535</v>
      </c>
      <c r="E1685" s="6" t="s">
        <v>13</v>
      </c>
      <c r="F1685" s="12" t="str">
        <f>IFERROR(__xludf.DUMMYFUNCTION("GOOGLETRANSLATE(B1685,""zh_cn"",""vi"")"),"tranh luận")</f>
        <v>tranh luận</v>
      </c>
      <c r="G1685" s="12"/>
      <c r="H1685" s="6"/>
      <c r="I1685" s="11" t="b">
        <f t="shared" si="2"/>
        <v>0</v>
      </c>
      <c r="J1685" s="24"/>
      <c r="K1685" s="11" t="b">
        <f t="shared" si="3"/>
        <v>0</v>
      </c>
    </row>
    <row r="1686" ht="22.5" customHeight="1">
      <c r="A1686" s="12">
        <f t="shared" si="4"/>
        <v>5284</v>
      </c>
      <c r="B1686" s="6" t="s">
        <v>14536</v>
      </c>
      <c r="C1686" s="7" t="str">
        <f t="shared" si="7"/>
        <v>🔊</v>
      </c>
      <c r="D1686" s="8" t="s">
        <v>14537</v>
      </c>
      <c r="E1686" s="6" t="s">
        <v>3430</v>
      </c>
      <c r="F1686" s="12" t="str">
        <f>IFERROR(__xludf.DUMMYFUNCTION("GOOGLETRANSLATE(B1686,""zh_cn"",""vi"")"),"đằng trước")</f>
        <v>đằng trước</v>
      </c>
      <c r="G1686" s="12"/>
      <c r="H1686" s="6"/>
      <c r="I1686" s="11" t="b">
        <f t="shared" si="2"/>
        <v>0</v>
      </c>
      <c r="J1686" s="24"/>
      <c r="K1686" s="11" t="b">
        <f t="shared" si="3"/>
        <v>0</v>
      </c>
    </row>
    <row r="1687" ht="22.5" customHeight="1">
      <c r="A1687" s="12">
        <f t="shared" si="4"/>
        <v>5285</v>
      </c>
      <c r="B1687" s="6" t="s">
        <v>14538</v>
      </c>
      <c r="C1687" s="7" t="str">
        <f t="shared" si="7"/>
        <v>🔊</v>
      </c>
      <c r="D1687" s="8" t="s">
        <v>14539</v>
      </c>
      <c r="E1687" s="6" t="s">
        <v>13</v>
      </c>
      <c r="F1687" s="12" t="str">
        <f>IFERROR(__xludf.DUMMYFUNCTION("GOOGLETRANSLATE(B1687,""zh_cn"",""vi"")"),"tìm kiếm")</f>
        <v>tìm kiếm</v>
      </c>
      <c r="G1687" s="12"/>
      <c r="H1687" s="6"/>
      <c r="I1687" s="11" t="b">
        <f t="shared" si="2"/>
        <v>0</v>
      </c>
      <c r="J1687" s="24"/>
      <c r="K1687" s="11" t="b">
        <f t="shared" si="3"/>
        <v>0</v>
      </c>
    </row>
    <row r="1688" ht="22.5" customHeight="1">
      <c r="A1688" s="12">
        <f t="shared" si="4"/>
        <v>5286</v>
      </c>
      <c r="B1688" s="6" t="s">
        <v>14540</v>
      </c>
      <c r="C1688" s="7" t="str">
        <f t="shared" si="7"/>
        <v>🔊</v>
      </c>
      <c r="D1688" s="8" t="s">
        <v>14541</v>
      </c>
      <c r="E1688" s="6" t="s">
        <v>13</v>
      </c>
      <c r="F1688" s="12" t="str">
        <f>IFERROR(__xludf.DUMMYFUNCTION("GOOGLETRANSLATE(B1688,""zh_cn"",""vi"")"),"Đã xác nhận")</f>
        <v>Đã xác nhận</v>
      </c>
      <c r="G1688" s="12"/>
      <c r="H1688" s="6"/>
      <c r="I1688" s="11" t="b">
        <f t="shared" si="2"/>
        <v>0</v>
      </c>
      <c r="J1688" s="24"/>
      <c r="K1688" s="11" t="b">
        <f t="shared" si="3"/>
        <v>0</v>
      </c>
    </row>
    <row r="1689" ht="22.5" customHeight="1">
      <c r="A1689" s="12">
        <f t="shared" si="4"/>
        <v>5287</v>
      </c>
      <c r="B1689" s="6" t="s">
        <v>14542</v>
      </c>
      <c r="C1689" s="7" t="str">
        <f t="shared" si="7"/>
        <v>🔊</v>
      </c>
      <c r="D1689" s="8" t="s">
        <v>14543</v>
      </c>
      <c r="E1689" s="6" t="s">
        <v>3430</v>
      </c>
      <c r="F1689" s="12" t="str">
        <f>IFERROR(__xludf.DUMMYFUNCTION("GOOGLETRANSLATE(B1689,""zh_cn"",""vi"")"),"công lý")</f>
        <v>công lý</v>
      </c>
      <c r="G1689" s="12"/>
      <c r="H1689" s="6"/>
      <c r="I1689" s="11" t="b">
        <f t="shared" si="2"/>
        <v>0</v>
      </c>
      <c r="J1689" s="24"/>
      <c r="K1689" s="11" t="b">
        <f t="shared" si="3"/>
        <v>0</v>
      </c>
    </row>
    <row r="1690" ht="22.5" customHeight="1">
      <c r="A1690" s="12">
        <f t="shared" si="4"/>
        <v>5288</v>
      </c>
      <c r="B1690" s="6" t="s">
        <v>14544</v>
      </c>
      <c r="C1690" s="7" t="str">
        <f t="shared" si="7"/>
        <v>🔊</v>
      </c>
      <c r="D1690" s="8" t="s">
        <v>14545</v>
      </c>
      <c r="E1690" s="6" t="s">
        <v>13</v>
      </c>
      <c r="F1690" s="12" t="str">
        <f>IFERROR(__xludf.DUMMYFUNCTION("GOOGLETRANSLATE(B1690,""zh_cn"",""vi"")"),"tranh luận")</f>
        <v>tranh luận</v>
      </c>
      <c r="G1690" s="12"/>
      <c r="H1690" s="6"/>
      <c r="I1690" s="11" t="b">
        <f t="shared" si="2"/>
        <v>0</v>
      </c>
      <c r="J1690" s="24"/>
      <c r="K1690" s="11" t="b">
        <f t="shared" si="3"/>
        <v>0</v>
      </c>
    </row>
    <row r="1691" ht="22.5" customHeight="1">
      <c r="A1691" s="12">
        <f t="shared" si="4"/>
        <v>5289</v>
      </c>
      <c r="B1691" s="6" t="s">
        <v>14546</v>
      </c>
      <c r="C1691" s="7" t="str">
        <f t="shared" si="7"/>
        <v>🔊</v>
      </c>
      <c r="D1691" s="8" t="s">
        <v>14547</v>
      </c>
      <c r="E1691" s="6" t="s">
        <v>27</v>
      </c>
      <c r="F1691" s="12" t="str">
        <f>IFERROR(__xludf.DUMMYFUNCTION("GOOGLETRANSLATE(B1691,""zh_cn"",""vi"")"),"triệu chứng")</f>
        <v>triệu chứng</v>
      </c>
      <c r="G1691" s="12"/>
      <c r="H1691" s="6"/>
      <c r="I1691" s="11" t="b">
        <f t="shared" si="2"/>
        <v>0</v>
      </c>
      <c r="J1691" s="24"/>
      <c r="K1691" s="11" t="b">
        <f t="shared" si="3"/>
        <v>0</v>
      </c>
    </row>
    <row r="1692" ht="22.5" customHeight="1">
      <c r="A1692" s="12">
        <f t="shared" si="4"/>
        <v>5290</v>
      </c>
      <c r="B1692" s="6" t="s">
        <v>14548</v>
      </c>
      <c r="C1692" s="7" t="str">
        <f t="shared" si="7"/>
        <v>🔊</v>
      </c>
      <c r="D1692" s="8" t="s">
        <v>14549</v>
      </c>
      <c r="E1692" s="6" t="s">
        <v>27</v>
      </c>
      <c r="F1692" s="12" t="str">
        <f>IFERROR(__xludf.DUMMYFUNCTION("GOOGLETRANSLATE(B1692,""zh_cn"",""vi"")"),"Cái gối")</f>
        <v>Cái gối</v>
      </c>
      <c r="G1692" s="12"/>
      <c r="H1692" s="6"/>
      <c r="I1692" s="11" t="b">
        <f t="shared" si="2"/>
        <v>0</v>
      </c>
      <c r="J1692" s="24"/>
      <c r="K1692" s="11" t="b">
        <f t="shared" si="3"/>
        <v>0</v>
      </c>
    </row>
    <row r="1693" ht="22.5" customHeight="1">
      <c r="A1693" s="12">
        <f t="shared" si="4"/>
        <v>5291</v>
      </c>
      <c r="B1693" s="6" t="s">
        <v>14550</v>
      </c>
      <c r="C1693" s="7" t="str">
        <f t="shared" si="7"/>
        <v>🔊</v>
      </c>
      <c r="D1693" s="8" t="s">
        <v>14551</v>
      </c>
      <c r="E1693" s="6" t="s">
        <v>27</v>
      </c>
      <c r="F1693" s="12" t="str">
        <f>IFERROR(__xludf.DUMMYFUNCTION("GOOGLETRANSLATE(B1693,""zh_cn"",""vi"")"),"sự thật")</f>
        <v>sự thật</v>
      </c>
      <c r="G1693" s="12"/>
      <c r="H1693" s="6"/>
      <c r="I1693" s="11" t="b">
        <f t="shared" si="2"/>
        <v>0</v>
      </c>
      <c r="J1693" s="24"/>
      <c r="K1693" s="11" t="b">
        <f t="shared" si="3"/>
        <v>0</v>
      </c>
    </row>
    <row r="1694" ht="22.5" customHeight="1">
      <c r="A1694" s="12">
        <f t="shared" si="4"/>
        <v>5292</v>
      </c>
      <c r="B1694" s="6" t="s">
        <v>14552</v>
      </c>
      <c r="C1694" s="7" t="str">
        <f t="shared" si="7"/>
        <v>🔊</v>
      </c>
      <c r="D1694" s="8" t="s">
        <v>14553</v>
      </c>
      <c r="E1694" s="6" t="s">
        <v>27</v>
      </c>
      <c r="F1694" s="12" t="str">
        <f>IFERROR(__xludf.DUMMYFUNCTION("GOOGLETRANSLATE(B1694,""zh_cn"",""vi"")"),"vòi sen")</f>
        <v>vòi sen</v>
      </c>
      <c r="G1694" s="12"/>
      <c r="H1694" s="6"/>
      <c r="I1694" s="11" t="b">
        <f t="shared" si="2"/>
        <v>0</v>
      </c>
      <c r="J1694" s="24"/>
      <c r="K1694" s="11" t="b">
        <f t="shared" si="3"/>
        <v>0</v>
      </c>
    </row>
    <row r="1695" ht="22.5" customHeight="1">
      <c r="A1695" s="12">
        <f t="shared" si="4"/>
        <v>5293</v>
      </c>
      <c r="B1695" s="6" t="s">
        <v>14554</v>
      </c>
      <c r="C1695" s="7" t="str">
        <f t="shared" si="7"/>
        <v>🔊</v>
      </c>
      <c r="D1695" s="8" t="s">
        <v>14555</v>
      </c>
      <c r="E1695" s="6" t="s">
        <v>27</v>
      </c>
      <c r="F1695" s="12" t="str">
        <f>IFERROR(__xludf.DUMMYFUNCTION("GOOGLETRANSLATE(B1695,""zh_cn"",""vi"")"),"ngọc trai")</f>
        <v>ngọc trai</v>
      </c>
      <c r="G1695" s="12"/>
      <c r="H1695" s="6"/>
      <c r="I1695" s="11" t="b">
        <f t="shared" si="2"/>
        <v>0</v>
      </c>
      <c r="J1695" s="24"/>
      <c r="K1695" s="11" t="b">
        <f t="shared" si="3"/>
        <v>0</v>
      </c>
    </row>
    <row r="1696" ht="22.5" customHeight="1">
      <c r="A1696" s="12">
        <f t="shared" si="4"/>
        <v>5294</v>
      </c>
      <c r="B1696" s="6" t="s">
        <v>14556</v>
      </c>
      <c r="C1696" s="7" t="str">
        <f t="shared" si="7"/>
        <v>🔊</v>
      </c>
      <c r="D1696" s="8" t="s">
        <v>11016</v>
      </c>
      <c r="E1696" s="6" t="s">
        <v>13</v>
      </c>
      <c r="F1696" s="12" t="str">
        <f>IFERROR(__xludf.DUMMYFUNCTION("GOOGLETRANSLATE(B1696,""zh_cn"",""vi"")"),"hệ thống")</f>
        <v>hệ thống</v>
      </c>
      <c r="G1696" s="12"/>
      <c r="H1696" s="6"/>
      <c r="I1696" s="11" t="b">
        <f t="shared" si="2"/>
        <v>0</v>
      </c>
      <c r="J1696" s="24"/>
      <c r="K1696" s="11" t="b">
        <f t="shared" si="3"/>
        <v>0</v>
      </c>
    </row>
    <row r="1697" ht="22.5" customHeight="1">
      <c r="A1697" s="12">
        <f t="shared" si="4"/>
        <v>5295</v>
      </c>
      <c r="B1697" s="6" t="s">
        <v>14557</v>
      </c>
      <c r="C1697" s="7" t="str">
        <f t="shared" si="7"/>
        <v>🔊</v>
      </c>
      <c r="D1697" s="8" t="s">
        <v>977</v>
      </c>
      <c r="E1697" s="6" t="s">
        <v>13</v>
      </c>
      <c r="F1697" s="12" t="str">
        <f>IFERROR(__xludf.DUMMYFUNCTION("GOOGLETRANSLATE(B1697,""zh_cn"",""vi"")"),"Chi nhánh 2")</f>
        <v>Chi nhánh 2</v>
      </c>
      <c r="G1697" s="12"/>
      <c r="H1697" s="6"/>
      <c r="I1697" s="11" t="b">
        <f t="shared" si="2"/>
        <v>0</v>
      </c>
      <c r="J1697" s="24"/>
      <c r="K1697" s="11" t="b">
        <f t="shared" si="3"/>
        <v>0</v>
      </c>
    </row>
    <row r="1698" ht="22.5" customHeight="1">
      <c r="A1698" s="12">
        <f t="shared" si="4"/>
        <v>5296</v>
      </c>
      <c r="B1698" s="6" t="s">
        <v>14558</v>
      </c>
      <c r="C1698" s="7" t="str">
        <f t="shared" si="7"/>
        <v>🔊</v>
      </c>
      <c r="D1698" s="8" t="s">
        <v>977</v>
      </c>
      <c r="E1698" s="6" t="s">
        <v>259</v>
      </c>
      <c r="F1698" s="12" t="str">
        <f>IFERROR(__xludf.DUMMYFUNCTION("GOOGLETRANSLATE(B1698,""zh_cn"",""vi"")"),"chi nhánh")</f>
        <v>chi nhánh</v>
      </c>
      <c r="G1698" s="12"/>
      <c r="H1698" s="6"/>
      <c r="I1698" s="11" t="b">
        <f t="shared" si="2"/>
        <v>0</v>
      </c>
      <c r="J1698" s="24"/>
      <c r="K1698" s="11" t="b">
        <f t="shared" si="3"/>
        <v>0</v>
      </c>
    </row>
    <row r="1699" ht="22.5" customHeight="1">
      <c r="A1699" s="12">
        <f t="shared" si="4"/>
        <v>5297</v>
      </c>
      <c r="B1699" s="6" t="s">
        <v>14559</v>
      </c>
      <c r="C1699" s="7" t="str">
        <f t="shared" si="7"/>
        <v>🔊</v>
      </c>
      <c r="D1699" s="8" t="s">
        <v>14560</v>
      </c>
      <c r="E1699" s="6" t="s">
        <v>13</v>
      </c>
      <c r="F1699" s="12" t="str">
        <f>IFERROR(__xludf.DUMMYFUNCTION("GOOGLETRANSLATE(B1699,""zh_cn"",""vi"")"),"Đang làm nhiệm vụ")</f>
        <v>Đang làm nhiệm vụ</v>
      </c>
      <c r="G1699" s="12"/>
      <c r="H1699" s="6"/>
      <c r="I1699" s="11" t="b">
        <f t="shared" si="2"/>
        <v>0</v>
      </c>
      <c r="J1699" s="24"/>
      <c r="K1699" s="11" t="b">
        <f t="shared" si="3"/>
        <v>0</v>
      </c>
    </row>
    <row r="1700" ht="22.5" customHeight="1">
      <c r="A1700" s="12">
        <f t="shared" si="4"/>
        <v>5298</v>
      </c>
      <c r="B1700" s="6" t="s">
        <v>14561</v>
      </c>
      <c r="C1700" s="7" t="str">
        <f t="shared" si="7"/>
        <v>🔊</v>
      </c>
      <c r="D1700" s="8" t="s">
        <v>14562</v>
      </c>
      <c r="E1700" s="6" t="s">
        <v>13</v>
      </c>
      <c r="F1700" s="12" t="str">
        <f>IFERROR(__xludf.DUMMYFUNCTION("GOOGLETRANSLATE(B1700,""zh_cn"",""vi"")"),"ủng hộ")</f>
        <v>ủng hộ</v>
      </c>
      <c r="G1700" s="12"/>
      <c r="H1700" s="6"/>
      <c r="I1700" s="11" t="b">
        <f t="shared" si="2"/>
        <v>0</v>
      </c>
      <c r="J1700" s="24"/>
      <c r="K1700" s="11" t="b">
        <f t="shared" si="3"/>
        <v>0</v>
      </c>
    </row>
    <row r="1701" ht="22.5" customHeight="1">
      <c r="A1701" s="12">
        <f t="shared" si="4"/>
        <v>5299</v>
      </c>
      <c r="B1701" s="6" t="s">
        <v>14563</v>
      </c>
      <c r="C1701" s="7" t="str">
        <f t="shared" si="7"/>
        <v>🔊</v>
      </c>
      <c r="D1701" s="8" t="s">
        <v>14564</v>
      </c>
      <c r="E1701" s="6" t="s">
        <v>232</v>
      </c>
      <c r="F1701" s="12" t="str">
        <f>IFERROR(__xludf.DUMMYFUNCTION("GOOGLETRANSLATE(B1701,""zh_cn"",""vi"")"),"chi tiêu")</f>
        <v>chi tiêu</v>
      </c>
      <c r="G1701" s="12"/>
      <c r="H1701" s="6"/>
      <c r="I1701" s="11" t="b">
        <f t="shared" si="2"/>
        <v>0</v>
      </c>
      <c r="J1701" s="24"/>
      <c r="K1701" s="11" t="b">
        <f t="shared" si="3"/>
        <v>0</v>
      </c>
    </row>
    <row r="1702" ht="22.5" customHeight="1">
      <c r="A1702" s="12">
        <f t="shared" si="4"/>
        <v>5300</v>
      </c>
      <c r="B1702" s="6" t="s">
        <v>14565</v>
      </c>
      <c r="C1702" s="7" t="str">
        <f t="shared" si="7"/>
        <v>🔊</v>
      </c>
      <c r="D1702" s="8" t="s">
        <v>14566</v>
      </c>
      <c r="E1702" s="6" t="s">
        <v>61</v>
      </c>
      <c r="F1702" s="12" t="str">
        <f>IFERROR(__xludf.DUMMYFUNCTION("GOOGLETRANSLATE(B1702,""zh_cn"",""vi"")"),"Chỉ một")</f>
        <v>Chỉ một</v>
      </c>
      <c r="G1702" s="12"/>
      <c r="H1702" s="6"/>
      <c r="I1702" s="11" t="b">
        <f t="shared" si="2"/>
        <v>0</v>
      </c>
      <c r="J1702" s="24"/>
      <c r="K1702" s="11" t="b">
        <f t="shared" si="3"/>
        <v>0</v>
      </c>
    </row>
    <row r="1703" ht="22.5" customHeight="1">
      <c r="A1703" s="12">
        <f t="shared" si="4"/>
        <v>5301</v>
      </c>
      <c r="B1703" s="6" t="s">
        <v>14567</v>
      </c>
      <c r="C1703" s="7" t="str">
        <f t="shared" si="7"/>
        <v>🔊</v>
      </c>
      <c r="D1703" s="8" t="s">
        <v>14568</v>
      </c>
      <c r="E1703" s="6" t="s">
        <v>13</v>
      </c>
      <c r="F1703" s="12" t="str">
        <f>IFERROR(__xludf.DUMMYFUNCTION("GOOGLETRANSLATE(B1703,""zh_cn"",""vi"")"),"Chỉ định")</f>
        <v>Chỉ định</v>
      </c>
      <c r="G1703" s="12"/>
      <c r="H1703" s="6"/>
      <c r="I1703" s="11" t="b">
        <f t="shared" si="2"/>
        <v>0</v>
      </c>
      <c r="J1703" s="24"/>
      <c r="K1703" s="11" t="b">
        <f t="shared" si="3"/>
        <v>0</v>
      </c>
    </row>
    <row r="1704" ht="22.5" customHeight="1">
      <c r="A1704" s="12">
        <f t="shared" si="4"/>
        <v>5302</v>
      </c>
      <c r="B1704" s="6" t="s">
        <v>14569</v>
      </c>
      <c r="C1704" s="7" t="str">
        <f t="shared" si="7"/>
        <v>🔊</v>
      </c>
      <c r="D1704" s="8" t="s">
        <v>14570</v>
      </c>
      <c r="E1704" s="6" t="s">
        <v>27</v>
      </c>
      <c r="F1704" s="12" t="str">
        <f>IFERROR(__xludf.DUMMYFUNCTION("GOOGLETRANSLATE(B1704,""zh_cn"",""vi"")"),"Mập")</f>
        <v>Mập</v>
      </c>
      <c r="G1704" s="12"/>
      <c r="H1704" s="6"/>
      <c r="I1704" s="11" t="b">
        <f t="shared" si="2"/>
        <v>0</v>
      </c>
      <c r="J1704" s="24"/>
      <c r="K1704" s="11" t="b">
        <f t="shared" si="3"/>
        <v>0</v>
      </c>
    </row>
    <row r="1705" ht="22.5" customHeight="1">
      <c r="A1705" s="12">
        <f t="shared" si="4"/>
        <v>5303</v>
      </c>
      <c r="B1705" s="6" t="s">
        <v>14571</v>
      </c>
      <c r="C1705" s="7" t="str">
        <f t="shared" si="7"/>
        <v>🔊</v>
      </c>
      <c r="D1705" s="8" t="s">
        <v>14572</v>
      </c>
      <c r="E1705" s="6" t="s">
        <v>61</v>
      </c>
      <c r="F1705" s="12" t="str">
        <f>IFERROR(__xludf.DUMMYFUNCTION("GOOGLETRANSLATE(B1705,""zh_cn"",""vi"")"),"Chỉ quan tâm")</f>
        <v>Chỉ quan tâm</v>
      </c>
      <c r="G1705" s="12"/>
      <c r="H1705" s="6"/>
      <c r="I1705" s="11" t="b">
        <f t="shared" si="2"/>
        <v>0</v>
      </c>
      <c r="J1705" s="24"/>
      <c r="K1705" s="11" t="b">
        <f t="shared" si="3"/>
        <v>0</v>
      </c>
    </row>
    <row r="1706" ht="22.5" customHeight="1">
      <c r="A1706" s="12">
        <f t="shared" si="4"/>
        <v>5304</v>
      </c>
      <c r="B1706" s="6" t="s">
        <v>14573</v>
      </c>
      <c r="C1706" s="7" t="str">
        <f t="shared" si="7"/>
        <v>🔊</v>
      </c>
      <c r="D1706" s="8" t="s">
        <v>14574</v>
      </c>
      <c r="E1706" s="14"/>
      <c r="F1706" s="12" t="str">
        <f>IFERROR(__xludf.DUMMYFUNCTION("GOOGLETRANSLATE(B1706,""zh_cn"",""vi"")"),"Quan trọng")</f>
        <v>Quan trọng</v>
      </c>
      <c r="G1706" s="12"/>
      <c r="H1706" s="6"/>
      <c r="I1706" s="11" t="b">
        <f t="shared" si="2"/>
        <v>0</v>
      </c>
      <c r="J1706" s="24"/>
      <c r="K1706" s="11" t="b">
        <f t="shared" si="3"/>
        <v>0</v>
      </c>
    </row>
    <row r="1707" ht="22.5" customHeight="1">
      <c r="A1707" s="12">
        <f t="shared" si="4"/>
        <v>5305</v>
      </c>
      <c r="B1707" s="6" t="s">
        <v>14575</v>
      </c>
      <c r="C1707" s="7" t="str">
        <f t="shared" si="7"/>
        <v>🔊</v>
      </c>
      <c r="D1707" s="8" t="s">
        <v>14576</v>
      </c>
      <c r="E1707" s="6" t="s">
        <v>232</v>
      </c>
      <c r="F1707" s="12" t="str">
        <f>IFERROR(__xludf.DUMMYFUNCTION("GOOGLETRANSLATE(B1707,""zh_cn"",""vi"")"),"yêu cầu")</f>
        <v>yêu cầu</v>
      </c>
      <c r="G1707" s="12"/>
      <c r="H1707" s="6"/>
      <c r="I1707" s="11" t="b">
        <f t="shared" si="2"/>
        <v>0</v>
      </c>
      <c r="J1707" s="24"/>
      <c r="K1707" s="11" t="b">
        <f t="shared" si="3"/>
        <v>0</v>
      </c>
    </row>
    <row r="1708" ht="22.5" customHeight="1">
      <c r="A1708" s="12">
        <f t="shared" si="4"/>
        <v>5306</v>
      </c>
      <c r="B1708" s="6" t="s">
        <v>14577</v>
      </c>
      <c r="C1708" s="7" t="str">
        <f t="shared" si="7"/>
        <v>🔊</v>
      </c>
      <c r="D1708" s="8" t="s">
        <v>14578</v>
      </c>
      <c r="E1708" s="6" t="s">
        <v>27</v>
      </c>
      <c r="F1708" s="12" t="str">
        <f>IFERROR(__xludf.DUMMYFUNCTION("GOOGLETRANSLATE(B1708,""zh_cn"",""vi"")"),"trí thông minh")</f>
        <v>trí thông minh</v>
      </c>
      <c r="G1708" s="12"/>
      <c r="H1708" s="6"/>
      <c r="I1708" s="11" t="b">
        <f t="shared" si="2"/>
        <v>0</v>
      </c>
      <c r="J1708" s="24"/>
      <c r="K1708" s="11" t="b">
        <f t="shared" si="3"/>
        <v>0</v>
      </c>
    </row>
    <row r="1709" ht="22.5" customHeight="1">
      <c r="A1709" s="12">
        <f t="shared" si="4"/>
        <v>5307</v>
      </c>
      <c r="B1709" s="6" t="s">
        <v>14579</v>
      </c>
      <c r="C1709" s="7" t="str">
        <f t="shared" si="7"/>
        <v>🔊</v>
      </c>
      <c r="D1709" s="8" t="s">
        <v>14580</v>
      </c>
      <c r="E1709" s="6" t="s">
        <v>13</v>
      </c>
      <c r="F1709" s="12" t="str">
        <f>IFERROR(__xludf.DUMMYFUNCTION("GOOGLETRANSLATE(B1709,""zh_cn"",""vi"")"),"quản trị")</f>
        <v>quản trị</v>
      </c>
      <c r="G1709" s="12"/>
      <c r="H1709" s="6"/>
      <c r="I1709" s="11" t="b">
        <f t="shared" si="2"/>
        <v>0</v>
      </c>
      <c r="J1709" s="24"/>
      <c r="K1709" s="11" t="b">
        <f t="shared" si="3"/>
        <v>0</v>
      </c>
    </row>
    <row r="1710" ht="22.5" customHeight="1">
      <c r="A1710" s="12">
        <f t="shared" si="4"/>
        <v>5308</v>
      </c>
      <c r="B1710" s="6" t="s">
        <v>14581</v>
      </c>
      <c r="C1710" s="7" t="str">
        <f t="shared" si="7"/>
        <v>🔊</v>
      </c>
      <c r="D1710" s="8" t="s">
        <v>14582</v>
      </c>
      <c r="E1710" s="6" t="s">
        <v>27</v>
      </c>
      <c r="F1710" s="12" t="str">
        <f>IFERROR(__xludf.DUMMYFUNCTION("GOOGLETRANSLATE(B1710,""zh_cn"",""vi"")"),"Các sản phẩm")</f>
        <v>Các sản phẩm</v>
      </c>
      <c r="G1710" s="12"/>
      <c r="H1710" s="6"/>
      <c r="I1710" s="11" t="b">
        <f t="shared" si="2"/>
        <v>0</v>
      </c>
      <c r="J1710" s="24"/>
      <c r="K1710" s="11" t="b">
        <f t="shared" si="3"/>
        <v>0</v>
      </c>
    </row>
    <row r="1711" ht="22.5" customHeight="1">
      <c r="A1711" s="12">
        <f t="shared" si="4"/>
        <v>5309</v>
      </c>
      <c r="B1711" s="6" t="s">
        <v>14583</v>
      </c>
      <c r="C1711" s="7" t="str">
        <f t="shared" si="7"/>
        <v>🔊</v>
      </c>
      <c r="D1711" s="8" t="s">
        <v>3244</v>
      </c>
      <c r="E1711" s="6" t="s">
        <v>232</v>
      </c>
      <c r="F1711" s="12" t="str">
        <f>IFERROR(__xludf.DUMMYFUNCTION("GOOGLETRANSLATE(B1711,""zh_cn"",""vi"")"),"hướng dẫn")</f>
        <v>hướng dẫn</v>
      </c>
      <c r="G1711" s="12"/>
      <c r="H1711" s="6"/>
      <c r="I1711" s="11" t="b">
        <f t="shared" si="2"/>
        <v>0</v>
      </c>
      <c r="J1711" s="24"/>
      <c r="K1711" s="11" t="b">
        <f t="shared" si="3"/>
        <v>0</v>
      </c>
    </row>
    <row r="1712" ht="22.5" customHeight="1">
      <c r="A1712" s="12">
        <f t="shared" si="4"/>
        <v>5310</v>
      </c>
      <c r="B1712" s="6" t="s">
        <v>14584</v>
      </c>
      <c r="C1712" s="7" t="str">
        <f t="shared" si="7"/>
        <v>🔊</v>
      </c>
      <c r="D1712" s="8" t="s">
        <v>14585</v>
      </c>
      <c r="E1712" s="6" t="s">
        <v>1132</v>
      </c>
      <c r="F1712" s="12" t="str">
        <f>IFERROR(__xludf.DUMMYFUNCTION("GOOGLETRANSLATE(B1712,""zh_cn"",""vi"")"),"Tại sao")</f>
        <v>Tại sao</v>
      </c>
      <c r="G1712" s="12"/>
      <c r="H1712" s="6"/>
      <c r="I1712" s="11" t="b">
        <f t="shared" si="2"/>
        <v>0</v>
      </c>
      <c r="J1712" s="24"/>
      <c r="K1712" s="11" t="b">
        <f t="shared" si="3"/>
        <v>0</v>
      </c>
    </row>
    <row r="1713" ht="22.5" customHeight="1">
      <c r="A1713" s="12">
        <f t="shared" si="4"/>
        <v>5311</v>
      </c>
      <c r="B1713" s="6" t="s">
        <v>14586</v>
      </c>
      <c r="C1713" s="7" t="str">
        <f t="shared" si="7"/>
        <v>🔊</v>
      </c>
      <c r="D1713" s="8" t="s">
        <v>14587</v>
      </c>
      <c r="E1713" s="6" t="s">
        <v>27</v>
      </c>
      <c r="F1713" s="12" t="str">
        <f>IFERROR(__xludf.DUMMYFUNCTION("GOOGLETRANSLATE(B1713,""zh_cn"",""vi"")"),"Chức vụ")</f>
        <v>Chức vụ</v>
      </c>
      <c r="G1713" s="12"/>
      <c r="H1713" s="6"/>
      <c r="I1713" s="11" t="b">
        <f t="shared" si="2"/>
        <v>0</v>
      </c>
      <c r="J1713" s="24"/>
      <c r="K1713" s="11" t="b">
        <f t="shared" si="3"/>
        <v>0</v>
      </c>
    </row>
    <row r="1714" ht="22.5" customHeight="1">
      <c r="A1714" s="12">
        <f t="shared" si="4"/>
        <v>5312</v>
      </c>
      <c r="B1714" s="6" t="s">
        <v>14588</v>
      </c>
      <c r="C1714" s="7" t="str">
        <f t="shared" si="7"/>
        <v>🔊</v>
      </c>
      <c r="D1714" s="8" t="s">
        <v>6457</v>
      </c>
      <c r="E1714" s="6" t="s">
        <v>27</v>
      </c>
      <c r="F1714" s="12" t="str">
        <f>IFERROR(__xludf.DUMMYFUNCTION("GOOGLETRANSLATE(B1714,""zh_cn"",""vi"")"),"Công việc")</f>
        <v>Công việc</v>
      </c>
      <c r="G1714" s="12"/>
      <c r="H1714" s="6"/>
      <c r="I1714" s="11" t="b">
        <f t="shared" si="2"/>
        <v>0</v>
      </c>
      <c r="J1714" s="24"/>
      <c r="K1714" s="11" t="b">
        <f t="shared" si="3"/>
        <v>0</v>
      </c>
    </row>
    <row r="1715" ht="22.5" customHeight="1">
      <c r="A1715" s="12">
        <f t="shared" si="4"/>
        <v>5313</v>
      </c>
      <c r="B1715" s="6" t="s">
        <v>14589</v>
      </c>
      <c r="C1715" s="7" t="str">
        <f t="shared" si="7"/>
        <v>🔊</v>
      </c>
      <c r="D1715" s="8" t="s">
        <v>14590</v>
      </c>
      <c r="E1715" s="6" t="s">
        <v>27</v>
      </c>
      <c r="F1715" s="12" t="str">
        <f>IFERROR(__xludf.DUMMYFUNCTION("GOOGLETRANSLATE(B1715,""zh_cn"",""vi"")"),"đặt hàng")</f>
        <v>đặt hàng</v>
      </c>
      <c r="G1715" s="12"/>
      <c r="H1715" s="6"/>
      <c r="I1715" s="11" t="b">
        <f t="shared" si="2"/>
        <v>0</v>
      </c>
      <c r="J1715" s="24"/>
      <c r="K1715" s="11" t="b">
        <f t="shared" si="3"/>
        <v>0</v>
      </c>
    </row>
    <row r="1716" ht="22.5" customHeight="1">
      <c r="A1716" s="12">
        <f t="shared" si="4"/>
        <v>5314</v>
      </c>
      <c r="B1716" s="6" t="s">
        <v>14591</v>
      </c>
      <c r="C1716" s="7" t="str">
        <f t="shared" si="7"/>
        <v>🔊</v>
      </c>
      <c r="D1716" s="8" t="s">
        <v>14592</v>
      </c>
      <c r="E1716" s="6" t="s">
        <v>13</v>
      </c>
      <c r="F1716" s="12" t="str">
        <f>IFERROR(__xludf.DUMMYFUNCTION("GOOGLETRANSLATE(B1716,""zh_cn"",""vi"")"),"câu hỏi")</f>
        <v>câu hỏi</v>
      </c>
      <c r="G1716" s="12"/>
      <c r="H1716" s="6"/>
      <c r="I1716" s="11" t="b">
        <f t="shared" si="2"/>
        <v>0</v>
      </c>
      <c r="J1716" s="24"/>
      <c r="K1716" s="11" t="b">
        <f t="shared" si="3"/>
        <v>0</v>
      </c>
    </row>
    <row r="1717" ht="22.5" customHeight="1">
      <c r="A1717" s="12">
        <f t="shared" si="4"/>
        <v>5315</v>
      </c>
      <c r="B1717" s="6" t="s">
        <v>14593</v>
      </c>
      <c r="C1717" s="7" t="str">
        <f t="shared" si="7"/>
        <v>🔊</v>
      </c>
      <c r="D1717" s="8" t="s">
        <v>14594</v>
      </c>
      <c r="E1717" s="6" t="s">
        <v>1054</v>
      </c>
      <c r="F1717" s="12" t="str">
        <f>IFERROR(__xludf.DUMMYFUNCTION("GOOGLETRANSLATE(B1717,""zh_cn"",""vi"")"),"Còn về")</f>
        <v>Còn về</v>
      </c>
      <c r="G1717" s="12"/>
      <c r="H1717" s="6"/>
      <c r="I1717" s="11" t="b">
        <f t="shared" si="2"/>
        <v>0</v>
      </c>
      <c r="J1717" s="24"/>
      <c r="K1717" s="11" t="b">
        <f t="shared" si="3"/>
        <v>0</v>
      </c>
    </row>
    <row r="1718" ht="22.5" customHeight="1">
      <c r="A1718" s="12">
        <f t="shared" si="4"/>
        <v>5316</v>
      </c>
      <c r="B1718" s="6" t="s">
        <v>14595</v>
      </c>
      <c r="C1718" s="7" t="str">
        <f t="shared" si="7"/>
        <v>🔊</v>
      </c>
      <c r="D1718" s="8" t="s">
        <v>14596</v>
      </c>
      <c r="E1718" s="6" t="s">
        <v>27</v>
      </c>
      <c r="F1718" s="12" t="str">
        <f>IFERROR(__xludf.DUMMYFUNCTION("GOOGLETRANSLATE(B1718,""zh_cn"",""vi"")"),"nhân viên")</f>
        <v>nhân viên</v>
      </c>
      <c r="G1718" s="12"/>
      <c r="H1718" s="6"/>
      <c r="I1718" s="11" t="b">
        <f t="shared" si="2"/>
        <v>0</v>
      </c>
      <c r="J1718" s="24"/>
      <c r="K1718" s="11" t="b">
        <f t="shared" si="3"/>
        <v>0</v>
      </c>
    </row>
    <row r="1719" ht="22.5" customHeight="1">
      <c r="A1719" s="12">
        <f t="shared" si="4"/>
        <v>5317</v>
      </c>
      <c r="B1719" s="6" t="s">
        <v>14597</v>
      </c>
      <c r="C1719" s="7" t="str">
        <f t="shared" si="7"/>
        <v>🔊</v>
      </c>
      <c r="D1719" s="8" t="s">
        <v>14598</v>
      </c>
      <c r="E1719" s="6" t="s">
        <v>27</v>
      </c>
      <c r="F1719" s="12" t="str">
        <f>IFERROR(__xludf.DUMMYFUNCTION("GOOGLETRANSLATE(B1719,""zh_cn"",""vi"")"),"Nhiệm vụ")</f>
        <v>Nhiệm vụ</v>
      </c>
      <c r="G1719" s="12"/>
      <c r="H1719" s="6"/>
      <c r="I1719" s="11" t="b">
        <f t="shared" si="2"/>
        <v>0</v>
      </c>
      <c r="J1719" s="24"/>
      <c r="K1719" s="11" t="b">
        <f t="shared" si="3"/>
        <v>0</v>
      </c>
    </row>
    <row r="1720" ht="22.5" customHeight="1">
      <c r="A1720" s="12">
        <f t="shared" si="4"/>
        <v>5318</v>
      </c>
      <c r="B1720" s="6" t="s">
        <v>14599</v>
      </c>
      <c r="C1720" s="7" t="str">
        <f t="shared" si="7"/>
        <v>🔊</v>
      </c>
      <c r="D1720" s="8" t="s">
        <v>14600</v>
      </c>
      <c r="E1720" s="6" t="s">
        <v>13</v>
      </c>
      <c r="F1720" s="12" t="str">
        <f>IFERROR(__xludf.DUMMYFUNCTION("GOOGLETRANSLATE(B1720,""zh_cn"",""vi"")"),"Lời buộc tội")</f>
        <v>Lời buộc tội</v>
      </c>
      <c r="G1720" s="12"/>
      <c r="H1720" s="6"/>
      <c r="I1720" s="11" t="b">
        <f t="shared" si="2"/>
        <v>0</v>
      </c>
      <c r="J1720" s="24"/>
      <c r="K1720" s="11" t="b">
        <f t="shared" si="3"/>
        <v>0</v>
      </c>
    </row>
    <row r="1721" ht="22.5" customHeight="1">
      <c r="A1721" s="12">
        <f t="shared" si="4"/>
        <v>5319</v>
      </c>
      <c r="B1721" s="6" t="s">
        <v>14601</v>
      </c>
      <c r="C1721" s="7" t="str">
        <f t="shared" si="7"/>
        <v>🔊</v>
      </c>
      <c r="D1721" s="8" t="s">
        <v>14602</v>
      </c>
      <c r="E1721" s="6" t="s">
        <v>27</v>
      </c>
      <c r="F1721" s="12" t="str">
        <f>IFERROR(__xludf.DUMMYFUNCTION("GOOGLETRANSLATE(B1721,""zh_cn"",""vi"")"),"cháu trai")</f>
        <v>cháu trai</v>
      </c>
      <c r="G1721" s="12"/>
      <c r="H1721" s="6"/>
      <c r="I1721" s="11" t="b">
        <f t="shared" si="2"/>
        <v>0</v>
      </c>
      <c r="J1721" s="24"/>
      <c r="K1721" s="11" t="b">
        <f t="shared" si="3"/>
        <v>0</v>
      </c>
    </row>
    <row r="1722" ht="22.5" customHeight="1">
      <c r="A1722" s="12">
        <f t="shared" si="4"/>
        <v>5320</v>
      </c>
      <c r="B1722" s="6" t="s">
        <v>3258</v>
      </c>
      <c r="C1722" s="7" t="str">
        <f t="shared" si="7"/>
        <v>🔊</v>
      </c>
      <c r="D1722" s="8" t="s">
        <v>6466</v>
      </c>
      <c r="E1722" s="6" t="s">
        <v>13</v>
      </c>
      <c r="F1722" s="12" t="str">
        <f>IFERROR(__xludf.DUMMYFUNCTION("GOOGLETRANSLATE(B1722,""zh_cn"",""vi"")"),"ở giữa")</f>
        <v>ở giữa</v>
      </c>
      <c r="G1722" s="12"/>
      <c r="H1722" s="6"/>
      <c r="I1722" s="11" t="b">
        <f t="shared" si="2"/>
        <v>0</v>
      </c>
      <c r="J1722" s="24"/>
      <c r="K1722" s="11" t="b">
        <f t="shared" si="3"/>
        <v>0</v>
      </c>
    </row>
    <row r="1723" ht="22.5" customHeight="1">
      <c r="A1723" s="12">
        <f t="shared" si="4"/>
        <v>5321</v>
      </c>
      <c r="B1723" s="6" t="s">
        <v>14603</v>
      </c>
      <c r="C1723" s="7" t="str">
        <f t="shared" si="7"/>
        <v>🔊</v>
      </c>
      <c r="D1723" s="8" t="s">
        <v>3256</v>
      </c>
      <c r="E1723" s="6" t="s">
        <v>13</v>
      </c>
      <c r="F1723" s="12" t="str">
        <f>IFERROR(__xludf.DUMMYFUNCTION("GOOGLETRANSLATE(B1723,""zh_cn"",""vi"")"),"sưng lên")</f>
        <v>sưng lên</v>
      </c>
      <c r="G1723" s="12"/>
      <c r="H1723" s="6"/>
      <c r="I1723" s="11" t="b">
        <f t="shared" si="2"/>
        <v>0</v>
      </c>
      <c r="J1723" s="24"/>
      <c r="K1723" s="11" t="b">
        <f t="shared" si="3"/>
        <v>0</v>
      </c>
    </row>
    <row r="1724" ht="22.5" customHeight="1">
      <c r="A1724" s="12">
        <f t="shared" si="4"/>
        <v>5322</v>
      </c>
      <c r="B1724" s="6" t="s">
        <v>14604</v>
      </c>
      <c r="C1724" s="7" t="str">
        <f t="shared" si="7"/>
        <v>🔊</v>
      </c>
      <c r="D1724" s="8" t="s">
        <v>14605</v>
      </c>
      <c r="E1724" s="6" t="s">
        <v>99</v>
      </c>
      <c r="F1724" s="12" t="str">
        <f>IFERROR(__xludf.DUMMYFUNCTION("GOOGLETRANSLATE(B1724,""zh_cn"",""vi"")"),"trung bình")</f>
        <v>trung bình</v>
      </c>
      <c r="G1724" s="12"/>
      <c r="H1724" s="6"/>
      <c r="I1724" s="11" t="b">
        <f t="shared" si="2"/>
        <v>0</v>
      </c>
      <c r="J1724" s="24"/>
      <c r="K1724" s="11" t="b">
        <f t="shared" si="3"/>
        <v>0</v>
      </c>
    </row>
    <row r="1725" ht="22.5" customHeight="1">
      <c r="A1725" s="12">
        <f t="shared" si="4"/>
        <v>5323</v>
      </c>
      <c r="B1725" s="6" t="s">
        <v>14606</v>
      </c>
      <c r="C1725" s="7" t="str">
        <f t="shared" si="7"/>
        <v>🔊</v>
      </c>
      <c r="D1725" s="8" t="s">
        <v>14607</v>
      </c>
      <c r="E1725" s="6" t="s">
        <v>13</v>
      </c>
      <c r="F1725" s="12" t="str">
        <f>IFERROR(__xludf.DUMMYFUNCTION("GOOGLETRANSLATE(B1725,""zh_cn"",""vi"")"),"Nông nghiệp")</f>
        <v>Nông nghiệp</v>
      </c>
      <c r="G1725" s="12"/>
      <c r="H1725" s="6"/>
      <c r="I1725" s="11" t="b">
        <f t="shared" si="2"/>
        <v>0</v>
      </c>
      <c r="J1725" s="24"/>
      <c r="K1725" s="11" t="b">
        <f t="shared" si="3"/>
        <v>0</v>
      </c>
    </row>
    <row r="1726" ht="22.5" customHeight="1">
      <c r="A1726" s="12">
        <f t="shared" si="4"/>
        <v>5324</v>
      </c>
      <c r="B1726" s="6" t="s">
        <v>14608</v>
      </c>
      <c r="C1726" s="7" t="str">
        <f t="shared" si="7"/>
        <v>🔊</v>
      </c>
      <c r="D1726" s="8" t="s">
        <v>14609</v>
      </c>
      <c r="E1726" s="6" t="s">
        <v>27</v>
      </c>
      <c r="F1726" s="12" t="str">
        <f>IFERROR(__xludf.DUMMYFUNCTION("GOOGLETRANSLATE(B1726,""zh_cn"",""vi"")"),"kết thúc")</f>
        <v>kết thúc</v>
      </c>
      <c r="G1726" s="12"/>
      <c r="H1726" s="6"/>
      <c r="I1726" s="11" t="b">
        <f t="shared" si="2"/>
        <v>0</v>
      </c>
      <c r="J1726" s="24"/>
      <c r="K1726" s="11" t="b">
        <f t="shared" si="3"/>
        <v>0</v>
      </c>
    </row>
    <row r="1727" ht="22.5" customHeight="1">
      <c r="A1727" s="12">
        <f t="shared" si="4"/>
        <v>5325</v>
      </c>
      <c r="B1727" s="6" t="s">
        <v>14610</v>
      </c>
      <c r="C1727" s="7" t="str">
        <f t="shared" si="7"/>
        <v>🔊</v>
      </c>
      <c r="D1727" s="8" t="s">
        <v>14611</v>
      </c>
      <c r="E1727" s="6" t="s">
        <v>13</v>
      </c>
      <c r="F1727" s="12" t="str">
        <f>IFERROR(__xludf.DUMMYFUNCTION("GOOGLETRANSLATE(B1727,""zh_cn"",""vi"")"),"Ngộ độc")</f>
        <v>Ngộ độc</v>
      </c>
      <c r="G1727" s="12"/>
      <c r="H1727" s="6"/>
      <c r="I1727" s="11" t="b">
        <f t="shared" si="2"/>
        <v>0</v>
      </c>
      <c r="J1727" s="24"/>
      <c r="K1727" s="11" t="b">
        <f t="shared" si="3"/>
        <v>0</v>
      </c>
    </row>
    <row r="1728" ht="22.5" customHeight="1">
      <c r="A1728" s="12">
        <f t="shared" si="4"/>
        <v>5326</v>
      </c>
      <c r="B1728" s="6" t="s">
        <v>14612</v>
      </c>
      <c r="C1728" s="7" t="str">
        <f t="shared" si="7"/>
        <v>🔊</v>
      </c>
      <c r="D1728" s="8" t="s">
        <v>14613</v>
      </c>
      <c r="E1728" s="6" t="s">
        <v>13</v>
      </c>
      <c r="F1728" s="12" t="str">
        <f>IFERROR(__xludf.DUMMYFUNCTION("GOOGLETRANSLATE(B1728,""zh_cn"",""vi"")"),"Sự gián đoạn")</f>
        <v>Sự gián đoạn</v>
      </c>
      <c r="G1728" s="12"/>
      <c r="H1728" s="6"/>
      <c r="I1728" s="11" t="b">
        <f t="shared" si="2"/>
        <v>0</v>
      </c>
      <c r="J1728" s="24"/>
      <c r="K1728" s="11" t="b">
        <f t="shared" si="3"/>
        <v>0</v>
      </c>
    </row>
    <row r="1729" ht="22.5" customHeight="1">
      <c r="A1729" s="12">
        <f t="shared" si="4"/>
        <v>5327</v>
      </c>
      <c r="B1729" s="6" t="s">
        <v>14614</v>
      </c>
      <c r="C1729" s="7" t="str">
        <f t="shared" si="7"/>
        <v>🔊</v>
      </c>
      <c r="D1729" s="8" t="s">
        <v>14615</v>
      </c>
      <c r="E1729" s="6" t="s">
        <v>13</v>
      </c>
      <c r="F1729" s="12" t="str">
        <f>IFERROR(__xludf.DUMMYFUNCTION("GOOGLETRANSLATE(B1729,""zh_cn"",""vi"")"),"Trúng xổ số")</f>
        <v>Trúng xổ số</v>
      </c>
      <c r="G1729" s="12"/>
      <c r="H1729" s="6"/>
      <c r="I1729" s="11" t="b">
        <f t="shared" si="2"/>
        <v>0</v>
      </c>
      <c r="J1729" s="24"/>
      <c r="K1729" s="11" t="b">
        <f t="shared" si="3"/>
        <v>0</v>
      </c>
    </row>
    <row r="1730" ht="22.5" customHeight="1">
      <c r="A1730" s="12">
        <f t="shared" si="4"/>
        <v>5328</v>
      </c>
      <c r="B1730" s="6" t="s">
        <v>14616</v>
      </c>
      <c r="C1730" s="7" t="str">
        <f t="shared" si="7"/>
        <v>🔊</v>
      </c>
      <c r="D1730" s="8" t="s">
        <v>14617</v>
      </c>
      <c r="E1730" s="6" t="s">
        <v>27</v>
      </c>
      <c r="F1730" s="12" t="str">
        <f>IFERROR(__xludf.DUMMYFUNCTION("GOOGLETRANSLATE(B1730,""zh_cn"",""vi"")"),"Mọi người")</f>
        <v>Mọi người</v>
      </c>
      <c r="G1730" s="12"/>
      <c r="H1730" s="6"/>
      <c r="I1730" s="11" t="b">
        <f t="shared" si="2"/>
        <v>0</v>
      </c>
      <c r="J1730" s="24"/>
      <c r="K1730" s="11" t="b">
        <f t="shared" si="3"/>
        <v>0</v>
      </c>
    </row>
    <row r="1731" ht="22.5" customHeight="1">
      <c r="A1731" s="12">
        <f t="shared" si="4"/>
        <v>5329</v>
      </c>
      <c r="B1731" s="6" t="s">
        <v>14618</v>
      </c>
      <c r="C1731" s="7" t="str">
        <f t="shared" si="7"/>
        <v>🔊</v>
      </c>
      <c r="D1731" s="8" t="s">
        <v>14619</v>
      </c>
      <c r="E1731" s="6" t="s">
        <v>27</v>
      </c>
      <c r="F1731" s="12" t="str">
        <f>IFERROR(__xludf.DUMMYFUNCTION("GOOGLETRANSLATE(B1731,""zh_cn"",""vi"")"),"suốt đời")</f>
        <v>suốt đời</v>
      </c>
      <c r="G1731" s="12"/>
      <c r="H1731" s="6"/>
      <c r="I1731" s="11" t="b">
        <f t="shared" si="2"/>
        <v>0</v>
      </c>
      <c r="J1731" s="24"/>
      <c r="K1731" s="11" t="b">
        <f t="shared" si="3"/>
        <v>0</v>
      </c>
    </row>
    <row r="1732" ht="22.5" customHeight="1">
      <c r="A1732" s="12">
        <f t="shared" si="4"/>
        <v>5330</v>
      </c>
      <c r="B1732" s="6" t="s">
        <v>14620</v>
      </c>
      <c r="C1732" s="7" t="str">
        <f t="shared" si="7"/>
        <v>🔊</v>
      </c>
      <c r="D1732" s="8" t="s">
        <v>14621</v>
      </c>
      <c r="E1732" s="6" t="s">
        <v>57</v>
      </c>
      <c r="F1732" s="12" t="str">
        <f>IFERROR(__xludf.DUMMYFUNCTION("GOOGLETRANSLATE(B1732,""zh_cn"",""vi"")"),"say nắng")</f>
        <v>say nắng</v>
      </c>
      <c r="G1732" s="12"/>
      <c r="H1732" s="6"/>
      <c r="I1732" s="11" t="b">
        <f t="shared" si="2"/>
        <v>0</v>
      </c>
      <c r="J1732" s="24"/>
      <c r="K1732" s="11" t="b">
        <f t="shared" si="3"/>
        <v>0</v>
      </c>
    </row>
    <row r="1733" ht="22.5" customHeight="1">
      <c r="A1733" s="12">
        <f t="shared" si="4"/>
        <v>5331</v>
      </c>
      <c r="B1733" s="6" t="s">
        <v>14622</v>
      </c>
      <c r="C1733" s="7" t="str">
        <f t="shared" si="7"/>
        <v>🔊</v>
      </c>
      <c r="D1733" s="8" t="s">
        <v>14623</v>
      </c>
      <c r="E1733" s="14"/>
      <c r="F1733" s="12" t="str">
        <f>IFERROR(__xludf.DUMMYFUNCTION("GOOGLETRANSLATE(B1733,""zh_cn"",""vi"")"),"Như mọi người đều biết")</f>
        <v>Như mọi người đều biết</v>
      </c>
      <c r="G1733" s="12"/>
      <c r="H1733" s="6"/>
      <c r="I1733" s="11" t="b">
        <f t="shared" si="2"/>
        <v>0</v>
      </c>
      <c r="J1733" s="24"/>
      <c r="K1733" s="11" t="b">
        <f t="shared" si="3"/>
        <v>0</v>
      </c>
    </row>
    <row r="1734" ht="22.5" customHeight="1">
      <c r="A1734" s="12">
        <f t="shared" si="4"/>
        <v>5332</v>
      </c>
      <c r="B1734" s="6" t="s">
        <v>14624</v>
      </c>
      <c r="C1734" s="7" t="str">
        <f t="shared" si="7"/>
        <v>🔊</v>
      </c>
      <c r="D1734" s="8" t="s">
        <v>14625</v>
      </c>
      <c r="E1734" s="6" t="s">
        <v>27</v>
      </c>
      <c r="F1734" s="12" t="str">
        <f>IFERROR(__xludf.DUMMYFUNCTION("GOOGLETRANSLATE(B1734,""zh_cn"",""vi"")"),"giờ")</f>
        <v>giờ</v>
      </c>
      <c r="G1734" s="12"/>
      <c r="H1734" s="6"/>
      <c r="I1734" s="11" t="b">
        <f t="shared" si="2"/>
        <v>0</v>
      </c>
      <c r="J1734" s="24"/>
      <c r="K1734" s="11" t="b">
        <f t="shared" si="3"/>
        <v>0</v>
      </c>
    </row>
    <row r="1735" ht="22.5" customHeight="1">
      <c r="A1735" s="12">
        <f t="shared" si="4"/>
        <v>5333</v>
      </c>
      <c r="B1735" s="6" t="s">
        <v>14626</v>
      </c>
      <c r="C1735" s="7" t="str">
        <f t="shared" si="7"/>
        <v>🔊</v>
      </c>
      <c r="D1735" s="8" t="s">
        <v>14627</v>
      </c>
      <c r="E1735" s="6" t="s">
        <v>27</v>
      </c>
      <c r="F1735" s="12" t="str">
        <f>IFERROR(__xludf.DUMMYFUNCTION("GOOGLETRANSLATE(B1735,""zh_cn"",""vi"")"),"Tâm trọng lực")</f>
        <v>Tâm trọng lực</v>
      </c>
      <c r="G1735" s="12"/>
      <c r="H1735" s="6"/>
      <c r="I1735" s="11" t="b">
        <f t="shared" si="2"/>
        <v>0</v>
      </c>
      <c r="J1735" s="24"/>
      <c r="K1735" s="11" t="b">
        <f t="shared" si="3"/>
        <v>0</v>
      </c>
    </row>
    <row r="1736" ht="22.5" customHeight="1">
      <c r="A1736" s="12">
        <f t="shared" si="4"/>
        <v>5334</v>
      </c>
      <c r="B1736" s="6" t="s">
        <v>14628</v>
      </c>
      <c r="C1736" s="7" t="str">
        <f t="shared" si="7"/>
        <v>🔊</v>
      </c>
      <c r="D1736" s="8" t="s">
        <v>14629</v>
      </c>
      <c r="E1736" s="6" t="s">
        <v>27</v>
      </c>
      <c r="F1736" s="12" t="str">
        <f>IFERROR(__xludf.DUMMYFUNCTION("GOOGLETRANSLATE(B1736,""zh_cn"",""vi"")"),"Giữa tháng")</f>
        <v>Giữa tháng</v>
      </c>
      <c r="G1736" s="12"/>
      <c r="H1736" s="6"/>
      <c r="I1736" s="11" t="b">
        <f t="shared" si="2"/>
        <v>0</v>
      </c>
      <c r="J1736" s="24"/>
      <c r="K1736" s="11" t="b">
        <f t="shared" si="3"/>
        <v>0</v>
      </c>
    </row>
    <row r="1737" ht="22.5" customHeight="1">
      <c r="A1737" s="12">
        <f t="shared" si="4"/>
        <v>5335</v>
      </c>
      <c r="B1737" s="6" t="s">
        <v>14630</v>
      </c>
      <c r="C1737" s="7" t="str">
        <f t="shared" si="7"/>
        <v>🔊</v>
      </c>
      <c r="D1737" s="8" t="s">
        <v>14631</v>
      </c>
      <c r="E1737" s="6" t="s">
        <v>27</v>
      </c>
      <c r="F1737" s="12" t="str">
        <f>IFERROR(__xludf.DUMMYFUNCTION("GOOGLETRANSLATE(B1737,""zh_cn"",""vi"")"),"trung tâm")</f>
        <v>trung tâm</v>
      </c>
      <c r="G1737" s="12"/>
      <c r="H1737" s="6"/>
      <c r="I1737" s="11" t="b">
        <f t="shared" si="2"/>
        <v>0</v>
      </c>
      <c r="J1737" s="24"/>
      <c r="K1737" s="11" t="b">
        <f t="shared" si="3"/>
        <v>0</v>
      </c>
    </row>
    <row r="1738" ht="22.5" customHeight="1">
      <c r="A1738" s="12">
        <f t="shared" si="4"/>
        <v>5336</v>
      </c>
      <c r="B1738" s="6" t="s">
        <v>14632</v>
      </c>
      <c r="C1738" s="7" t="str">
        <f t="shared" si="7"/>
        <v>🔊</v>
      </c>
      <c r="D1738" s="8" t="s">
        <v>1677</v>
      </c>
      <c r="E1738" s="6" t="s">
        <v>27</v>
      </c>
      <c r="F1738" s="12" t="str">
        <f>IFERROR(__xludf.DUMMYFUNCTION("GOOGLETRANSLATE(B1738,""zh_cn"",""vi"")"),"tình trạng")</f>
        <v>tình trạng</v>
      </c>
      <c r="G1738" s="12"/>
      <c r="H1738" s="6"/>
      <c r="I1738" s="11" t="b">
        <f t="shared" si="2"/>
        <v>0</v>
      </c>
      <c r="J1738" s="24"/>
      <c r="K1738" s="11" t="b">
        <f t="shared" si="3"/>
        <v>0</v>
      </c>
    </row>
    <row r="1739" ht="22.5" customHeight="1">
      <c r="A1739" s="12">
        <f t="shared" si="4"/>
        <v>5337</v>
      </c>
      <c r="B1739" s="6" t="s">
        <v>14633</v>
      </c>
      <c r="C1739" s="7" t="str">
        <f t="shared" si="7"/>
        <v>🔊</v>
      </c>
      <c r="D1739" s="8" t="s">
        <v>1677</v>
      </c>
      <c r="E1739" s="6" t="s">
        <v>27</v>
      </c>
      <c r="F1739" s="12" t="str">
        <f>IFERROR(__xludf.DUMMYFUNCTION("GOOGLETRANSLATE(B1739,""zh_cn"",""vi"")"),"Cháo")</f>
        <v>Cháo</v>
      </c>
      <c r="G1739" s="12"/>
      <c r="H1739" s="6"/>
      <c r="I1739" s="11" t="b">
        <f t="shared" si="2"/>
        <v>0</v>
      </c>
      <c r="J1739" s="24"/>
      <c r="K1739" s="11" t="b">
        <f t="shared" si="3"/>
        <v>0</v>
      </c>
    </row>
    <row r="1740" ht="22.5" customHeight="1">
      <c r="A1740" s="12">
        <f t="shared" si="4"/>
        <v>5338</v>
      </c>
      <c r="B1740" s="6" t="s">
        <v>14634</v>
      </c>
      <c r="C1740" s="7" t="str">
        <f t="shared" si="7"/>
        <v>🔊</v>
      </c>
      <c r="D1740" s="8" t="s">
        <v>14635</v>
      </c>
      <c r="E1740" s="6" t="s">
        <v>27</v>
      </c>
      <c r="F1740" s="12" t="str">
        <f>IFERROR(__xludf.DUMMYFUNCTION("GOOGLETRANSLATE(B1740,""zh_cn"",""vi"")"),"Khu vực xung quanh")</f>
        <v>Khu vực xung quanh</v>
      </c>
      <c r="G1740" s="12"/>
      <c r="H1740" s="6"/>
      <c r="I1740" s="11" t="b">
        <f t="shared" si="2"/>
        <v>0</v>
      </c>
      <c r="J1740" s="24"/>
      <c r="K1740" s="11" t="b">
        <f t="shared" si="3"/>
        <v>0</v>
      </c>
    </row>
    <row r="1741" ht="22.5" customHeight="1">
      <c r="A1741" s="12">
        <f t="shared" si="4"/>
        <v>5339</v>
      </c>
      <c r="B1741" s="6" t="s">
        <v>14636</v>
      </c>
      <c r="C1741" s="7" t="str">
        <f t="shared" si="7"/>
        <v>🔊</v>
      </c>
      <c r="D1741" s="8" t="s">
        <v>14637</v>
      </c>
      <c r="E1741" s="6" t="s">
        <v>99</v>
      </c>
      <c r="F1741" s="12" t="str">
        <f>IFERROR(__xludf.DUMMYFUNCTION("GOOGLETRANSLATE(B1741,""zh_cn"",""vi"")"),"chu đáo")</f>
        <v>chu đáo</v>
      </c>
      <c r="G1741" s="12"/>
      <c r="H1741" s="6"/>
      <c r="I1741" s="11" t="b">
        <f t="shared" si="2"/>
        <v>0</v>
      </c>
      <c r="J1741" s="24"/>
      <c r="K1741" s="11" t="b">
        <f t="shared" si="3"/>
        <v>0</v>
      </c>
    </row>
    <row r="1742" ht="22.5" customHeight="1">
      <c r="A1742" s="12">
        <f t="shared" si="4"/>
        <v>5340</v>
      </c>
      <c r="B1742" s="6" t="s">
        <v>14638</v>
      </c>
      <c r="C1742" s="7" t="str">
        <f t="shared" si="7"/>
        <v>🔊</v>
      </c>
      <c r="D1742" s="8" t="s">
        <v>14639</v>
      </c>
      <c r="E1742" s="6" t="s">
        <v>27</v>
      </c>
      <c r="F1742" s="12" t="str">
        <f>IFERROR(__xludf.DUMMYFUNCTION("GOOGLETRANSLATE(B1742,""zh_cn"",""vi"")"),"xe đạp")</f>
        <v>xe đạp</v>
      </c>
      <c r="G1742" s="12"/>
      <c r="H1742" s="6"/>
      <c r="I1742" s="11" t="b">
        <f t="shared" si="2"/>
        <v>0</v>
      </c>
      <c r="J1742" s="24"/>
      <c r="K1742" s="11" t="b">
        <f t="shared" si="3"/>
        <v>0</v>
      </c>
    </row>
    <row r="1743" ht="22.5" customHeight="1">
      <c r="A1743" s="12">
        <f t="shared" si="4"/>
        <v>5341</v>
      </c>
      <c r="B1743" s="6" t="s">
        <v>14640</v>
      </c>
      <c r="C1743" s="7" t="str">
        <f t="shared" si="7"/>
        <v>🔊</v>
      </c>
      <c r="D1743" s="8" t="s">
        <v>11123</v>
      </c>
      <c r="E1743" s="6" t="s">
        <v>47</v>
      </c>
      <c r="F1743" s="12" t="str">
        <f>IFERROR(__xludf.DUMMYFUNCTION("GOOGLETRANSLATE(B1743,""zh_cn"",""vi"")"),"sự căng thẳng")</f>
        <v>sự căng thẳng</v>
      </c>
      <c r="G1743" s="12"/>
      <c r="H1743" s="6"/>
      <c r="I1743" s="11" t="b">
        <f t="shared" si="2"/>
        <v>0</v>
      </c>
      <c r="J1743" s="24"/>
      <c r="K1743" s="11" t="b">
        <f t="shared" si="3"/>
        <v>0</v>
      </c>
    </row>
    <row r="1744" ht="22.5" customHeight="1">
      <c r="A1744" s="12">
        <f t="shared" si="4"/>
        <v>5342</v>
      </c>
      <c r="B1744" s="6" t="s">
        <v>1665</v>
      </c>
      <c r="C1744" s="7" t="str">
        <f t="shared" si="7"/>
        <v>🔊</v>
      </c>
      <c r="D1744" s="8" t="s">
        <v>6488</v>
      </c>
      <c r="E1744" s="6" t="s">
        <v>13</v>
      </c>
      <c r="F1744" s="12" t="str">
        <f>IFERROR(__xludf.DUMMYFUNCTION("GOOGLETRANSLATE(B1744,""zh_cn"",""vi"")"),"thay đổi")</f>
        <v>thay đổi</v>
      </c>
      <c r="G1744" s="12"/>
      <c r="H1744" s="6"/>
      <c r="I1744" s="11" t="b">
        <f t="shared" si="2"/>
        <v>0</v>
      </c>
      <c r="J1744" s="24"/>
      <c r="K1744" s="11" t="b">
        <f t="shared" si="3"/>
        <v>0</v>
      </c>
    </row>
    <row r="1745" ht="22.5" customHeight="1">
      <c r="A1745" s="12">
        <f t="shared" si="4"/>
        <v>5343</v>
      </c>
      <c r="B1745" s="6" t="s">
        <v>14641</v>
      </c>
      <c r="C1745" s="7" t="str">
        <f t="shared" si="7"/>
        <v>🔊</v>
      </c>
      <c r="D1745" s="8" t="s">
        <v>14642</v>
      </c>
      <c r="E1745" s="6" t="s">
        <v>27</v>
      </c>
      <c r="F1745" s="12" t="str">
        <f>IFERROR(__xludf.DUMMYFUNCTION("GOOGLETRANSLATE(B1745,""zh_cn"",""vi"")"),"gạch")</f>
        <v>gạch</v>
      </c>
      <c r="G1745" s="12"/>
      <c r="H1745" s="6"/>
      <c r="I1745" s="11" t="b">
        <f t="shared" si="2"/>
        <v>0</v>
      </c>
      <c r="J1745" s="24"/>
      <c r="K1745" s="11" t="b">
        <f t="shared" si="3"/>
        <v>0</v>
      </c>
    </row>
    <row r="1746" ht="22.5" customHeight="1">
      <c r="A1746" s="12">
        <f t="shared" si="4"/>
        <v>5344</v>
      </c>
      <c r="B1746" s="6" t="s">
        <v>14643</v>
      </c>
      <c r="C1746" s="7" t="str">
        <f t="shared" si="7"/>
        <v>🔊</v>
      </c>
      <c r="D1746" s="8" t="s">
        <v>14644</v>
      </c>
      <c r="E1746" s="6" t="s">
        <v>13</v>
      </c>
      <c r="F1746" s="12" t="str">
        <f>IFERROR(__xludf.DUMMYFUNCTION("GOOGLETRANSLATE(B1746,""zh_cn"",""vi"")"),"Xoay")</f>
        <v>Xoay</v>
      </c>
      <c r="G1746" s="12"/>
      <c r="H1746" s="6"/>
      <c r="I1746" s="11" t="b">
        <f t="shared" si="2"/>
        <v>0</v>
      </c>
      <c r="J1746" s="24"/>
      <c r="K1746" s="11" t="b">
        <f t="shared" si="3"/>
        <v>0</v>
      </c>
    </row>
    <row r="1747" ht="22.5" customHeight="1">
      <c r="A1747" s="12">
        <f t="shared" si="4"/>
        <v>5345</v>
      </c>
      <c r="B1747" s="6" t="s">
        <v>14645</v>
      </c>
      <c r="C1747" s="7" t="str">
        <f t="shared" si="7"/>
        <v>🔊</v>
      </c>
      <c r="D1747" s="8" t="s">
        <v>14646</v>
      </c>
      <c r="E1747" s="6" t="s">
        <v>232</v>
      </c>
      <c r="F1747" s="12" t="str">
        <f>IFERROR(__xludf.DUMMYFUNCTION("GOOGLETRANSLATE(B1747,""zh_cn"",""vi"")"),"thiết bị")</f>
        <v>thiết bị</v>
      </c>
      <c r="G1747" s="12"/>
      <c r="H1747" s="6"/>
      <c r="I1747" s="11" t="b">
        <f t="shared" si="2"/>
        <v>0</v>
      </c>
      <c r="J1747" s="24"/>
      <c r="K1747" s="11" t="b">
        <f t="shared" si="3"/>
        <v>0</v>
      </c>
    </row>
    <row r="1748" ht="22.5" customHeight="1">
      <c r="A1748" s="12">
        <f t="shared" si="4"/>
        <v>5346</v>
      </c>
      <c r="B1748" s="6" t="s">
        <v>14647</v>
      </c>
      <c r="C1748" s="7" t="str">
        <f t="shared" si="7"/>
        <v>🔊</v>
      </c>
      <c r="D1748" s="8" t="s">
        <v>14648</v>
      </c>
      <c r="E1748" s="6" t="s">
        <v>27</v>
      </c>
      <c r="F1748" s="12" t="str">
        <f>IFERROR(__xludf.DUMMYFUNCTION("GOOGLETRANSLATE(B1748,""zh_cn"",""vi"")"),"cây trồng")</f>
        <v>cây trồng</v>
      </c>
      <c r="G1748" s="12"/>
      <c r="H1748" s="6"/>
      <c r="I1748" s="11" t="b">
        <f t="shared" si="2"/>
        <v>0</v>
      </c>
      <c r="J1748" s="24"/>
      <c r="K1748" s="11" t="b">
        <f t="shared" si="3"/>
        <v>0</v>
      </c>
    </row>
    <row r="1749" ht="22.5" customHeight="1">
      <c r="A1749" s="12">
        <f t="shared" si="4"/>
        <v>5347</v>
      </c>
      <c r="B1749" s="6" t="s">
        <v>14649</v>
      </c>
      <c r="C1749" s="7" t="str">
        <f t="shared" si="7"/>
        <v>🔊</v>
      </c>
      <c r="D1749" s="8" t="s">
        <v>14650</v>
      </c>
      <c r="E1749" s="6" t="s">
        <v>13</v>
      </c>
      <c r="F1749" s="12" t="str">
        <f>IFERROR(__xludf.DUMMYFUNCTION("GOOGLETRANSLATE(B1749,""zh_cn"",""vi"")"),"Chuyển đổi")</f>
        <v>Chuyển đổi</v>
      </c>
      <c r="G1749" s="12"/>
      <c r="H1749" s="6"/>
      <c r="I1749" s="11" t="b">
        <f t="shared" si="2"/>
        <v>0</v>
      </c>
      <c r="J1749" s="24"/>
      <c r="K1749" s="11" t="b">
        <f t="shared" si="3"/>
        <v>0</v>
      </c>
    </row>
    <row r="1750" ht="22.5" customHeight="1">
      <c r="A1750" s="12">
        <f t="shared" si="4"/>
        <v>5348</v>
      </c>
      <c r="B1750" s="6" t="s">
        <v>14651</v>
      </c>
      <c r="C1750" s="7" t="str">
        <f t="shared" si="7"/>
        <v>🔊</v>
      </c>
      <c r="D1750" s="8" t="s">
        <v>14652</v>
      </c>
      <c r="E1750" s="6" t="s">
        <v>13</v>
      </c>
      <c r="F1750" s="12" t="str">
        <f>IFERROR(__xludf.DUMMYFUNCTION("GOOGLETRANSLATE(B1750,""zh_cn"",""vi"")"),"Chuyển khoản")</f>
        <v>Chuyển khoản</v>
      </c>
      <c r="G1750" s="12"/>
      <c r="H1750" s="6"/>
      <c r="I1750" s="11" t="b">
        <f t="shared" si="2"/>
        <v>0</v>
      </c>
      <c r="J1750" s="24"/>
      <c r="K1750" s="11" t="b">
        <f t="shared" si="3"/>
        <v>0</v>
      </c>
    </row>
    <row r="1751" ht="22.5" customHeight="1">
      <c r="A1751" s="12">
        <f t="shared" si="4"/>
        <v>5349</v>
      </c>
      <c r="B1751" s="6" t="s">
        <v>14653</v>
      </c>
      <c r="C1751" s="7" t="str">
        <f t="shared" si="7"/>
        <v>🔊</v>
      </c>
      <c r="D1751" s="8" t="s">
        <v>14654</v>
      </c>
      <c r="E1751" s="6" t="s">
        <v>27</v>
      </c>
      <c r="F1751" s="12" t="str">
        <f>IFERROR(__xludf.DUMMYFUNCTION("GOOGLETRANSLATE(B1751,""zh_cn"",""vi"")"),"Bằng Cao đẳng")</f>
        <v>Bằng Cao đẳng</v>
      </c>
      <c r="G1751" s="12"/>
      <c r="H1751" s="6"/>
      <c r="I1751" s="11" t="b">
        <f t="shared" si="2"/>
        <v>0</v>
      </c>
      <c r="J1751" s="24"/>
      <c r="K1751" s="11" t="b">
        <f t="shared" si="3"/>
        <v>0</v>
      </c>
    </row>
    <row r="1752" ht="22.5" customHeight="1">
      <c r="A1752" s="12">
        <f t="shared" si="4"/>
        <v>5350</v>
      </c>
      <c r="B1752" s="6" t="s">
        <v>14655</v>
      </c>
      <c r="C1752" s="7" t="str">
        <f t="shared" si="7"/>
        <v>🔊</v>
      </c>
      <c r="D1752" s="8" t="s">
        <v>14656</v>
      </c>
      <c r="E1752" s="6" t="s">
        <v>27</v>
      </c>
      <c r="F1752" s="12" t="str">
        <f>IFERROR(__xludf.DUMMYFUNCTION("GOOGLETRANSLATE(B1752,""zh_cn"",""vi"")"),"bằng sáng chế")</f>
        <v>bằng sáng chế</v>
      </c>
      <c r="G1752" s="12"/>
      <c r="H1752" s="6"/>
      <c r="I1752" s="11" t="b">
        <f t="shared" si="2"/>
        <v>0</v>
      </c>
      <c r="J1752" s="24"/>
      <c r="K1752" s="11" t="b">
        <f t="shared" si="3"/>
        <v>0</v>
      </c>
    </row>
    <row r="1753" ht="22.5" customHeight="1">
      <c r="A1753" s="12">
        <f t="shared" si="4"/>
        <v>5351</v>
      </c>
      <c r="B1753" s="6" t="s">
        <v>14657</v>
      </c>
      <c r="C1753" s="7" t="str">
        <f t="shared" si="7"/>
        <v>🔊</v>
      </c>
      <c r="D1753" s="8" t="s">
        <v>14658</v>
      </c>
      <c r="E1753" s="6" t="s">
        <v>13</v>
      </c>
      <c r="F1753" s="12" t="str">
        <f>IFERROR(__xludf.DUMMYFUNCTION("GOOGLETRANSLATE(B1753,""zh_cn"",""vi"")"),"chuyển khoản")</f>
        <v>chuyển khoản</v>
      </c>
      <c r="G1753" s="12"/>
      <c r="H1753" s="6"/>
      <c r="I1753" s="11" t="b">
        <f t="shared" si="2"/>
        <v>0</v>
      </c>
      <c r="J1753" s="24"/>
      <c r="K1753" s="11" t="b">
        <f t="shared" si="3"/>
        <v>0</v>
      </c>
    </row>
    <row r="1754" ht="22.5" customHeight="1">
      <c r="A1754" s="12">
        <f t="shared" si="4"/>
        <v>5352</v>
      </c>
      <c r="B1754" s="6" t="s">
        <v>14659</v>
      </c>
      <c r="C1754" s="7" t="str">
        <f t="shared" si="7"/>
        <v>🔊</v>
      </c>
      <c r="D1754" s="8" t="s">
        <v>14660</v>
      </c>
      <c r="E1754" s="6" t="s">
        <v>13</v>
      </c>
      <c r="F1754" s="12" t="str">
        <f>IFERROR(__xludf.DUMMYFUNCTION("GOOGLETRANSLATE(B1754,""zh_cn"",""vi"")"),"Quay lại")</f>
        <v>Quay lại</v>
      </c>
      <c r="G1754" s="12"/>
      <c r="H1754" s="6"/>
      <c r="I1754" s="11" t="b">
        <f t="shared" si="2"/>
        <v>0</v>
      </c>
      <c r="J1754" s="24"/>
      <c r="K1754" s="11" t="b">
        <f t="shared" si="3"/>
        <v>0</v>
      </c>
    </row>
    <row r="1755" ht="22.5" customHeight="1">
      <c r="A1755" s="12">
        <f t="shared" si="4"/>
        <v>5353</v>
      </c>
      <c r="B1755" s="6" t="s">
        <v>14661</v>
      </c>
      <c r="C1755" s="7" t="str">
        <f t="shared" si="7"/>
        <v>🔊</v>
      </c>
      <c r="D1755" s="8" t="s">
        <v>14662</v>
      </c>
      <c r="E1755" s="6" t="s">
        <v>27</v>
      </c>
      <c r="F1755" s="12" t="str">
        <f>IFERROR(__xludf.DUMMYFUNCTION("GOOGLETRANSLATE(B1755,""zh_cn"",""vi"")"),"Chủ đề đặc biệt")</f>
        <v>Chủ đề đặc biệt</v>
      </c>
      <c r="G1755" s="12"/>
      <c r="H1755" s="6"/>
      <c r="I1755" s="11" t="b">
        <f t="shared" si="2"/>
        <v>0</v>
      </c>
      <c r="J1755" s="24"/>
      <c r="K1755" s="11" t="b">
        <f t="shared" si="3"/>
        <v>0</v>
      </c>
    </row>
    <row r="1756" ht="22.5" customHeight="1">
      <c r="A1756" s="12">
        <f t="shared" si="4"/>
        <v>5354</v>
      </c>
      <c r="B1756" s="6" t="s">
        <v>14663</v>
      </c>
      <c r="C1756" s="7" t="str">
        <f t="shared" si="7"/>
        <v>🔊</v>
      </c>
      <c r="D1756" s="8" t="s">
        <v>14664</v>
      </c>
      <c r="E1756" s="6" t="s">
        <v>13</v>
      </c>
      <c r="F1756" s="12" t="str">
        <f>IFERROR(__xludf.DUMMYFUNCTION("GOOGLETRANSLATE(B1756,""zh_cn"",""vi"")"),"Chuyển khoản")</f>
        <v>Chuyển khoản</v>
      </c>
      <c r="G1756" s="12"/>
      <c r="H1756" s="6"/>
      <c r="I1756" s="11" t="b">
        <f t="shared" si="2"/>
        <v>0</v>
      </c>
      <c r="J1756" s="24"/>
      <c r="K1756" s="11" t="b">
        <f t="shared" si="3"/>
        <v>0</v>
      </c>
    </row>
    <row r="1757" ht="22.5" customHeight="1">
      <c r="A1757" s="12">
        <f t="shared" si="4"/>
        <v>5355</v>
      </c>
      <c r="B1757" s="6" t="s">
        <v>14665</v>
      </c>
      <c r="C1757" s="7" t="str">
        <f t="shared" si="7"/>
        <v>🔊</v>
      </c>
      <c r="D1757" s="8" t="s">
        <v>14666</v>
      </c>
      <c r="E1757" s="6" t="s">
        <v>13</v>
      </c>
      <c r="F1757" s="12" t="str">
        <f>IFERROR(__xludf.DUMMYFUNCTION("GOOGLETRANSLATE(B1757,""zh_cn"",""vi"")"),"tận tụy")</f>
        <v>tận tụy</v>
      </c>
      <c r="G1757" s="12"/>
      <c r="H1757" s="6"/>
      <c r="I1757" s="11" t="b">
        <f t="shared" si="2"/>
        <v>0</v>
      </c>
      <c r="J1757" s="24"/>
      <c r="K1757" s="11" t="b">
        <f t="shared" si="3"/>
        <v>0</v>
      </c>
    </row>
    <row r="1758" ht="22.5" customHeight="1">
      <c r="A1758" s="12">
        <f t="shared" si="4"/>
        <v>5356</v>
      </c>
      <c r="B1758" s="6" t="s">
        <v>14667</v>
      </c>
      <c r="C1758" s="7" t="str">
        <f t="shared" si="7"/>
        <v>🔊</v>
      </c>
      <c r="D1758" s="8" t="s">
        <v>14668</v>
      </c>
      <c r="E1758" s="6" t="s">
        <v>99</v>
      </c>
      <c r="F1758" s="12" t="str">
        <f>IFERROR(__xludf.DUMMYFUNCTION("GOOGLETRANSLATE(B1758,""zh_cn"",""vi"")"),"Tập trung")</f>
        <v>Tập trung</v>
      </c>
      <c r="G1758" s="12"/>
      <c r="H1758" s="6"/>
      <c r="I1758" s="11" t="b">
        <f t="shared" si="2"/>
        <v>0</v>
      </c>
      <c r="J1758" s="24"/>
      <c r="K1758" s="11" t="b">
        <f t="shared" si="3"/>
        <v>0</v>
      </c>
    </row>
    <row r="1759" ht="22.5" customHeight="1">
      <c r="A1759" s="12">
        <f t="shared" si="4"/>
        <v>5357</v>
      </c>
      <c r="B1759" s="6" t="s">
        <v>14669</v>
      </c>
      <c r="C1759" s="7" t="str">
        <f t="shared" si="7"/>
        <v>🔊</v>
      </c>
      <c r="D1759" s="8" t="s">
        <v>14670</v>
      </c>
      <c r="E1759" s="6" t="s">
        <v>13</v>
      </c>
      <c r="F1759" s="12" t="str">
        <f>IFERROR(__xludf.DUMMYFUNCTION("GOOGLETRANSLATE(B1759,""zh_cn"",""vi"")"),"chủ nhà")</f>
        <v>chủ nhà</v>
      </c>
      <c r="G1759" s="12"/>
      <c r="H1759" s="6"/>
      <c r="I1759" s="11" t="b">
        <f t="shared" si="2"/>
        <v>0</v>
      </c>
      <c r="J1759" s="24"/>
      <c r="K1759" s="11" t="b">
        <f t="shared" si="3"/>
        <v>0</v>
      </c>
    </row>
    <row r="1760" ht="22.5" customHeight="1">
      <c r="A1760" s="12">
        <f t="shared" si="4"/>
        <v>5358</v>
      </c>
      <c r="B1760" s="6" t="s">
        <v>14671</v>
      </c>
      <c r="C1760" s="7" t="str">
        <f t="shared" si="7"/>
        <v>🔊</v>
      </c>
      <c r="D1760" s="8" t="s">
        <v>14672</v>
      </c>
      <c r="E1760" s="6" t="s">
        <v>27</v>
      </c>
      <c r="F1760" s="12" t="str">
        <f>IFERROR(__xludf.DUMMYFUNCTION("GOOGLETRANSLATE(B1760,""zh_cn"",""vi"")"),"Trang sức")</f>
        <v>Trang sức</v>
      </c>
      <c r="G1760" s="12"/>
      <c r="H1760" s="6"/>
      <c r="I1760" s="11" t="b">
        <f t="shared" si="2"/>
        <v>0</v>
      </c>
      <c r="J1760" s="24"/>
      <c r="K1760" s="11" t="b">
        <f t="shared" si="3"/>
        <v>0</v>
      </c>
    </row>
    <row r="1761" ht="22.5" customHeight="1">
      <c r="A1761" s="12">
        <f t="shared" si="4"/>
        <v>5359</v>
      </c>
      <c r="B1761" s="6" t="s">
        <v>14673</v>
      </c>
      <c r="C1761" s="7" t="str">
        <f t="shared" si="7"/>
        <v>🔊</v>
      </c>
      <c r="D1761" s="8" t="s">
        <v>14674</v>
      </c>
      <c r="E1761" s="6" t="s">
        <v>232</v>
      </c>
      <c r="F1761" s="12" t="str">
        <f>IFERROR(__xludf.DUMMYFUNCTION("GOOGLETRANSLATE(B1761,""zh_cn"",""vi"")"),"neo")</f>
        <v>neo</v>
      </c>
      <c r="G1761" s="12"/>
      <c r="H1761" s="6"/>
      <c r="I1761" s="11" t="b">
        <f t="shared" si="2"/>
        <v>0</v>
      </c>
      <c r="J1761" s="24"/>
      <c r="K1761" s="11" t="b">
        <f t="shared" si="3"/>
        <v>0</v>
      </c>
    </row>
    <row r="1762" ht="22.5" customHeight="1">
      <c r="A1762" s="12">
        <f t="shared" si="4"/>
        <v>5360</v>
      </c>
      <c r="B1762" s="6" t="s">
        <v>14675</v>
      </c>
      <c r="C1762" s="7" t="str">
        <f t="shared" si="7"/>
        <v>🔊</v>
      </c>
      <c r="D1762" s="8" t="s">
        <v>14676</v>
      </c>
      <c r="E1762" s="6" t="s">
        <v>232</v>
      </c>
      <c r="F1762" s="12" t="str">
        <f>IFERROR(__xludf.DUMMYFUNCTION("GOOGLETRANSLATE(B1762,""zh_cn"",""vi"")"),"dẫn đầu")</f>
        <v>dẫn đầu</v>
      </c>
      <c r="G1762" s="12"/>
      <c r="H1762" s="6"/>
      <c r="I1762" s="11" t="b">
        <f t="shared" si="2"/>
        <v>0</v>
      </c>
      <c r="J1762" s="24"/>
      <c r="K1762" s="11" t="b">
        <f t="shared" si="3"/>
        <v>0</v>
      </c>
    </row>
    <row r="1763" ht="22.5" customHeight="1">
      <c r="A1763" s="12">
        <f t="shared" si="4"/>
        <v>5361</v>
      </c>
      <c r="B1763" s="6" t="s">
        <v>14677</v>
      </c>
      <c r="C1763" s="7" t="str">
        <f t="shared" si="7"/>
        <v>🔊</v>
      </c>
      <c r="D1763" s="8" t="s">
        <v>14678</v>
      </c>
      <c r="E1763" s="6" t="s">
        <v>99</v>
      </c>
      <c r="F1763" s="12" t="str">
        <f>IFERROR(__xludf.DUMMYFUNCTION("GOOGLETRANSLATE(B1763,""zh_cn"",""vi"")"),"Nhiều")</f>
        <v>Nhiều</v>
      </c>
      <c r="G1763" s="12"/>
      <c r="H1763" s="6"/>
      <c r="I1763" s="11" t="b">
        <f t="shared" si="2"/>
        <v>0</v>
      </c>
      <c r="J1763" s="24"/>
      <c r="K1763" s="11" t="b">
        <f t="shared" si="3"/>
        <v>0</v>
      </c>
    </row>
    <row r="1764" ht="22.5" customHeight="1">
      <c r="A1764" s="12">
        <f t="shared" si="4"/>
        <v>5362</v>
      </c>
      <c r="B1764" s="6" t="s">
        <v>14679</v>
      </c>
      <c r="C1764" s="7" t="str">
        <f t="shared" si="7"/>
        <v>🔊</v>
      </c>
      <c r="D1764" s="8" t="s">
        <v>14680</v>
      </c>
      <c r="E1764" s="6" t="s">
        <v>13</v>
      </c>
      <c r="F1764" s="12" t="str">
        <f>IFERROR(__xludf.DUMMYFUNCTION("GOOGLETRANSLATE(B1764,""zh_cn"",""vi"")"),"chúc phúc")</f>
        <v>chúc phúc</v>
      </c>
      <c r="G1764" s="12"/>
      <c r="H1764" s="6"/>
      <c r="I1764" s="11" t="b">
        <f t="shared" si="2"/>
        <v>0</v>
      </c>
      <c r="J1764" s="24"/>
      <c r="K1764" s="11" t="b">
        <f t="shared" si="3"/>
        <v>0</v>
      </c>
    </row>
    <row r="1765" ht="22.5" customHeight="1">
      <c r="A1765" s="12">
        <f t="shared" si="4"/>
        <v>5363</v>
      </c>
      <c r="B1765" s="6" t="s">
        <v>14681</v>
      </c>
      <c r="C1765" s="7" t="str">
        <f t="shared" si="7"/>
        <v>🔊</v>
      </c>
      <c r="D1765" s="8" t="s">
        <v>14682</v>
      </c>
      <c r="E1765" s="6" t="s">
        <v>232</v>
      </c>
      <c r="F1765" s="12" t="str">
        <f>IFERROR(__xludf.DUMMYFUNCTION("GOOGLETRANSLATE(B1765,""zh_cn"",""vi"")"),"giám đốc")</f>
        <v>giám đốc</v>
      </c>
      <c r="G1765" s="12"/>
      <c r="H1765" s="6"/>
      <c r="I1765" s="11" t="b">
        <f t="shared" si="2"/>
        <v>0</v>
      </c>
      <c r="J1765" s="24"/>
      <c r="K1765" s="11" t="b">
        <f t="shared" si="3"/>
        <v>0</v>
      </c>
    </row>
    <row r="1766" ht="22.5" customHeight="1">
      <c r="A1766" s="12">
        <f t="shared" si="4"/>
        <v>5364</v>
      </c>
      <c r="B1766" s="6" t="s">
        <v>14683</v>
      </c>
      <c r="C1766" s="7" t="str">
        <f t="shared" si="7"/>
        <v>🔊</v>
      </c>
      <c r="D1766" s="8" t="s">
        <v>14684</v>
      </c>
      <c r="E1766" s="6" t="s">
        <v>13</v>
      </c>
      <c r="F1766" s="12" t="str">
        <f>IFERROR(__xludf.DUMMYFUNCTION("GOOGLETRANSLATE(B1766,""zh_cn"",""vi"")"),"Theo đuổi")</f>
        <v>Theo đuổi</v>
      </c>
      <c r="G1766" s="12"/>
      <c r="H1766" s="6"/>
      <c r="I1766" s="11" t="b">
        <f t="shared" si="2"/>
        <v>0</v>
      </c>
      <c r="J1766" s="24"/>
      <c r="K1766" s="11" t="b">
        <f t="shared" si="3"/>
        <v>0</v>
      </c>
    </row>
    <row r="1767" ht="22.5" customHeight="1">
      <c r="A1767" s="12">
        <f t="shared" si="4"/>
        <v>5365</v>
      </c>
      <c r="B1767" s="6" t="s">
        <v>14685</v>
      </c>
      <c r="C1767" s="7" t="str">
        <f t="shared" si="7"/>
        <v>🔊</v>
      </c>
      <c r="D1767" s="8" t="s">
        <v>14686</v>
      </c>
      <c r="E1767" s="6" t="s">
        <v>27</v>
      </c>
      <c r="F1767" s="12" t="str">
        <f>IFERROR(__xludf.DUMMYFUNCTION("GOOGLETRANSLATE(B1767,""zh_cn"",""vi"")"),"nhân vật chính")</f>
        <v>nhân vật chính</v>
      </c>
      <c r="G1767" s="12"/>
      <c r="H1767" s="6"/>
      <c r="I1767" s="11" t="b">
        <f t="shared" si="2"/>
        <v>0</v>
      </c>
      <c r="J1767" s="24"/>
      <c r="K1767" s="11" t="b">
        <f t="shared" si="3"/>
        <v>0</v>
      </c>
    </row>
    <row r="1768" ht="22.5" customHeight="1">
      <c r="A1768" s="12">
        <f t="shared" si="4"/>
        <v>5366</v>
      </c>
      <c r="B1768" s="6" t="s">
        <v>14687</v>
      </c>
      <c r="C1768" s="7" t="str">
        <f t="shared" si="7"/>
        <v>🔊</v>
      </c>
      <c r="D1768" s="8" t="s">
        <v>14688</v>
      </c>
      <c r="E1768" s="6" t="s">
        <v>1164</v>
      </c>
      <c r="F1768" s="12" t="str">
        <f>IFERROR(__xludf.DUMMYFUNCTION("GOOGLETRANSLATE(B1768,""zh_cn"",""vi"")"),"trợ lý")</f>
        <v>trợ lý</v>
      </c>
      <c r="G1768" s="12"/>
      <c r="H1768" s="6"/>
      <c r="I1768" s="11" t="b">
        <f t="shared" si="2"/>
        <v>0</v>
      </c>
      <c r="J1768" s="24"/>
      <c r="K1768" s="11" t="b">
        <f t="shared" si="3"/>
        <v>0</v>
      </c>
    </row>
    <row r="1769" ht="22.5" customHeight="1">
      <c r="A1769" s="12">
        <f t="shared" si="4"/>
        <v>5367</v>
      </c>
      <c r="B1769" s="6" t="s">
        <v>14689</v>
      </c>
      <c r="C1769" s="7" t="str">
        <f t="shared" si="7"/>
        <v>🔊</v>
      </c>
      <c r="D1769" s="8" t="s">
        <v>14690</v>
      </c>
      <c r="E1769" s="6" t="s">
        <v>27</v>
      </c>
      <c r="F1769" s="12" t="str">
        <f>IFERROR(__xludf.DUMMYFUNCTION("GOOGLETRANSLATE(B1769,""zh_cn"",""vi"")"),"chính thống")</f>
        <v>chính thống</v>
      </c>
      <c r="G1769" s="12"/>
      <c r="H1769" s="6"/>
      <c r="I1769" s="11" t="b">
        <f t="shared" si="2"/>
        <v>0</v>
      </c>
      <c r="J1769" s="24"/>
      <c r="K1769" s="11" t="b">
        <f t="shared" si="3"/>
        <v>0</v>
      </c>
    </row>
    <row r="1770" ht="22.5" customHeight="1">
      <c r="A1770" s="12">
        <f t="shared" si="4"/>
        <v>5368</v>
      </c>
      <c r="B1770" s="6" t="s">
        <v>14691</v>
      </c>
      <c r="C1770" s="7" t="str">
        <f t="shared" si="7"/>
        <v>🔊</v>
      </c>
      <c r="D1770" s="8" t="s">
        <v>14692</v>
      </c>
      <c r="E1770" s="6" t="s">
        <v>13</v>
      </c>
      <c r="F1770" s="12" t="str">
        <f>IFERROR(__xludf.DUMMYFUNCTION("GOOGLETRANSLATE(B1770,""zh_cn"",""vi"")"),"nắm lấy")</f>
        <v>nắm lấy</v>
      </c>
      <c r="G1770" s="12"/>
      <c r="H1770" s="6"/>
      <c r="I1770" s="11" t="b">
        <f t="shared" si="2"/>
        <v>0</v>
      </c>
      <c r="J1770" s="24"/>
      <c r="K1770" s="11" t="b">
        <f t="shared" si="3"/>
        <v>0</v>
      </c>
    </row>
    <row r="1771" ht="22.5" customHeight="1">
      <c r="A1771" s="12">
        <f t="shared" si="4"/>
        <v>5369</v>
      </c>
      <c r="B1771" s="6" t="s">
        <v>14693</v>
      </c>
      <c r="C1771" s="7" t="str">
        <f t="shared" si="7"/>
        <v>🔊</v>
      </c>
      <c r="D1771" s="8" t="s">
        <v>14694</v>
      </c>
      <c r="E1771" s="6" t="s">
        <v>27</v>
      </c>
      <c r="F1771" s="12" t="str">
        <f>IFERROR(__xludf.DUMMYFUNCTION("GOOGLETRANSLATE(B1771,""zh_cn"",""vi"")"),"trợ lý")</f>
        <v>trợ lý</v>
      </c>
      <c r="G1771" s="12"/>
      <c r="H1771" s="6"/>
      <c r="I1771" s="11" t="b">
        <f t="shared" si="2"/>
        <v>0</v>
      </c>
      <c r="J1771" s="24"/>
      <c r="K1771" s="11" t="b">
        <f t="shared" si="3"/>
        <v>0</v>
      </c>
    </row>
    <row r="1772" ht="22.5" customHeight="1">
      <c r="A1772" s="12">
        <f t="shared" si="4"/>
        <v>5370</v>
      </c>
      <c r="B1772" s="6" t="s">
        <v>14695</v>
      </c>
      <c r="C1772" s="7" t="str">
        <f t="shared" si="7"/>
        <v>🔊</v>
      </c>
      <c r="D1772" s="8" t="s">
        <v>14696</v>
      </c>
      <c r="E1772" s="6" t="s">
        <v>232</v>
      </c>
      <c r="F1772" s="12" t="str">
        <f>IFERROR(__xludf.DUMMYFUNCTION("GOOGLETRANSLATE(B1772,""zh_cn"",""vi"")"),"Diễn viên chính")</f>
        <v>Diễn viên chính</v>
      </c>
      <c r="G1772" s="12"/>
      <c r="H1772" s="6"/>
      <c r="I1772" s="11" t="b">
        <f t="shared" si="2"/>
        <v>0</v>
      </c>
      <c r="J1772" s="24"/>
      <c r="K1772" s="11" t="b">
        <f t="shared" si="3"/>
        <v>0</v>
      </c>
    </row>
    <row r="1773" ht="22.5" customHeight="1">
      <c r="A1773" s="12">
        <f t="shared" si="4"/>
        <v>5371</v>
      </c>
      <c r="B1773" s="6" t="s">
        <v>14697</v>
      </c>
      <c r="C1773" s="7" t="str">
        <f t="shared" si="7"/>
        <v>🔊</v>
      </c>
      <c r="D1773" s="8" t="s">
        <v>3280</v>
      </c>
      <c r="E1773" s="6" t="s">
        <v>13</v>
      </c>
      <c r="F1773" s="12" t="str">
        <f>IFERROR(__xludf.DUMMYFUNCTION("GOOGLETRANSLATE(B1773,""zh_cn"",""vi"")"),"ước")</f>
        <v>ước</v>
      </c>
      <c r="G1773" s="12"/>
      <c r="H1773" s="6"/>
      <c r="I1773" s="11" t="b">
        <f t="shared" si="2"/>
        <v>0</v>
      </c>
      <c r="J1773" s="24"/>
      <c r="K1773" s="11" t="b">
        <f t="shared" si="3"/>
        <v>0</v>
      </c>
    </row>
    <row r="1774" ht="22.5" customHeight="1">
      <c r="A1774" s="12">
        <f t="shared" si="4"/>
        <v>5372</v>
      </c>
      <c r="B1774" s="6" t="s">
        <v>14698</v>
      </c>
      <c r="C1774" s="7" t="str">
        <f t="shared" si="7"/>
        <v>🔊</v>
      </c>
      <c r="D1774" s="8" t="s">
        <v>14699</v>
      </c>
      <c r="E1774" s="6" t="s">
        <v>27</v>
      </c>
      <c r="F1774" s="12" t="str">
        <f>IFERROR(__xludf.DUMMYFUNCTION("GOOGLETRANSLATE(B1774,""zh_cn"",""vi"")"),"Khu dân cư")</f>
        <v>Khu dân cư</v>
      </c>
      <c r="G1774" s="12"/>
      <c r="H1774" s="6"/>
      <c r="I1774" s="11" t="b">
        <f t="shared" si="2"/>
        <v>0</v>
      </c>
      <c r="J1774" s="24"/>
      <c r="K1774" s="11" t="b">
        <f t="shared" si="3"/>
        <v>0</v>
      </c>
    </row>
    <row r="1775" ht="22.5" customHeight="1">
      <c r="A1775" s="12">
        <f t="shared" si="4"/>
        <v>5373</v>
      </c>
      <c r="B1775" s="6" t="s">
        <v>14700</v>
      </c>
      <c r="C1775" s="7" t="str">
        <f t="shared" si="7"/>
        <v>🔊</v>
      </c>
      <c r="D1775" s="8" t="s">
        <v>14701</v>
      </c>
      <c r="E1775" s="6" t="s">
        <v>232</v>
      </c>
      <c r="F1775" s="12" t="str">
        <f>IFERROR(__xludf.DUMMYFUNCTION("GOOGLETRANSLATE(B1775,""zh_cn"",""vi"")"),"vận động")</f>
        <v>vận động</v>
      </c>
      <c r="G1775" s="12"/>
      <c r="H1775" s="6"/>
      <c r="I1775" s="11" t="b">
        <f t="shared" si="2"/>
        <v>0</v>
      </c>
      <c r="J1775" s="24"/>
      <c r="K1775" s="11" t="b">
        <f t="shared" si="3"/>
        <v>0</v>
      </c>
    </row>
    <row r="1776" ht="22.5" customHeight="1">
      <c r="A1776" s="12">
        <f t="shared" si="4"/>
        <v>5374</v>
      </c>
      <c r="B1776" s="6" t="s">
        <v>14702</v>
      </c>
      <c r="C1776" s="7" t="str">
        <f t="shared" si="7"/>
        <v>🔊</v>
      </c>
      <c r="D1776" s="8" t="s">
        <v>14703</v>
      </c>
      <c r="E1776" s="6" t="s">
        <v>27</v>
      </c>
      <c r="F1776" s="12" t="str">
        <f>IFERROR(__xludf.DUMMYFUNCTION("GOOGLETRANSLATE(B1776,""zh_cn"",""vi"")"),"sách")</f>
        <v>sách</v>
      </c>
      <c r="G1776" s="12"/>
      <c r="H1776" s="6"/>
      <c r="I1776" s="11" t="b">
        <f t="shared" si="2"/>
        <v>0</v>
      </c>
      <c r="J1776" s="24"/>
      <c r="K1776" s="11" t="b">
        <f t="shared" si="3"/>
        <v>0</v>
      </c>
    </row>
    <row r="1777" ht="22.5" customHeight="1">
      <c r="A1777" s="12">
        <f t="shared" si="4"/>
        <v>5375</v>
      </c>
      <c r="B1777" s="6" t="s">
        <v>14704</v>
      </c>
      <c r="C1777" s="7" t="str">
        <f t="shared" si="7"/>
        <v>🔊</v>
      </c>
      <c r="D1777" s="8" t="s">
        <v>14705</v>
      </c>
      <c r="E1777" s="6" t="s">
        <v>27</v>
      </c>
      <c r="F1777" s="12" t="str">
        <f>IFERROR(__xludf.DUMMYFUNCTION("GOOGLETRANSLATE(B1777,""zh_cn"",""vi"")"),"thủ đô")</f>
        <v>thủ đô</v>
      </c>
      <c r="G1777" s="12"/>
      <c r="H1777" s="6"/>
      <c r="I1777" s="11" t="b">
        <f t="shared" si="2"/>
        <v>0</v>
      </c>
      <c r="J1777" s="24"/>
      <c r="K1777" s="11" t="b">
        <f t="shared" si="3"/>
        <v>0</v>
      </c>
    </row>
    <row r="1778" ht="22.5" customHeight="1">
      <c r="A1778" s="12">
        <f t="shared" si="4"/>
        <v>5376</v>
      </c>
      <c r="B1778" s="6" t="s">
        <v>14706</v>
      </c>
      <c r="C1778" s="7" t="str">
        <f t="shared" si="7"/>
        <v>🔊</v>
      </c>
      <c r="D1778" s="8" t="s">
        <v>14707</v>
      </c>
      <c r="E1778" s="6" t="s">
        <v>27</v>
      </c>
      <c r="F1778" s="12" t="str">
        <f>IFERROR(__xludf.DUMMYFUNCTION("GOOGLETRANSLATE(B1778,""zh_cn"",""vi"")"),"tài sản")</f>
        <v>tài sản</v>
      </c>
      <c r="G1778" s="12"/>
      <c r="H1778" s="6"/>
      <c r="I1778" s="11" t="b">
        <f t="shared" si="2"/>
        <v>0</v>
      </c>
      <c r="J1778" s="24"/>
      <c r="K1778" s="11" t="b">
        <f t="shared" si="3"/>
        <v>0</v>
      </c>
    </row>
    <row r="1779" ht="22.5" customHeight="1">
      <c r="A1779" s="12">
        <f t="shared" si="4"/>
        <v>5377</v>
      </c>
      <c r="B1779" s="6" t="s">
        <v>14708</v>
      </c>
      <c r="C1779" s="7" t="str">
        <f t="shared" si="7"/>
        <v>🔊</v>
      </c>
      <c r="D1779" s="8" t="s">
        <v>14709</v>
      </c>
      <c r="E1779" s="6" t="s">
        <v>99</v>
      </c>
      <c r="F1779" s="12" t="str">
        <f>IFERROR(__xludf.DUMMYFUNCTION("GOOGLETRANSLATE(B1779,""zh_cn"",""vi"")"),"kiêu hãnh")</f>
        <v>kiêu hãnh</v>
      </c>
      <c r="G1779" s="12"/>
      <c r="H1779" s="6"/>
      <c r="I1779" s="11" t="b">
        <f t="shared" si="2"/>
        <v>0</v>
      </c>
      <c r="J1779" s="24"/>
      <c r="K1779" s="11" t="b">
        <f t="shared" si="3"/>
        <v>0</v>
      </c>
    </row>
    <row r="1780" ht="22.5" customHeight="1">
      <c r="A1780" s="12">
        <f t="shared" si="4"/>
        <v>5378</v>
      </c>
      <c r="B1780" s="6" t="s">
        <v>14710</v>
      </c>
      <c r="C1780" s="7" t="str">
        <f t="shared" si="7"/>
        <v>🔊</v>
      </c>
      <c r="D1780" s="8" t="s">
        <v>14711</v>
      </c>
      <c r="E1780" s="6" t="s">
        <v>27</v>
      </c>
      <c r="F1780" s="12" t="str">
        <f>IFERROR(__xludf.DUMMYFUNCTION("GOOGLETRANSLATE(B1780,""zh_cn"",""vi"")"),"nước máy")</f>
        <v>nước máy</v>
      </c>
      <c r="G1780" s="12"/>
      <c r="H1780" s="6"/>
      <c r="I1780" s="11" t="b">
        <f t="shared" si="2"/>
        <v>0</v>
      </c>
      <c r="J1780" s="24"/>
      <c r="K1780" s="11" t="b">
        <f t="shared" si="3"/>
        <v>0</v>
      </c>
    </row>
    <row r="1781" ht="22.5" customHeight="1">
      <c r="A1781" s="12">
        <f t="shared" si="4"/>
        <v>5379</v>
      </c>
      <c r="B1781" s="6" t="s">
        <v>14712</v>
      </c>
      <c r="C1781" s="7" t="str">
        <f t="shared" si="7"/>
        <v>🔊</v>
      </c>
      <c r="D1781" s="8" t="s">
        <v>14713</v>
      </c>
      <c r="E1781" s="6" t="s">
        <v>13</v>
      </c>
      <c r="F1781" s="12" t="str">
        <f>IFERROR(__xludf.DUMMYFUNCTION("GOOGLETRANSLATE(B1781,""zh_cn"",""vi"")"),"tự kỷ luật")</f>
        <v>tự kỷ luật</v>
      </c>
      <c r="G1781" s="12"/>
      <c r="H1781" s="6"/>
      <c r="I1781" s="11" t="b">
        <f t="shared" si="2"/>
        <v>0</v>
      </c>
      <c r="J1781" s="24"/>
      <c r="K1781" s="11" t="b">
        <f t="shared" si="3"/>
        <v>0</v>
      </c>
    </row>
    <row r="1782" ht="22.5" customHeight="1">
      <c r="A1782" s="12">
        <f t="shared" si="4"/>
        <v>5380</v>
      </c>
      <c r="B1782" s="6" t="s">
        <v>14714</v>
      </c>
      <c r="C1782" s="7" t="str">
        <f t="shared" si="7"/>
        <v>🔊</v>
      </c>
      <c r="D1782" s="8" t="s">
        <v>14715</v>
      </c>
      <c r="E1782" s="6" t="s">
        <v>27</v>
      </c>
      <c r="F1782" s="12" t="str">
        <f>IFERROR(__xludf.DUMMYFUNCTION("GOOGLETRANSLATE(B1782,""zh_cn"",""vi"")"),"phụ đề")</f>
        <v>phụ đề</v>
      </c>
      <c r="G1782" s="12"/>
      <c r="H1782" s="6"/>
      <c r="I1782" s="11" t="b">
        <f t="shared" si="2"/>
        <v>0</v>
      </c>
      <c r="J1782" s="24"/>
      <c r="K1782" s="11" t="b">
        <f t="shared" si="3"/>
        <v>0</v>
      </c>
    </row>
    <row r="1783" ht="22.5" customHeight="1">
      <c r="A1783" s="12">
        <f t="shared" si="4"/>
        <v>5381</v>
      </c>
      <c r="B1783" s="6" t="s">
        <v>14716</v>
      </c>
      <c r="C1783" s="7" t="str">
        <f t="shared" si="7"/>
        <v>🔊</v>
      </c>
      <c r="D1783" s="8" t="s">
        <v>14717</v>
      </c>
      <c r="E1783" s="6" t="s">
        <v>13</v>
      </c>
      <c r="F1783" s="12" t="str">
        <f>IFERROR(__xludf.DUMMYFUNCTION("GOOGLETRANSLATE(B1783,""zh_cn"",""vi"")"),"tự tử")</f>
        <v>tự tử</v>
      </c>
      <c r="G1783" s="12"/>
      <c r="H1783" s="6"/>
      <c r="I1783" s="11" t="b">
        <f t="shared" si="2"/>
        <v>0</v>
      </c>
      <c r="J1783" s="24"/>
      <c r="K1783" s="11" t="b">
        <f t="shared" si="3"/>
        <v>0</v>
      </c>
    </row>
    <row r="1784" ht="22.5" customHeight="1">
      <c r="A1784" s="12">
        <f t="shared" si="4"/>
        <v>5382</v>
      </c>
      <c r="B1784" s="6" t="s">
        <v>14718</v>
      </c>
      <c r="C1784" s="7" t="str">
        <f t="shared" si="7"/>
        <v>🔊</v>
      </c>
      <c r="D1784" s="8" t="s">
        <v>14719</v>
      </c>
      <c r="E1784" s="6" t="s">
        <v>106</v>
      </c>
      <c r="F1784" s="12" t="str">
        <f>IFERROR(__xludf.DUMMYFUNCTION("GOOGLETRANSLATE(B1784,""zh_cn"",""vi"")"),"bản thân")</f>
        <v>bản thân</v>
      </c>
      <c r="G1784" s="12"/>
      <c r="H1784" s="6"/>
      <c r="I1784" s="11" t="b">
        <f t="shared" si="2"/>
        <v>0</v>
      </c>
      <c r="J1784" s="24"/>
      <c r="K1784" s="11" t="b">
        <f t="shared" si="3"/>
        <v>0</v>
      </c>
    </row>
    <row r="1785" ht="22.5" customHeight="1">
      <c r="A1785" s="12">
        <f t="shared" si="4"/>
        <v>5383</v>
      </c>
      <c r="B1785" s="6" t="s">
        <v>14720</v>
      </c>
      <c r="C1785" s="7" t="str">
        <f t="shared" si="7"/>
        <v>🔊</v>
      </c>
      <c r="D1785" s="8" t="s">
        <v>14721</v>
      </c>
      <c r="E1785" s="14"/>
      <c r="F1785" s="12" t="str">
        <f>IFERROR(__xludf.DUMMYFUNCTION("GOOGLETRANSLATE(B1785,""zh_cn"",""vi"")"),"Tôi đang tự nói chuyện với chính mình")</f>
        <v>Tôi đang tự nói chuyện với chính mình</v>
      </c>
      <c r="G1785" s="12"/>
      <c r="H1785" s="6"/>
      <c r="I1785" s="11" t="b">
        <f t="shared" si="2"/>
        <v>0</v>
      </c>
      <c r="J1785" s="24"/>
      <c r="K1785" s="11" t="b">
        <f t="shared" si="3"/>
        <v>0</v>
      </c>
    </row>
    <row r="1786" ht="22.5" customHeight="1">
      <c r="A1786" s="12">
        <f t="shared" si="4"/>
        <v>5384</v>
      </c>
      <c r="B1786" s="6" t="s">
        <v>14722</v>
      </c>
      <c r="C1786" s="7" t="str">
        <f t="shared" si="7"/>
        <v>🔊</v>
      </c>
      <c r="D1786" s="8" t="s">
        <v>14723</v>
      </c>
      <c r="E1786" s="6" t="s">
        <v>13</v>
      </c>
      <c r="F1786" s="12" t="str">
        <f>IFERROR(__xludf.DUMMYFUNCTION("GOOGLETRANSLATE(B1786,""zh_cn"",""vi"")"),"tự nguyện")</f>
        <v>tự nguyện</v>
      </c>
      <c r="G1786" s="12"/>
      <c r="H1786" s="6"/>
      <c r="I1786" s="11" t="b">
        <f t="shared" si="2"/>
        <v>0</v>
      </c>
      <c r="J1786" s="24"/>
      <c r="K1786" s="11" t="b">
        <f t="shared" si="3"/>
        <v>0</v>
      </c>
    </row>
    <row r="1787" ht="22.5" customHeight="1">
      <c r="A1787" s="12">
        <f t="shared" si="4"/>
        <v>5385</v>
      </c>
      <c r="B1787" s="6" t="s">
        <v>14724</v>
      </c>
      <c r="C1787" s="7" t="str">
        <f t="shared" si="7"/>
        <v>🔊</v>
      </c>
      <c r="D1787" s="8" t="s">
        <v>14725</v>
      </c>
      <c r="E1787" s="6" t="s">
        <v>13</v>
      </c>
      <c r="F1787" s="12" t="str">
        <f>IFERROR(__xludf.DUMMYFUNCTION("GOOGLETRANSLATE(B1787,""zh_cn"",""vi"")"),"Tự lực")</f>
        <v>Tự lực</v>
      </c>
      <c r="G1787" s="12"/>
      <c r="H1787" s="6"/>
      <c r="I1787" s="11" t="b">
        <f t="shared" si="2"/>
        <v>0</v>
      </c>
      <c r="J1787" s="24"/>
      <c r="K1787" s="11" t="b">
        <f t="shared" si="3"/>
        <v>0</v>
      </c>
    </row>
    <row r="1788" ht="22.5" customHeight="1">
      <c r="A1788" s="12">
        <f t="shared" si="4"/>
        <v>5386</v>
      </c>
      <c r="B1788" s="6" t="s">
        <v>14726</v>
      </c>
      <c r="C1788" s="7" t="str">
        <f t="shared" si="7"/>
        <v>🔊</v>
      </c>
      <c r="D1788" s="8" t="s">
        <v>14727</v>
      </c>
      <c r="E1788" s="6" t="s">
        <v>27</v>
      </c>
      <c r="F1788" s="12" t="str">
        <f>IFERROR(__xludf.DUMMYFUNCTION("GOOGLETRANSLATE(B1788,""zh_cn"",""vi"")"),"Chủ tịch")</f>
        <v>Chủ tịch</v>
      </c>
      <c r="G1788" s="12"/>
      <c r="H1788" s="6"/>
      <c r="I1788" s="11" t="b">
        <f t="shared" si="2"/>
        <v>0</v>
      </c>
      <c r="J1788" s="24"/>
      <c r="K1788" s="11" t="b">
        <f t="shared" si="3"/>
        <v>0</v>
      </c>
    </row>
    <row r="1789" ht="22.5" customHeight="1">
      <c r="A1789" s="12">
        <f t="shared" si="4"/>
        <v>5387</v>
      </c>
      <c r="B1789" s="6" t="s">
        <v>14728</v>
      </c>
      <c r="C1789" s="7" t="str">
        <f t="shared" si="7"/>
        <v>🔊</v>
      </c>
      <c r="D1789" s="8" t="s">
        <v>14729</v>
      </c>
      <c r="E1789" s="6" t="s">
        <v>13</v>
      </c>
      <c r="F1789" s="12" t="str">
        <f>IFERROR(__xludf.DUMMYFUNCTION("GOOGLETRANSLATE(B1789,""zh_cn"",""vi"")"),"tổng cộng")</f>
        <v>tổng cộng</v>
      </c>
      <c r="G1789" s="12"/>
      <c r="H1789" s="6"/>
      <c r="I1789" s="11" t="b">
        <f t="shared" si="2"/>
        <v>0</v>
      </c>
      <c r="J1789" s="24"/>
      <c r="K1789" s="11" t="b">
        <f t="shared" si="3"/>
        <v>0</v>
      </c>
    </row>
    <row r="1790" ht="22.5" customHeight="1">
      <c r="A1790" s="12">
        <f t="shared" si="4"/>
        <v>5388</v>
      </c>
      <c r="B1790" s="6" t="s">
        <v>14730</v>
      </c>
      <c r="C1790" s="7" t="str">
        <f t="shared" si="7"/>
        <v>🔊</v>
      </c>
      <c r="D1790" s="8" t="s">
        <v>14731</v>
      </c>
      <c r="E1790" s="6" t="s">
        <v>27</v>
      </c>
      <c r="F1790" s="12" t="str">
        <f>IFERROR(__xludf.DUMMYFUNCTION("GOOGLETRANSLATE(B1790,""zh_cn"",""vi"")"),"Thủ tướng")</f>
        <v>Thủ tướng</v>
      </c>
      <c r="G1790" s="12"/>
      <c r="H1790" s="6"/>
      <c r="I1790" s="11" t="b">
        <f t="shared" si="2"/>
        <v>0</v>
      </c>
      <c r="J1790" s="24"/>
      <c r="K1790" s="11" t="b">
        <f t="shared" si="3"/>
        <v>0</v>
      </c>
    </row>
    <row r="1791" ht="22.5" customHeight="1">
      <c r="A1791" s="12">
        <f t="shared" si="4"/>
        <v>5389</v>
      </c>
      <c r="B1791" s="6" t="s">
        <v>14732</v>
      </c>
      <c r="C1791" s="7" t="str">
        <f t="shared" si="7"/>
        <v>🔊</v>
      </c>
      <c r="D1791" s="8" t="s">
        <v>14733</v>
      </c>
      <c r="E1791" s="6" t="s">
        <v>27</v>
      </c>
      <c r="F1791" s="12" t="str">
        <f>IFERROR(__xludf.DUMMYFUNCTION("GOOGLETRANSLATE(B1791,""zh_cn"",""vi"")"),"màu nâu")</f>
        <v>màu nâu</v>
      </c>
      <c r="G1791" s="12"/>
      <c r="H1791" s="6"/>
      <c r="I1791" s="11" t="b">
        <f t="shared" si="2"/>
        <v>0</v>
      </c>
      <c r="J1791" s="24"/>
      <c r="K1791" s="11" t="b">
        <f t="shared" si="3"/>
        <v>0</v>
      </c>
    </row>
    <row r="1792" ht="22.5" customHeight="1">
      <c r="A1792" s="12">
        <f t="shared" si="4"/>
        <v>5390</v>
      </c>
      <c r="B1792" s="6" t="s">
        <v>14734</v>
      </c>
      <c r="C1792" s="7" t="str">
        <f t="shared" si="7"/>
        <v>🔊</v>
      </c>
      <c r="D1792" s="8" t="s">
        <v>14735</v>
      </c>
      <c r="E1792" s="6" t="s">
        <v>61</v>
      </c>
      <c r="F1792" s="12" t="str">
        <f>IFERROR(__xludf.DUMMYFUNCTION("GOOGLETRANSLATE(B1792,""zh_cn"",""vi"")"),"Cuối cùng")</f>
        <v>Cuối cùng</v>
      </c>
      <c r="G1792" s="12"/>
      <c r="H1792" s="6"/>
      <c r="I1792" s="11" t="b">
        <f t="shared" si="2"/>
        <v>0</v>
      </c>
      <c r="J1792" s="24"/>
      <c r="K1792" s="11" t="b">
        <f t="shared" si="3"/>
        <v>0</v>
      </c>
    </row>
    <row r="1793" ht="22.5" customHeight="1">
      <c r="A1793" s="12">
        <f t="shared" si="4"/>
        <v>5391</v>
      </c>
      <c r="B1793" s="6" t="s">
        <v>14736</v>
      </c>
      <c r="C1793" s="7" t="str">
        <f t="shared" si="7"/>
        <v>🔊</v>
      </c>
      <c r="D1793" s="8" t="s">
        <v>14737</v>
      </c>
      <c r="E1793" s="6" t="s">
        <v>27</v>
      </c>
      <c r="F1793" s="12" t="str">
        <f>IFERROR(__xludf.DUMMYFUNCTION("GOOGLETRANSLATE(B1793,""zh_cn"",""vi"")"),"Zongzi")</f>
        <v>Zongzi</v>
      </c>
      <c r="G1793" s="12"/>
      <c r="H1793" s="6"/>
      <c r="I1793" s="11" t="b">
        <f t="shared" si="2"/>
        <v>0</v>
      </c>
      <c r="J1793" s="24"/>
      <c r="K1793" s="11" t="b">
        <f t="shared" si="3"/>
        <v>0</v>
      </c>
    </row>
    <row r="1794" ht="22.5" customHeight="1">
      <c r="A1794" s="12">
        <f t="shared" si="4"/>
        <v>5392</v>
      </c>
      <c r="B1794" s="6" t="s">
        <v>14738</v>
      </c>
      <c r="C1794" s="7" t="str">
        <f t="shared" si="7"/>
        <v>🔊</v>
      </c>
      <c r="D1794" s="8" t="s">
        <v>14739</v>
      </c>
      <c r="E1794" s="6" t="s">
        <v>27</v>
      </c>
      <c r="F1794" s="12" t="str">
        <f>IFERROR(__xludf.DUMMYFUNCTION("GOOGLETRANSLATE(B1794,""zh_cn"",""vi"")"),"hành lang")</f>
        <v>hành lang</v>
      </c>
      <c r="G1794" s="12"/>
      <c r="H1794" s="6"/>
      <c r="I1794" s="11" t="b">
        <f t="shared" si="2"/>
        <v>0</v>
      </c>
      <c r="J1794" s="24"/>
      <c r="K1794" s="11" t="b">
        <f t="shared" si="3"/>
        <v>0</v>
      </c>
    </row>
    <row r="1795" ht="22.5" customHeight="1">
      <c r="A1795" s="12">
        <f t="shared" si="4"/>
        <v>5393</v>
      </c>
      <c r="B1795" s="6" t="s">
        <v>14740</v>
      </c>
      <c r="C1795" s="7" t="str">
        <f t="shared" si="7"/>
        <v>🔊</v>
      </c>
      <c r="D1795" s="8" t="s">
        <v>11273</v>
      </c>
      <c r="E1795" s="6" t="s">
        <v>1308</v>
      </c>
      <c r="F1795" s="12" t="str">
        <f>IFERROR(__xludf.DUMMYFUNCTION("GOOGLETRANSLATE(B1795,""zh_cn"",""vi"")"),"chân")</f>
        <v>chân</v>
      </c>
      <c r="G1795" s="12"/>
      <c r="H1795" s="6"/>
      <c r="I1795" s="11" t="b">
        <f t="shared" si="2"/>
        <v>0</v>
      </c>
      <c r="J1795" s="24"/>
      <c r="K1795" s="11" t="b">
        <f t="shared" si="3"/>
        <v>0</v>
      </c>
    </row>
    <row r="1796" ht="22.5" customHeight="1">
      <c r="A1796" s="12">
        <f t="shared" si="4"/>
        <v>5394</v>
      </c>
      <c r="B1796" s="6" t="s">
        <v>14741</v>
      </c>
      <c r="C1796" s="7" t="str">
        <f t="shared" si="7"/>
        <v>🔊</v>
      </c>
      <c r="D1796" s="8" t="s">
        <v>14742</v>
      </c>
      <c r="E1796" s="6" t="s">
        <v>232</v>
      </c>
      <c r="F1796" s="12" t="str">
        <f>IFERROR(__xludf.DUMMYFUNCTION("GOOGLETRANSLATE(B1796,""zh_cn"",""vi"")"),"Những trở ngại")</f>
        <v>Những trở ngại</v>
      </c>
      <c r="G1796" s="12"/>
      <c r="H1796" s="6"/>
      <c r="I1796" s="11" t="b">
        <f t="shared" si="2"/>
        <v>0</v>
      </c>
      <c r="J1796" s="24"/>
      <c r="K1796" s="11" t="b">
        <f t="shared" si="3"/>
        <v>0</v>
      </c>
    </row>
    <row r="1797" ht="22.5" customHeight="1">
      <c r="A1797" s="12">
        <f t="shared" si="4"/>
        <v>5395</v>
      </c>
      <c r="B1797" s="6" t="s">
        <v>14743</v>
      </c>
      <c r="C1797" s="7" t="str">
        <f t="shared" si="7"/>
        <v>🔊</v>
      </c>
      <c r="D1797" s="8" t="s">
        <v>14744</v>
      </c>
      <c r="E1797" s="6" t="s">
        <v>13</v>
      </c>
      <c r="F1797" s="12" t="str">
        <f>IFERROR(__xludf.DUMMYFUNCTION("GOOGLETRANSLATE(B1797,""zh_cn"",""vi"")"),"Máy khoan")</f>
        <v>Máy khoan</v>
      </c>
      <c r="G1797" s="12"/>
      <c r="H1797" s="6"/>
      <c r="I1797" s="11" t="b">
        <f t="shared" si="2"/>
        <v>0</v>
      </c>
      <c r="J1797" s="24"/>
      <c r="K1797" s="11" t="b">
        <f t="shared" si="3"/>
        <v>0</v>
      </c>
    </row>
    <row r="1798" ht="22.5" customHeight="1">
      <c r="A1798" s="12">
        <f t="shared" si="4"/>
        <v>5396</v>
      </c>
      <c r="B1798" s="6" t="s">
        <v>14745</v>
      </c>
      <c r="C1798" s="7" t="str">
        <f t="shared" si="7"/>
        <v>🔊</v>
      </c>
      <c r="D1798" s="8" t="s">
        <v>14746</v>
      </c>
      <c r="E1798" s="6" t="s">
        <v>13</v>
      </c>
      <c r="F1798" s="12" t="str">
        <f>IFERROR(__xludf.DUMMYFUNCTION("GOOGLETRANSLATE(B1798,""zh_cn"",""vi"")"),"Khối")</f>
        <v>Khối</v>
      </c>
      <c r="G1798" s="12"/>
      <c r="H1798" s="6"/>
      <c r="I1798" s="11" t="b">
        <f t="shared" si="2"/>
        <v>0</v>
      </c>
      <c r="J1798" s="24"/>
      <c r="K1798" s="11" t="b">
        <f t="shared" si="3"/>
        <v>0</v>
      </c>
    </row>
    <row r="1799" ht="22.5" customHeight="1">
      <c r="A1799" s="12">
        <f t="shared" si="4"/>
        <v>5397</v>
      </c>
      <c r="B1799" s="6" t="s">
        <v>14747</v>
      </c>
      <c r="C1799" s="7" t="str">
        <f t="shared" si="7"/>
        <v>🔊</v>
      </c>
      <c r="D1799" s="8" t="s">
        <v>14748</v>
      </c>
      <c r="E1799" s="6" t="s">
        <v>27</v>
      </c>
      <c r="F1799" s="12" t="str">
        <f>IFERROR(__xludf.DUMMYFUNCTION("GOOGLETRANSLATE(B1799,""zh_cn"",""vi"")"),"đất mẹ")</f>
        <v>đất mẹ</v>
      </c>
      <c r="G1799" s="12"/>
      <c r="H1799" s="6"/>
      <c r="I1799" s="11" t="b">
        <f t="shared" si="2"/>
        <v>0</v>
      </c>
      <c r="J1799" s="24"/>
      <c r="K1799" s="11" t="b">
        <f t="shared" si="3"/>
        <v>0</v>
      </c>
    </row>
    <row r="1800" ht="22.5" customHeight="1">
      <c r="A1800" s="12">
        <f t="shared" si="4"/>
        <v>5398</v>
      </c>
      <c r="B1800" s="6" t="s">
        <v>14749</v>
      </c>
      <c r="C1800" s="7" t="str">
        <f t="shared" si="7"/>
        <v>🔊</v>
      </c>
      <c r="D1800" s="8" t="s">
        <v>1694</v>
      </c>
      <c r="E1800" s="6" t="s">
        <v>27</v>
      </c>
      <c r="F1800" s="12" t="str">
        <f>IFERROR(__xludf.DUMMYFUNCTION("GOOGLETRANSLATE(B1800,""zh_cn"",""vi"")"),"tội phạm")</f>
        <v>tội phạm</v>
      </c>
      <c r="G1800" s="12"/>
      <c r="H1800" s="6"/>
      <c r="I1800" s="11" t="b">
        <f t="shared" si="2"/>
        <v>0</v>
      </c>
      <c r="J1800" s="24"/>
      <c r="K1800" s="11" t="b">
        <f t="shared" si="3"/>
        <v>0</v>
      </c>
    </row>
    <row r="1801" ht="22.5" customHeight="1">
      <c r="A1801" s="12">
        <f t="shared" si="4"/>
        <v>5399</v>
      </c>
      <c r="B1801" s="6" t="s">
        <v>14750</v>
      </c>
      <c r="C1801" s="7" t="str">
        <f t="shared" si="7"/>
        <v>🔊</v>
      </c>
      <c r="D1801" s="8" t="s">
        <v>14751</v>
      </c>
      <c r="E1801" s="6" t="s">
        <v>27</v>
      </c>
      <c r="F1801" s="12" t="str">
        <f>IFERROR(__xludf.DUMMYFUNCTION("GOOGLETRANSLATE(B1801,""zh_cn"",""vi"")"),"tổ tiên")</f>
        <v>tổ tiên</v>
      </c>
      <c r="G1801" s="12"/>
      <c r="H1801" s="6"/>
      <c r="I1801" s="11" t="b">
        <f t="shared" si="2"/>
        <v>0</v>
      </c>
      <c r="J1801" s="24"/>
      <c r="K1801" s="11" t="b">
        <f t="shared" si="3"/>
        <v>0</v>
      </c>
    </row>
    <row r="1802" ht="22.5" customHeight="1">
      <c r="A1802" s="12">
        <f t="shared" si="4"/>
        <v>5400</v>
      </c>
      <c r="B1802" s="6" t="s">
        <v>14752</v>
      </c>
      <c r="C1802" s="7" t="str">
        <f t="shared" si="7"/>
        <v>🔊</v>
      </c>
      <c r="D1802" s="8" t="s">
        <v>14753</v>
      </c>
      <c r="E1802" s="6" t="s">
        <v>13</v>
      </c>
      <c r="F1802" s="12" t="str">
        <f>IFERROR(__xludf.DUMMYFUNCTION("GOOGLETRANSLATE(B1802,""zh_cn"",""vi"")"),"hợp lý")</f>
        <v>hợp lý</v>
      </c>
      <c r="G1802" s="12"/>
      <c r="H1802" s="6"/>
      <c r="I1802" s="11" t="b">
        <f t="shared" si="2"/>
        <v>0</v>
      </c>
      <c r="J1802" s="24"/>
      <c r="K1802" s="11" t="b">
        <f t="shared" si="3"/>
        <v>0</v>
      </c>
    </row>
  </sheetData>
  <conditionalFormatting sqref="I3:I1802 K3:K1802">
    <cfRule type="expression" dxfId="5" priority="1">
      <formula>I3=TRUE</formula>
    </cfRule>
  </conditionalFormatting>
  <conditionalFormatting sqref="I3:I1802 K3:K1802">
    <cfRule type="expression" dxfId="6" priority="2">
      <formula>I3=FALSE</formula>
    </cfRule>
  </conditionalFormatting>
  <drawing r:id="rId1"/>
  <tableParts count="1">
    <tablePart r:id="rId3"/>
  </tableParts>
</worksheet>
</file>